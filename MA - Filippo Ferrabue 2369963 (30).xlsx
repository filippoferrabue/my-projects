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Chart_of_Accounts" sheetId="2" r:id="rId6"/>
    <sheet state="visible" name="Journal" sheetId="3" r:id="rId7"/>
    <sheet state="visible" name="Rules" sheetId="4" r:id="rId8"/>
    <sheet state="visible" name="Entries" sheetId="5" r:id="rId9"/>
    <sheet state="visible" name="General_Ledger" sheetId="6" r:id="rId10"/>
    <sheet state="visible" name="Trial_Balance" sheetId="7" r:id="rId11"/>
    <sheet state="visible" name="Income_Statement" sheetId="8" r:id="rId12"/>
    <sheet state="visible" name="Retained_Earnings" sheetId="9" r:id="rId13"/>
    <sheet state="visible" name="Balance_Sheet" sheetId="10" r:id="rId14"/>
    <sheet state="visible" name="Cash_Flow_Statement" sheetId="11" r:id="rId15"/>
    <sheet state="visible" name="Year_End_Report" sheetId="12" r:id="rId16"/>
    <sheet state="visible" name="Learning_Report"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tc={15241c9a-33d4-44bf-bf56-aea38df25b8a}</author>
  </authors>
  <commentList>
    <comment authorId="0" xr:uid="{15241c9a-33d4-44bf-bf56-aea38df25b8a}" ref="E18">
      <text>
        <t xml:space="preserve">[Threaded comment]
 Your version of Excel allows you to read this threaded comment; however, any edits to it will get removed if the file is opened in a newer version of Excel. Learn more: https://go.microsoft.com/fwlink/?linkid=870924
Comment:
	Easy to see, thanks!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tc={3362863d-5c93-4805-9b6a-42cd80eec011}</author>
    <author>tc={84f76112-9dc7-4fc6-92a3-efa61870269e}</author>
    <author>tc={ca9c482c-1c19-4f32-8b9c-5a0ac41933b2}</author>
  </authors>
  <commentList>
    <comment authorId="0" xr:uid="{3362863d-5c93-4805-9b6a-42cd80eec011}" ref="K10">
      <text>
        <t xml:space="preserve">[Threaded comment]
 Your version of Excel allows you to read this threaded comment; however, any edits to it will get removed if the file is opened in a newer version of Excel. Learn more: https://go.microsoft.com/fwlink/?linkid=870924
Comment:
	Of course. Now tell me what you learned in the Report tab.
Reply:
	I wrote about it in the Learning Report, including how I used AI.
</t>
      </text>
    </comment>
    <comment authorId="1" xr:uid="{84f76112-9dc7-4fc6-92a3-efa61870269e}" ref="K2">
      <text>
        <t xml:space="preserve">[Threaded comment]
 Your version of Excel allows you to read this threaded comment; however, any edits to it will get removed if the file is opened in a newer version of Excel. Learn more: https://go.microsoft.com/fwlink/?linkid=870924
Comment:
	Nice touch.
Reply:
	Marked as resolved
Reply:
	Thank you!
Re-opened
</t>
      </text>
    </comment>
    <comment authorId="2" xr:uid="{ca9c482c-1c19-4f32-8b9c-5a0ac41933b2}" ref="A26">
      <text>
        <t xml:space="preserve">[Threaded comment]
 Your version of Excel allows you to read this threaded comment; however, any edits to it will get removed if the file is opened in a newer version of Excel. Learn more: https://go.microsoft.com/fwlink/?linkid=870924
Comment:
	Complete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tc={2d6c7c63-b505-41a4-8078-7a3f4a9ca671}</author>
    <author>tc={658e7a95-6888-47bc-8274-cead88a93868}</author>
  </authors>
  <commentList>
    <comment authorId="0" xr:uid="{2d6c7c63-b505-41a4-8078-7a3f4a9ca671}" ref="E3">
      <text>
        <t xml:space="preserve">[Threaded comment]
 Your version of Excel allows you to read this threaded comment; however, any edits to it will get removed if the file is opened in a newer version of Excel. Learn more: https://go.microsoft.com/fwlink/?linkid=870924
Comment:
	Oh this is so good. I am sorry I looked at it so late. I might lose sleep over how you beat me to it.
Reply:
	The true test will be to use a new set of data in a similar style. Incoming...
</t>
      </text>
    </comment>
    <comment authorId="1" xr:uid="{658e7a95-6888-47bc-8274-cead88a93868}" ref="B3">
      <text>
        <t xml:space="preserve">[Threaded comment]
 Your version of Excel allows you to read this threaded comment; however, any edits to it will get removed if the file is opened in a newer version of Excel. Learn more: https://go.microsoft.com/fwlink/?linkid=870924
Comment:
	Why aren't there formulas here? They are required.
Reply:
	Marked as resolved
Reply:
	Fixed. The journal now uses only formulas
Re-opened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tc={265b37c0-7a1e-47f2-a753-ef3768c997f4}</author>
  </authors>
  <commentList>
    <comment authorId="0" xr:uid="{265b37c0-7a1e-47f2-a753-ef3768c997f4}" ref="A1">
      <text>
        <t xml:space="preserve">[Threaded comment]
 Your version of Excel allows you to read this threaded comment; however, any edits to it will get removed if the file is opened in a newer version of Excel. Learn more: https://go.microsoft.com/fwlink/?linkid=870924
Comment:
	YES! Rules are what is needed. My sneak peak hopefully showed everyone that. You may help others with this if you wanted to. There are not rules against it.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tc={11cb12bb-bb17-45a7-9fb3-18d5cddaff54}</author>
    <author>tc={2109ffdf-ab7f-4b54-a13a-9d9682e5feeb}</author>
    <author>tc={31c4bf3a-11b9-4578-8d26-e4ecd8590997}</author>
    <author>tc={5a5e2e2e-555a-4e23-a1d5-27a475c7b473}</author>
    <author>tc={72a36276-bd78-421c-adbc-d5cd0fe83fdf}</author>
    <author>tc={951c5a3d-05b9-434b-a57d-916beb9ee59d}</author>
    <author>tc={ca649600-739c-4e57-9364-79b2d2ef235c}</author>
    <author>tc={e3955dcd-fe15-4912-ac04-23e03af02970}</author>
    <author>tc={fec0e00a-962b-4db7-8001-8662409c5b6b}</author>
  </authors>
  <commentList>
    <comment authorId="0" xr:uid="{11cb12bb-bb17-45a7-9fb3-18d5cddaff54}" ref="F127">
      <text>
        <t xml:space="preserve">[Threaded comment]
 Your version of Excel allows you to read this threaded comment; however, any edits to it will get removed if the file is opened in a newer version of Excel. Learn more: https://go.microsoft.com/fwlink/?linkid=870924
Comment:
	This should probably not equal 0 since there has to be at least on transaction that spends cash.
</t>
      </text>
    </comment>
    <comment authorId="1" xr:uid="{2109ffdf-ab7f-4b54-a13a-9d9682e5feeb}" ref="I3">
      <text>
        <t xml:space="preserve">[Threaded comment]
 Your version of Excel allows you to read this threaded comment; however, any edits to it will get removed if the file is opened in a newer version of Excel. Learn more: https://go.microsoft.com/fwlink/?linkid=870924
Comment:
	merge all account lable cells for readability
</t>
      </text>
    </comment>
    <comment authorId="2" xr:uid="{31c4bf3a-11b9-4578-8d26-e4ecd8590997}" ref="G3">
      <text>
        <t xml:space="preserve">[Threaded comment]
 Your version of Excel allows you to read this threaded comment; however, any edits to it will get removed if the file is opened in a newer version of Excel. Learn more: https://go.microsoft.com/fwlink/?linkid=870924
Comment:
	like this
</t>
      </text>
    </comment>
    <comment authorId="3" xr:uid="{5a5e2e2e-555a-4e23-a1d5-27a475c7b473}" ref="D17">
      <text>
        <t xml:space="preserve">[Threaded comment]
 Your version of Excel allows you to read this threaded comment; however, any edits to it will get removed if the file is opened in a newer version of Excel. Learn more: https://go.microsoft.com/fwlink/?linkid=870924
Comment:
	Check this out for example. This transaction has two debits which cannot occur without another account having been credited.
Reply:
	having less accounts means you'll be able to see this clearer. But you be working in assembly in your regular program so I do not doubt your ability to understand fine detail.
Reply:
	Marked as resolved
Reply:
	ahaha true, but I really really prefer this rather then assembly
Re-opened
</t>
      </text>
    </comment>
    <comment authorId="4" xr:uid="{72a36276-bd78-421c-adbc-d5cd0fe83fdf}" ref="C17">
      <text>
        <t xml:space="preserve">[Threaded comment]
 Your version of Excel allows you to read this threaded comment; however, any edits to it will get removed if the file is opened in a newer version of Excel. Learn more: https://go.microsoft.com/fwlink/?linkid=870924
Comment:
	This is a purchase so that means cash was spend (ie. credited). When you fix these issues you'll see a balanced equation.
</t>
      </text>
    </comment>
    <comment authorId="5" xr:uid="{951c5a3d-05b9-434b-a57d-916beb9ee59d}" ref="D148">
      <text>
        <t xml:space="preserve">[Threaded comment]
 Your version of Excel allows you to read this threaded comment; however, any edits to it will get removed if the file is opened in a newer version of Excel. Learn more: https://go.microsoft.com/fwlink/?linkid=870924
Comment:
	It is possible to condense this for this project. You could technically lump all non-major expenses into one account call Expenses.
Reply:
	You may also keep what you have as there are not structural issues.
</t>
      </text>
    </comment>
    <comment authorId="6" xr:uid="{ca649600-739c-4e57-9364-79b2d2ef235c}" ref="D5">
      <text>
        <t xml:space="preserve">[Threaded comment]
 Your version of Excel allows you to read this threaded comment; however, any edits to it will get removed if the file is opened in a newer version of Excel. Learn more: https://go.microsoft.com/fwlink/?linkid=870924
Comment:
	1...here because of your array structure.
</t>
      </text>
    </comment>
    <comment authorId="7" xr:uid="{e3955dcd-fe15-4912-ac04-23e03af02970}" ref="E5">
      <text>
        <t xml:space="preserve">[Threaded comment]
 Your version of Excel allows you to read this threaded comment; however, any edits to it will get removed if the file is opened in a newer version of Excel. Learn more: https://go.microsoft.com/fwlink/?linkid=870924
Comment:
	YEs this is the formula I remember!
</t>
      </text>
    </comment>
    <comment authorId="8" xr:uid="{fec0e00a-962b-4db7-8001-8662409c5b6b}" ref="A11">
      <text>
        <t xml:space="preserve">[Threaded comment]
 Your version of Excel allows you to read this threaded comment; however, any edits to it will get removed if the file is opened in a newer version of Excel. Learn more: https://go.microsoft.com/fwlink/?linkid=870924
Comment:
	Only one transaction is allowed per line. You'll have three accounts with an amount listed in this row since this affects 3 accounts. Incomplete.
Reply:
	Unfortunately, this may cause you to have to change your formula...1
Reply:
	Done! Now it's one row per transaction 🙃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tc={b12b71f5-b52e-4754-be81-b4d56aa6ac5e}</author>
  </authors>
  <commentList>
    <comment authorId="0" xr:uid="{b12b71f5-b52e-4754-be81-b4d56aa6ac5e}" ref="B2">
      <text>
        <t xml:space="preserve">[Threaded comment]
 Your version of Excel allows you to read this threaded comment; however, any edits to it will get removed if the file is opened in a newer version of Excel. Learn more: https://go.microsoft.com/fwlink/?linkid=870924
Comment:
	This part is super easy. Once complete you'll be finished MS3.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tc={5a2c2135-25a0-4db2-b613-d23cf0c54ca0}</author>
  </authors>
  <commentList>
    <comment authorId="0" xr:uid="{5a2c2135-25a0-4db2-b613-d23cf0c54ca0}" ref="A70">
      <text>
        <t xml:space="preserve">[Threaded comment]
 Your version of Excel allows you to read this threaded comment; however, any edits to it will get removed if the file is opened in a newer version of Excel. Learn more: https://go.microsoft.com/fwlink/?linkid=870924
Comment:
	close. look again at the meaning behind the discrepancy.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tc={453dba75-ce55-4b3d-b927-b7539ae1d6c3}</author>
    <author>tc={7fe5097c-c529-46ef-ab91-b58209e511e7}</author>
    <author>tc={9a49908a-08a1-4122-8424-fac12016ec90}</author>
    <author>tc={aa319967-a5ff-49b7-9620-af1ffd5a09a3}</author>
    <author>tc={b121f6f7-f5ac-4f26-88e0-ab87076bedbf}</author>
  </authors>
  <commentList>
    <comment authorId="0" xr:uid="{453dba75-ce55-4b3d-b927-b7539ae1d6c3}" ref="A7">
      <text>
        <t xml:space="preserve">[Threaded comment]
 Your version of Excel allows you to read this threaded comment; however, any edits to it will get removed if the file is opened in a newer version of Excel. Learn more: https://go.microsoft.com/fwlink/?linkid=870924
Comment:
	Ugh! I had no idea the formula formatting would need to change for different language settings.
</t>
      </text>
    </comment>
    <comment authorId="1" xr:uid="{7fe5097c-c529-46ef-ab91-b58209e511e7}" ref="A12">
      <text>
        <t xml:space="preserve">[Threaded comment]
 Your version of Excel allows you to read this threaded comment; however, any edits to it will get removed if the file is opened in a newer version of Excel. Learn more: https://go.microsoft.com/fwlink/?linkid=870924
Comment:
	This is an appropriate use of AI. Thank you for doing it right.
</t>
      </text>
    </comment>
    <comment authorId="2" xr:uid="{9a49908a-08a1-4122-8424-fac12016ec90}" ref="A79">
      <text>
        <t xml:space="preserve">[Threaded comment]
 Your version of Excel allows you to read this threaded comment; however, any edits to it will get removed if the file is opened in a newer version of Excel. Learn more: https://go.microsoft.com/fwlink/?linkid=870924
Comment:
	Can you elaborate on this? You are correct but I need your interpretation of these discrepancies.
</t>
      </text>
    </comment>
    <comment authorId="3" xr:uid="{aa319967-a5ff-49b7-9620-af1ffd5a09a3}" ref="A1">
      <text>
        <t xml:space="preserve">[Threaded comment]
 Your version of Excel allows you to read this threaded comment; however, any edits to it will get removed if the file is opened in a newer version of Excel. Learn more: https://go.microsoft.com/fwlink/?linkid=870924
Comment:
	Incomplete for MS1.
Reply:
	Marked as resolved
Reply:
	Done, the Learning Report for MS1 is now complete.
Re-opened
Reply:
	make sure to resubmit
Reply:
	done!
</t>
      </text>
    </comment>
    <comment authorId="4" xr:uid="{b121f6f7-f5ac-4f26-88e0-ab87076bedbf}" ref="A13">
      <text>
        <t xml:space="preserve">[Threaded comment]
 Your version of Excel allows you to read this threaded comment; however, any edits to it will get removed if the file is opened in a newer version of Excel. Learn more: https://go.microsoft.com/fwlink/?linkid=870924
Comment:
	I understand your course load will make things difficult. As soon as you are finished with this MA you are free on Wednesdays.
Reply:
	MS1 is the hardest part. They generally get easier for most people.
</t>
      </text>
    </comment>
  </commentList>
</comments>
</file>

<file path=xl/sharedStrings.xml><?xml version="1.0" encoding="utf-8"?>
<sst xmlns="http://schemas.openxmlformats.org/spreadsheetml/2006/main" count="1948" uniqueCount="867">
  <si>
    <t>Keyword</t>
  </si>
  <si>
    <t>Debit_1</t>
  </si>
  <si>
    <t>Transaction_ID</t>
  </si>
  <si>
    <t>Credit_1</t>
  </si>
  <si>
    <t>Amount_1</t>
  </si>
  <si>
    <t>Debit_2</t>
  </si>
  <si>
    <t>Credit_2</t>
  </si>
  <si>
    <t>Date</t>
  </si>
  <si>
    <t>Amount_2</t>
  </si>
  <si>
    <t>Description</t>
  </si>
  <si>
    <t>Debit_3</t>
  </si>
  <si>
    <t>Amount</t>
  </si>
  <si>
    <t>Credit_3</t>
  </si>
  <si>
    <t>Clerk_Suggested_Account</t>
  </si>
  <si>
    <t>Settlement_Terms</t>
  </si>
  <si>
    <t>Amount_3</t>
  </si>
  <si>
    <t>Counterparty</t>
  </si>
  <si>
    <t>Why</t>
  </si>
  <si>
    <t>Counterparty_Area</t>
  </si>
  <si>
    <t>financed by seller</t>
  </si>
  <si>
    <t>Document_Reference</t>
  </si>
  <si>
    <t>Equipment</t>
  </si>
  <si>
    <t>Cash</t>
  </si>
  <si>
    <t>Supporting_Detail</t>
  </si>
  <si>
    <t>CASHPART</t>
  </si>
  <si>
    <t>Notes Payable</t>
  </si>
  <si>
    <t>FINANCED</t>
  </si>
  <si>
    <t>bikes last years -&gt; equipment. part cash, rest owed to the seller (notes payable)</t>
  </si>
  <si>
    <t>business card; due</t>
  </si>
  <si>
    <t>Accounts Payable</t>
  </si>
  <si>
    <t>AMT</t>
  </si>
  <si>
    <t>POS lasts &gt;1 yr -&gt; equipment. paid by card so we owe it (AP)</t>
  </si>
  <si>
    <t>card balance</t>
  </si>
  <si>
    <t>paying off the card, not a new expense</t>
  </si>
  <si>
    <t>VVV-2024-001</t>
  </si>
  <si>
    <t>fleet service and dispatch</t>
  </si>
  <si>
    <t>Repairs and Maintenance Expense</t>
  </si>
  <si>
    <t>LABOUR</t>
  </si>
  <si>
    <t>School Group Expense</t>
  </si>
  <si>
    <t>GROUP</t>
  </si>
  <si>
    <t>only workshop labour is repairs, shuttle/materials go to school group</t>
  </si>
  <si>
    <t>fleet service work order</t>
  </si>
  <si>
    <t>Initial owner capital contribution</t>
  </si>
  <si>
    <t>fleet repairs</t>
  </si>
  <si>
    <t>fleet</t>
  </si>
  <si>
    <t>Owner's Capital</t>
  </si>
  <si>
    <t>Owner funds received in business bank account</t>
  </si>
  <si>
    <t>kayaks last years -&gt; equipment</t>
  </si>
  <si>
    <t>VVV owner</t>
  </si>
  <si>
    <t>facility equipment</t>
  </si>
  <si>
    <t>Verde Valley</t>
  </si>
  <si>
    <t>CAP-0101</t>
  </si>
  <si>
    <t>ours and lasts &gt;1 yr -&gt; equipment, not repairs</t>
  </si>
  <si>
    <t>The sole owner contributed cash to begin operations. VVV operates from Verde Valley. Opening business balances were zero. Owner reference O01.</t>
  </si>
  <si>
    <t>payment to inventory supplier</t>
  </si>
  <si>
    <t>paying the supplier back, reduces AP</t>
  </si>
  <si>
    <t>VVV-2024-002</t>
  </si>
  <si>
    <t>inventory on account</t>
  </si>
  <si>
    <t>Inventory</t>
  </si>
  <si>
    <t>Monthly facility rent</t>
  </si>
  <si>
    <t>stuff to resell, bought on credit</t>
  </si>
  <si>
    <t>Rent Expense</t>
  </si>
  <si>
    <t>inventory</t>
  </si>
  <si>
    <t>Automatic bank transfer; settled</t>
  </si>
  <si>
    <t>Canyon Ridge Properties</t>
  </si>
  <si>
    <t>RENT-2024-01</t>
  </si>
  <si>
    <t>stuff to resell, paid cash</t>
  </si>
  <si>
    <t>Facility rent for 2024-01; the monthly charge is paid in full.</t>
  </si>
  <si>
    <t>fee withheld</t>
  </si>
  <si>
    <t>Retail Sales Revenue</t>
  </si>
  <si>
    <t>NET</t>
  </si>
  <si>
    <t>Office and Admin Expense</t>
  </si>
  <si>
    <t>FEE</t>
  </si>
  <si>
    <t>Cost of Goods Sold</t>
  </si>
  <si>
    <t>COGS</t>
  </si>
  <si>
    <t>VVV-2024-003</t>
  </si>
  <si>
    <t>full 8000 is revenue, processor kept 240 (fee expense), goods leave inventory</t>
  </si>
  <si>
    <t>camping-supply sales</t>
  </si>
  <si>
    <t>Annual business license and operating permits</t>
  </si>
  <si>
    <t>License and Permit Expense</t>
  </si>
  <si>
    <t>Business debit card; settled</t>
  </si>
  <si>
    <t>Town of Verde Valley</t>
  </si>
  <si>
    <t>PERMIT-2024</t>
  </si>
  <si>
    <t>Business licence and operating permits for the 2024 calendar year; paid in full.</t>
  </si>
  <si>
    <t>sale + cost of the goods comes out of inventory (COGS)</t>
  </si>
  <si>
    <t>capital contribution</t>
  </si>
  <si>
    <t>owner puts money in</t>
  </si>
  <si>
    <t>VVV-2024-004</t>
  </si>
  <si>
    <t>security deposit</t>
  </si>
  <si>
    <t>Refundable facility security deposit</t>
  </si>
  <si>
    <t>Security Deposit</t>
  </si>
  <si>
    <t>Bank transfer; refundable at lease end</t>
  </si>
  <si>
    <t>refundable so it's an asset, not rent</t>
  </si>
  <si>
    <t>facility rent</t>
  </si>
  <si>
    <t>LEASE-DEP-01</t>
  </si>
  <si>
    <t>Refundable deposit for the facility lease ending December 2026; no rent is included.</t>
  </si>
  <si>
    <t>monthly rent</t>
  </si>
  <si>
    <t>license</t>
  </si>
  <si>
    <t>covers just 2024 so straight to expense</t>
  </si>
  <si>
    <t>loan proceeds</t>
  </si>
  <si>
    <t>VVV-2024-005</t>
  </si>
  <si>
    <t>Bank loan proceeds received</t>
  </si>
  <si>
    <t>Tour Revenue</t>
  </si>
  <si>
    <t>loan not revenue, we have to pay it back</t>
  </si>
  <si>
    <t>Five-year note; cash received</t>
  </si>
  <si>
    <t>Mesa Community Bank</t>
  </si>
  <si>
    <t>loan instalment</t>
  </si>
  <si>
    <t>NOTE-2401</t>
  </si>
  <si>
    <t>PRINCIPAL</t>
  </si>
  <si>
    <t>Interest Expense</t>
  </si>
  <si>
    <t>Principal $50,000. Instalments of $7,500 are due July 2024 and July 2025; the remaining $35,000 is due January 2029. Interest is billed separately.</t>
  </si>
  <si>
    <t>INTEREST</t>
  </si>
  <si>
    <t>principal pays back the loan, only the interest is an expense</t>
  </si>
  <si>
    <t>interest payment</t>
  </si>
  <si>
    <t>interest only, no principal</t>
  </si>
  <si>
    <t>VVV-2024-006</t>
  </si>
  <si>
    <t>insurance</t>
  </si>
  <si>
    <t>Monthly business insurance premium</t>
  </si>
  <si>
    <t>Insurance Expense</t>
  </si>
  <si>
    <t>monthly insurance</t>
  </si>
  <si>
    <t>office supplies</t>
  </si>
  <si>
    <t>Aspen Mutual</t>
  </si>
  <si>
    <t>all used up in 2024</t>
  </si>
  <si>
    <t>advertising</t>
  </si>
  <si>
    <t>INS-01</t>
  </si>
  <si>
    <t>Marketing Expense</t>
  </si>
  <si>
    <t>Insurance for 2024-01 only; the monthly charge is paid in full.</t>
  </si>
  <si>
    <t>ads</t>
  </si>
  <si>
    <t>payroll</t>
  </si>
  <si>
    <t>Wages Expense</t>
  </si>
  <si>
    <t>wages, includes E04's $200 travel claim</t>
  </si>
  <si>
    <t>VVV-2024-007</t>
  </si>
  <si>
    <t>utility</t>
  </si>
  <si>
    <t>Utilities Expense</t>
  </si>
  <si>
    <t>Purchased mountain-bike fleet</t>
  </si>
  <si>
    <t>monthly utilities</t>
  </si>
  <si>
    <t>$10,000 cash; $20,000 financed by seller</t>
  </si>
  <si>
    <t>safety course</t>
  </si>
  <si>
    <t>High Desert Cycles</t>
  </si>
  <si>
    <t>Training Expense</t>
  </si>
  <si>
    <t>North Mesa</t>
  </si>
  <si>
    <t>HDC-1048</t>
  </si>
  <si>
    <t>guide training</t>
  </si>
  <si>
    <t>20 new mountain bikes for business use; expected use exceeds one year. Seller principal $20,000 is interest-free and due January 2027.</t>
  </si>
  <si>
    <t>rental receipts</t>
  </si>
  <si>
    <t>Equipment Rental Revenue</t>
  </si>
  <si>
    <t>Journal</t>
  </si>
  <si>
    <t>rentals done and paid</t>
  </si>
  <si>
    <t>tour delivered; deposit applied</t>
  </si>
  <si>
    <t>Unearned Revenue</t>
  </si>
  <si>
    <t>VVV-2024-008</t>
  </si>
  <si>
    <t>DEP</t>
  </si>
  <si>
    <t>Purchased kayak fleet</t>
  </si>
  <si>
    <t>Accounts Receivable</t>
  </si>
  <si>
    <t>REST</t>
  </si>
  <si>
    <t>Bank transfer; settled</t>
  </si>
  <si>
    <t>Riverline Outfitters</t>
  </si>
  <si>
    <t>no cash today: feb deposit now earned + rest billed (AR)</t>
  </si>
  <si>
    <t>Pine Crossing</t>
  </si>
  <si>
    <t>RO-7712</t>
  </si>
  <si>
    <t>event completed; deposit applied</t>
  </si>
  <si>
    <t>20 new kayaks for business use; expected use exceeds one year.</t>
  </si>
  <si>
    <t>Event Revenue</t>
  </si>
  <si>
    <t>april deposit now earned + rest paid now</t>
  </si>
  <si>
    <t>completed on account</t>
  </si>
  <si>
    <t>VVV-2024-009</t>
  </si>
  <si>
    <t>Purchased computer and point-of-sale system</t>
  </si>
  <si>
    <t>tour done so revenue now, cash later</t>
  </si>
  <si>
    <t>Office Supplies Expense</t>
  </si>
  <si>
    <t>collected</t>
  </si>
  <si>
    <t>Business card; due next month</t>
  </si>
  <si>
    <t>Summit Technology</t>
  </si>
  <si>
    <t>customer pays what they owed</t>
  </si>
  <si>
    <t>ST-22014</t>
  </si>
  <si>
    <t>deposit</t>
  </si>
  <si>
    <t>Computer and POS hardware for business use; expected use exceeds one year. Card balance due February 5.</t>
  </si>
  <si>
    <t>paid before the service -&gt; not earned yet (unearned)</t>
  </si>
  <si>
    <t>tour revenue</t>
  </si>
  <si>
    <t>VVV-2024-010</t>
  </si>
  <si>
    <t>tours done and paid</t>
  </si>
  <si>
    <t>Equipment rental receipts batch</t>
  </si>
  <si>
    <t>event revenue</t>
  </si>
  <si>
    <t>Rental Revenue</t>
  </si>
  <si>
    <t>Cash and card receipts; settled</t>
  </si>
  <si>
    <t>Multiple customers</t>
  </si>
  <si>
    <t>events done and paid</t>
  </si>
  <si>
    <t>Various locations</t>
  </si>
  <si>
    <t>RENTAL-01</t>
  </si>
  <si>
    <t>Services in this receipts batch were completed by the transaction date; all cash and customer-card receipts were deposited.</t>
  </si>
  <si>
    <t>VVV-2024-011</t>
  </si>
  <si>
    <t>Purchased office supplies</t>
  </si>
  <si>
    <t>Pine Office Supply</t>
  </si>
  <si>
    <t>POS-4811</t>
  </si>
  <si>
    <t>Front-desk paper, forms and printer materials; all supplies in this purchase were used during 2024.</t>
  </si>
  <si>
    <t>VVV-2024-012</t>
  </si>
  <si>
    <t>Purchased initial retail inventory</t>
  </si>
  <si>
    <t>Debit Account</t>
  </si>
  <si>
    <t>Trail Goods Cooperative</t>
  </si>
  <si>
    <t>TGC-1001</t>
  </si>
  <si>
    <t>Credit Account</t>
  </si>
  <si>
    <t>Camping supplies held for resale.</t>
  </si>
  <si>
    <t>Note</t>
  </si>
  <si>
    <t>Check</t>
  </si>
  <si>
    <t>VVV-2024-013</t>
  </si>
  <si>
    <t>Opening advertising campaign</t>
  </si>
  <si>
    <t>Northstar Media</t>
  </si>
  <si>
    <t>NM-2401</t>
  </si>
  <si>
    <t>Total Debits</t>
  </si>
  <si>
    <t>Print and digital placements completed in January; paid in full.</t>
  </si>
  <si>
    <t>VVV-2024-014</t>
  </si>
  <si>
    <t>Retail camping-supply sales</t>
  </si>
  <si>
    <t>RETAIL-01</t>
  </si>
  <si>
    <t>Chart of accounts</t>
  </si>
  <si>
    <t>Gross sales: $3,000. Cost of goods sold: $1,800. Goods were delivered to customers on this date.</t>
  </si>
  <si>
    <t>VVV-2024-015</t>
  </si>
  <si>
    <t>Employee payroll settlement</t>
  </si>
  <si>
    <t>Payroll and claims paid from business bank account</t>
  </si>
  <si>
    <t>VVV employees</t>
  </si>
  <si>
    <t>PAY-0124</t>
  </si>
  <si>
    <t>Wages $7,000: work 346 h at $20/h; instruction 4 h at $20/h. Travel claim $200 (E04-0124). Claimant E04; claims payee P-4816. E04: operations administrator. Wage release O01; claim check O01. Work and instruction completed by payroll date.</t>
  </si>
  <si>
    <t>VVV-2024-016</t>
  </si>
  <si>
    <t>Monthly utility settlement</t>
  </si>
  <si>
    <t>Paid from business bank account</t>
  </si>
  <si>
    <t>How the account number works</t>
  </si>
  <si>
    <t>Verde Valley Utilities</t>
  </si>
  <si>
    <t>VVU-01</t>
  </si>
  <si>
    <t>Meter V01: 2470 kWh at $0.20/kWh; water and internet $200. Facility open 140 h. Covers 2024-01-01 to 2024-01-31.</t>
  </si>
  <si>
    <t>VVV-2024-017</t>
  </si>
  <si>
    <t>RENT-02</t>
  </si>
  <si>
    <t>Facility rent for 2024-02; the monthly charge is paid in full.</t>
  </si>
  <si>
    <t>Assets</t>
  </si>
  <si>
    <t>VVV-2024-018</t>
  </si>
  <si>
    <t>Paid business card balance for computer/POS purchase</t>
  </si>
  <si>
    <t>Credit Card Payable</t>
  </si>
  <si>
    <t>Online payment; settled</t>
  </si>
  <si>
    <t>Mesa Business Card</t>
  </si>
  <si>
    <t>CCPAY-0205</t>
  </si>
  <si>
    <t>Full settlement of the computer/POS card purchase recorded on January 12.</t>
  </si>
  <si>
    <t>Liabilities</t>
  </si>
  <si>
    <t>VVV-2024-019</t>
  </si>
  <si>
    <t>INS-02</t>
  </si>
  <si>
    <t>Insurance for 2024-02 only; the monthly charge is paid in full.</t>
  </si>
  <si>
    <t>VVV-2024-020</t>
  </si>
  <si>
    <t>RENTAL-02</t>
  </si>
  <si>
    <t>Equity</t>
  </si>
  <si>
    <t>VVV-2024-021</t>
  </si>
  <si>
    <t>Customer deposit for May corporate tour</t>
  </si>
  <si>
    <t>Bank transfer received; tour scheduled for May</t>
  </si>
  <si>
    <t>Red Mesa Design Group</t>
  </si>
  <si>
    <t>RMDG-DEP-0213</t>
  </si>
  <si>
    <t>Advance payment; service not yet provided.</t>
  </si>
  <si>
    <t>VVV-2024-022</t>
  </si>
  <si>
    <t>Purchased retail inventory on account</t>
  </si>
  <si>
    <t>Numbers</t>
  </si>
  <si>
    <t>Supplier invoice; payment by agreed instalments</t>
  </si>
  <si>
    <t>TGC-1177</t>
  </si>
  <si>
    <t>Inventory received. $4,000 due March 6, 2024; $2,000 due January 15, 2025. No interest charged.</t>
  </si>
  <si>
    <t>VVV-2024-023</t>
  </si>
  <si>
    <t>RETAIL-02</t>
  </si>
  <si>
    <t>Gross sales: $4,000. Cost of goods sold: $2,400. Goods were delivered to customers on this date.</t>
  </si>
  <si>
    <t>Type</t>
  </si>
  <si>
    <t>VVV-2024-024</t>
  </si>
  <si>
    <t>Guided tour revenue</t>
  </si>
  <si>
    <t>TOUR-02</t>
  </si>
  <si>
    <t>What it means</t>
  </si>
  <si>
    <t>Accounts in this group</t>
  </si>
  <si>
    <t>VVV-2024-025</t>
  </si>
  <si>
    <t>No.</t>
  </si>
  <si>
    <t>PAY-0224</t>
  </si>
  <si>
    <t>Wages $8,000: work 396 h at $20/h; instruction 4 h at $20/h. Travel claim $200 (E04-0224). Claimant E04; claims payee P-4816. E04: operations administrator. Wage release O01; claim check O01. Work and instruction completed by payroll date.</t>
  </si>
  <si>
    <t>VVV-2024-026</t>
  </si>
  <si>
    <t>Account</t>
  </si>
  <si>
    <t>VVU-02</t>
  </si>
  <si>
    <t>Meter V01: 2770 kWh at $0.20/kWh; water and internet $200. Facility open 160 h. Covers 2024-02-01 to 2024-02-29.</t>
  </si>
  <si>
    <t>VVV-2024-027</t>
  </si>
  <si>
    <t>RENT-03</t>
  </si>
  <si>
    <t>Facility rent for 2024-03; the monthly charge is paid in full.</t>
  </si>
  <si>
    <t>VVV-2024-028</t>
  </si>
  <si>
    <t>INS-03</t>
  </si>
  <si>
    <t>Insurance for 2024-03 only; the monthly charge is paid in full.</t>
  </si>
  <si>
    <t>VVV-2024-029</t>
  </si>
  <si>
    <t>Partial payment to inventory supplier</t>
  </si>
  <si>
    <t>APPAY-0306</t>
  </si>
  <si>
    <t>Paid $4,000 against the February inventory invoice; $2,000 remains due January 2025.</t>
  </si>
  <si>
    <t>VVV-2024-030</t>
  </si>
  <si>
    <t>RENTAL-03</t>
  </si>
  <si>
    <t>Booking G0310, completed 2024-03-10: 18 rentals at $20, receipts $360. Other completed services in batch: $7,140. All cash and customer-card receipts were deposited; no balance is due.</t>
  </si>
  <si>
    <t>VVV-2024-031</t>
  </si>
  <si>
    <t>RETAIL-03</t>
  </si>
  <si>
    <t>Gross sales: $5,000. Cost of goods sold: $3,000. Goods were delivered to customers on this date.</t>
  </si>
  <si>
    <t>1xx</t>
  </si>
  <si>
    <t>VVV-2024-032</t>
  </si>
  <si>
    <t>Fleet service and dispatch</t>
  </si>
  <si>
    <t>Stonefield Outdoor Services</t>
  </si>
  <si>
    <t>STF-0318-032</t>
  </si>
  <si>
    <t>Asset</t>
  </si>
  <si>
    <t>FS1 workshop labour 28 h at $100/h: $2,800. Shuttle for G0310: $600; route R3, Verde Valley School to Riverside Landing, 18 pupil places. Group service completed 2024-03-10; materials consumed on the day. Invoice paid in full by VVV. Entered E02; released O01; transfer payee P-6308.</t>
  </si>
  <si>
    <t>stuff we own or are owed</t>
  </si>
  <si>
    <t>VVV-2024-033</t>
  </si>
  <si>
    <t>101 Cash, 110 AR, 120 Inventory, 130 Security Deposit, 150 Equipment</t>
  </si>
  <si>
    <t>STF-0318-033</t>
  </si>
  <si>
    <t>FS1 workshop labour 18 h at $100/h: $1,800. Activity materials and equipment fitting for G0310: $650; 18 pupil places on route R3. Group service completed 2024-03-10; materials consumed on the day. Invoice paid in full by VVV. Entered E02; released O01; transfer payee P-6308.</t>
  </si>
  <si>
    <t>VVV-2024-034</t>
  </si>
  <si>
    <t>Corporate guided tour completed on account</t>
  </si>
  <si>
    <t>Accounts Receivable / Tour Revenue</t>
  </si>
  <si>
    <t>Invoice; due in 60 days</t>
  </si>
  <si>
    <t>Juniper Health Network</t>
  </si>
  <si>
    <t>JHN-0320</t>
  </si>
  <si>
    <t>Tour completed and customer invoiced; no cash received on transaction date.</t>
  </si>
  <si>
    <t>bank account (debit card + card receipts too)</t>
  </si>
  <si>
    <t>VVV-2024-035</t>
  </si>
  <si>
    <t>what we owe suppliers (inventory + the credit card)</t>
  </si>
  <si>
    <t>PAY-0324</t>
  </si>
  <si>
    <t>Wages $9,000: work 446 h at $20/h; instruction 4 h at $20/h. Travel claim $200 (E04-0324). Claimant E04; claims payee P-4816. E04: operations administrator. Wage release O01; claim check O01. Work and instruction completed by payroll date.</t>
  </si>
  <si>
    <t>owner's own money put in</t>
  </si>
  <si>
    <t>VVV-2024-036</t>
  </si>
  <si>
    <t>2xx</t>
  </si>
  <si>
    <t>VVU-03</t>
  </si>
  <si>
    <t>Meter V01: 3165 kWh at $0.20/kWh; water and internet $200. Facility open 180 h. Covers 2024-03-01 to 2024-03-31.</t>
  </si>
  <si>
    <t>Liability</t>
  </si>
  <si>
    <t>VVV-2024-037</t>
  </si>
  <si>
    <t>what we owe others</t>
  </si>
  <si>
    <t>201 AP, 210 Unearned Revenue, 220 Notes Payable</t>
  </si>
  <si>
    <t>RENT-04</t>
  </si>
  <si>
    <t>Facility rent for 2024-04; the monthly charge is paid in full.</t>
  </si>
  <si>
    <t>VVV-2024-038</t>
  </si>
  <si>
    <t>Fleet service work order</t>
  </si>
  <si>
    <t>customers who owe us for tours already done</t>
  </si>
  <si>
    <t>Peak Outdoor Maintenance</t>
  </si>
  <si>
    <t>POM-0405-038</t>
  </si>
  <si>
    <t>deposits for stuff we haven't done yet</t>
  </si>
  <si>
    <t>Scope FS1: workshop labour; 20 hours. Completed work on the VVV rental fleet. Entered E02; released O01; transfer payee P-2175.</t>
  </si>
  <si>
    <t>VVV-2024-039</t>
  </si>
  <si>
    <t>+ Revenue</t>
  </si>
  <si>
    <t>INS-04</t>
  </si>
  <si>
    <t>Insurance for 2024-04 only; the monthly charge is paid in full.</t>
  </si>
  <si>
    <t>3xx</t>
  </si>
  <si>
    <t>VVV-2024-040</t>
  </si>
  <si>
    <t>the owner's part of the business</t>
  </si>
  <si>
    <t>301 Owner's Capital</t>
  </si>
  <si>
    <t>RENTAL-04</t>
  </si>
  <si>
    <t>camping stuff we bought to resell</t>
  </si>
  <si>
    <t>VVV-2024-041</t>
  </si>
  <si>
    <t>Purchased additional retail inventory</t>
  </si>
  <si>
    <t>TGC-1410</t>
  </si>
  <si>
    <t>Camping supplies received and held for resale.</t>
  </si>
  <si>
    <t>VVV-2024-042</t>
  </si>
  <si>
    <t>loans: 50k bank loan + 20k owed to the bike seller</t>
  </si>
  <si>
    <t>RETAIL-04</t>
  </si>
  <si>
    <t>Gross sales: $6,500. Cost of goods sold: $3,900. Goods were delivered to customers on this date.</t>
  </si>
  <si>
    <t>renting bikes/kayaks</t>
  </si>
  <si>
    <t>4xx</t>
  </si>
  <si>
    <t>Revenue</t>
  </si>
  <si>
    <t>VVV-2024-043</t>
  </si>
  <si>
    <t>money earned from customers</t>
  </si>
  <si>
    <t>401 Equipment Rental, 402 Tour, 403 Retail Sales, 404 Event</t>
  </si>
  <si>
    <t>TOUR-04</t>
  </si>
  <si>
    <t>VVV-2024-044</t>
  </si>
  <si>
    <t>Seasonal guide safety course</t>
  </si>
  <si>
    <t>lease deposit, we get it back in 2026</t>
  </si>
  <si>
    <t>Backcountry Safety Institute</t>
  </si>
  <si>
    <t>BSI-0422</t>
  </si>
  <si>
    <t>Course completed by employees E01-E04; supplier paid directly from the business account.</t>
  </si>
  <si>
    <t>VVV-2024-045</t>
  </si>
  <si>
    <t>PAY-0424</t>
  </si>
  <si>
    <t>guided tours</t>
  </si>
  <si>
    <t>Wages $10,000: work 496 h at $20/h; instruction 4 h at $20/h. Travel claim $200 (E04-0424). Claimant E04; claims payee P-4816. E04: operations administrator. Wage release O01; claim check O01. Work and instruction completed by payroll date.</t>
  </si>
  <si>
    <t>5xx</t>
  </si>
  <si>
    <t>Expense</t>
  </si>
  <si>
    <t>VVV-2024-046</t>
  </si>
  <si>
    <t>Customer deposits for June solstice event</t>
  </si>
  <si>
    <t>costs of running the business</t>
  </si>
  <si>
    <t>Cash and card receipts; event scheduled for June</t>
  </si>
  <si>
    <t>501 COGS, 510-580 operating expenses</t>
  </si>
  <si>
    <t>EVENT-DEP-0425</t>
  </si>
  <si>
    <t>Advance registrations; event service not yet provided.</t>
  </si>
  <si>
    <t>VVV-2024-047</t>
  </si>
  <si>
    <t>VVU-04</t>
  </si>
  <si>
    <t>Meter V01: 3490 kWh at $0.20/kWh; water and internet $200. Facility open 200 h. Covers 2024-04-01 to 2024-04-30.</t>
  </si>
  <si>
    <t>bikes, kayaks, POS, paddles, handrails</t>
  </si>
  <si>
    <t>VVV-2024-048</t>
  </si>
  <si>
    <t>RENT-05</t>
  </si>
  <si>
    <t>Facility rent for 2024-05; the monthly charge is paid in full.</t>
  </si>
  <si>
    <t>selling camping supplies</t>
  </si>
  <si>
    <t>VVV-2024-049</t>
  </si>
  <si>
    <t>Rule</t>
  </si>
  <si>
    <t>Collected part of March corporate tour receivable</t>
  </si>
  <si>
    <t>first digit = type. inside each group, most liquid / most important first</t>
  </si>
  <si>
    <t>Bank transfer received</t>
  </si>
  <si>
    <t>ARCOLL-0505</t>
  </si>
  <si>
    <t>Partial collection of invoice JHN-0320.</t>
  </si>
  <si>
    <t>VVV-2024-050</t>
  </si>
  <si>
    <t>INS-05</t>
  </si>
  <si>
    <t>Insurance for 2024-05 only; the monthly charge is paid in full.</t>
  </si>
  <si>
    <t>seasonal events</t>
  </si>
  <si>
    <t>Gaps</t>
  </si>
  <si>
    <t>VVV-2024-051</t>
  </si>
  <si>
    <t>numbers skip on purpose (e.g. 130 -&gt; 150) so new accounts can be added later, like 151 Accumulated Depreciation</t>
  </si>
  <si>
    <t>RENTAL-05</t>
  </si>
  <si>
    <t>VVV-2024-052</t>
  </si>
  <si>
    <t>- Expenses</t>
  </si>
  <si>
    <t>Card processor; fee withheld</t>
  </si>
  <si>
    <t>RETAIL-05</t>
  </si>
  <si>
    <t>Gross sale $8,000; processor deposited $7,760 and withheld a $240 fee. Cost of goods sold: $4,800. Goods were delivered to customers on this date.</t>
  </si>
  <si>
    <t>(suggested by AI)</t>
  </si>
  <si>
    <t>VVV-2024-053</t>
  </si>
  <si>
    <t>Corporate guided tour delivered; deposit applied</t>
  </si>
  <si>
    <t>$4,000 prior deposit applied; $5,000 invoiced</t>
  </si>
  <si>
    <t>RMDG-0520</t>
  </si>
  <si>
    <t>Service completed in May. Customer paid a $4,000 deposit in February; remaining balance billed after the tour.</t>
  </si>
  <si>
    <t>VVV-2024-054</t>
  </si>
  <si>
    <t>PAY-0524</t>
  </si>
  <si>
    <t>Wages $11,040: work 548 h at $20/h; instruction 4 h at $20/h. Travel claim $200 (E04-0524). Claimant E04; claims payee P-4816. E04: operations administrator. Wage release O01; claim check O01. Work and instruction completed by payroll date.</t>
  </si>
  <si>
    <t>what the stuff we sold cost us</t>
  </si>
  <si>
    <t>VVV-2024-055</t>
  </si>
  <si>
    <t>Inventory / Accounts Payable</t>
  </si>
  <si>
    <t>staff pay (incl. E04's monthly travel claim)</t>
  </si>
  <si>
    <t>TGC-1533</t>
  </si>
  <si>
    <t>Inventory received. $3,000 due June 6 and $2,000 due September 5, 2024; $4,000 due January 15, 2025. No interest charged.</t>
  </si>
  <si>
    <t>VVV-2024-056</t>
  </si>
  <si>
    <t>VVU-05</t>
  </si>
  <si>
    <t>electricity, water, internet</t>
  </si>
  <si>
    <t>Meter V01: 4240 kWh at $0.20/kWh; water and internet $200. Facility open 240 h. Covers 2024-05-01 to 2024-05-31.</t>
  </si>
  <si>
    <t>VVV-2024-057</t>
  </si>
  <si>
    <t>Facility equipment purchase</t>
  </si>
  <si>
    <t>Ridge Supply House</t>
  </si>
  <si>
    <t>yearly licence/permits</t>
  </si>
  <si>
    <t>FAC-0528</t>
  </si>
  <si>
    <t>Equipment pool J24: 24 adjustable-length paddles and two storage racks, owned by VVV. Installed for business use; expected use exceeds one year. Entered E02; released O01; transfer payee P-5502.</t>
  </si>
  <si>
    <t>VVV-2024-058</t>
  </si>
  <si>
    <t>paper, forms, printer stuff + card fees</t>
  </si>
  <si>
    <t>RENT-06</t>
  </si>
  <si>
    <t>Facility rent for 2024-06; the monthly charge is paid in full.</t>
  </si>
  <si>
    <t>VVV-2024-059</t>
  </si>
  <si>
    <t>Collected part of May corporate tour receivable</t>
  </si>
  <si>
    <t>ARCOLL-0605</t>
  </si>
  <si>
    <t>Partial collection of invoice RMDG-0520.</t>
  </si>
  <si>
    <t>VVV-2024-060</t>
  </si>
  <si>
    <t>workshop labour on the fleet</t>
  </si>
  <si>
    <t>INS-06</t>
  </si>
  <si>
    <t>Insurance for 2024-06 only; the monthly charge is paid in full.</t>
  </si>
  <si>
    <t>VVV-2024-061</t>
  </si>
  <si>
    <t>shuttles + materials for the school groups</t>
  </si>
  <si>
    <t>APPAY-0606</t>
  </si>
  <si>
    <t>Paid $3,000 against the May inventory invoice under its instalment schedule.</t>
  </si>
  <si>
    <t>VVV-2024-062</t>
  </si>
  <si>
    <t>guide safety course</t>
  </si>
  <si>
    <t>RENTAL-06</t>
  </si>
  <si>
    <t>VVV-2024-063</t>
  </si>
  <si>
    <t>interest on the bank loan</t>
  </si>
  <si>
    <t>STF-0617-063</t>
  </si>
  <si>
    <t>FS1 workshop labour 32 h at $100/h: $3,200. Shuttle for G0615: $720; route R3, Verde Valley School to Riverside Landing, 24 pupil places. Group service completed 2024-06-15; materials consumed on the day. VVV equipment pool J24 issued for G0615. Two sessions of 12 pupils; equipment reused between sessions. Invoice paid in full by VVV. Entered E02; released O01; transfer payee P-6308.</t>
  </si>
  <si>
    <t>VVV-2024-064</t>
  </si>
  <si>
    <t>STF-0617-064</t>
  </si>
  <si>
    <t>FS1 workshop labour 22 h at $100/h: $2,200. Activity materials and equipment fitting for G0615: $680; 24 pupil places on route R3. Group service completed 2024-06-15; materials consumed on the day. VVV equipment pool J24 issued for G0615. Two sessions of 12 pupils; equipment reused between sessions. Invoice paid in full by VVV. Entered E02; released O01; transfer payee P-6308.</t>
  </si>
  <si>
    <t>Accounts from journal</t>
  </si>
  <si>
    <t>VVV-2024-065</t>
  </si>
  <si>
    <t>How many used</t>
  </si>
  <si>
    <t>RETAIL-06</t>
  </si>
  <si>
    <t>Gross sales: $9,000. Cost of goods sold: $5,400. Goods were delivered to customers on this date.</t>
  </si>
  <si>
    <t>How many available</t>
  </si>
  <si>
    <t>VVV-2024-066</t>
  </si>
  <si>
    <t>TOUR-06</t>
  </si>
  <si>
    <t>Booking G0615, completed 2024-06-15: 24 tour places at $20, receipts $480. Other completed services in batch: $11,520. All cash and customer-card receipts were deposited; no balance is due.</t>
  </si>
  <si>
    <t>VVV-2024-067</t>
  </si>
  <si>
    <t>Total Credits</t>
  </si>
  <si>
    <t>Summer solstice event completed; deposit applied</t>
  </si>
  <si>
    <t>$3,000 prior deposit applied; $4,500 received</t>
  </si>
  <si>
    <t>EVENT-06</t>
  </si>
  <si>
    <t>Event completed in June; April deposit applied to total event price.</t>
  </si>
  <si>
    <t>VVV-2024-068</t>
  </si>
  <si>
    <t>PAY-0624</t>
  </si>
  <si>
    <t>Wages $11,960: work 594 h at $20/h; instruction 4 h at $20/h. Travel claim $200 (E04-0624). Claimant E04; claims payee P-4816. E04: operations administrator. Wage release O01; claim check O01. Work includes E02/E03, 6 h each on G0615, route R3; included in the work hours above. Work and instruction completed by payroll date.</t>
  </si>
  <si>
    <t>VVV-2024-069</t>
  </si>
  <si>
    <t>Facility equipment installation</t>
  </si>
  <si>
    <t>covers just 2024 so i put it straight to expense</t>
  </si>
  <si>
    <t>Mesa Mechanical</t>
  </si>
  <si>
    <t>FAC-0625</t>
  </si>
  <si>
    <t>Two launch-assist handrails and a boarding step fitted at the VVV landing, model LA2. Installed June 25; owned by VVV; expected use exceeds one year. Entered E02; released O01; transfer payee P-7720.</t>
  </si>
  <si>
    <t>VVV-2024-070</t>
  </si>
  <si>
    <t>VVU-06</t>
  </si>
  <si>
    <t>Meter V01: 4865 kWh at $0.20/kWh; water and internet $200. Facility open 280 h. Covers 2024-06-01 to 2024-06-30.</t>
  </si>
  <si>
    <t>VVV-2024-071</t>
  </si>
  <si>
    <t>RENT-07</t>
  </si>
  <si>
    <t>Facility rent for 2024-07; the monthly charge is paid in full.</t>
  </si>
  <si>
    <t>VVV-2024-072</t>
  </si>
  <si>
    <t>POM-0705-072</t>
  </si>
  <si>
    <t>Scope FS1: workshop labour; 18 hours. Completed work on the VVV rental fleet. Entered E02; released O01; transfer payee P-2175.</t>
  </si>
  <si>
    <t>clerk had rent exp but it's refundable so it's an asset</t>
  </si>
  <si>
    <t>VVV-2024-073</t>
  </si>
  <si>
    <t>INS-07</t>
  </si>
  <si>
    <t>Status</t>
  </si>
  <si>
    <t>Insurance for 2024-07 only; the monthly charge is paid in full.</t>
  </si>
  <si>
    <t>VVV-2024-074</t>
  </si>
  <si>
    <t>RENTAL-07</t>
  </si>
  <si>
    <t>VVV-2024-075</t>
  </si>
  <si>
    <t>RETAIL-07</t>
  </si>
  <si>
    <t>Gross sales: $10,000. Cost of goods sold: $6,000. Goods were delivered to customers on this date.</t>
  </si>
  <si>
    <t>VVV-2024-076</t>
  </si>
  <si>
    <t>TOUR-07</t>
  </si>
  <si>
    <t>VVV-2024-077</t>
  </si>
  <si>
    <t>Seasonal event revenue</t>
  </si>
  <si>
    <t>EVENT-07</t>
  </si>
  <si>
    <t>VVV-2024-078</t>
  </si>
  <si>
    <t>TGC-1708</t>
  </si>
  <si>
    <t>VVV-2024-079</t>
  </si>
  <si>
    <t>PAY-0724</t>
  </si>
  <si>
    <t>Wages $13,080: work 650 h at $20/h; instruction 4 h at $20/h. Travel claim $200 (E04-0724). Claimant E04; claims payee P-4816. E04: operations administrator. Wage release O01; claim check O01. Work and instruction completed by payroll date.</t>
  </si>
  <si>
    <t>VVV-2024-080</t>
  </si>
  <si>
    <t>Bank loan instalment and interest paid</t>
  </si>
  <si>
    <t>$7,500 principal and $1,500 interest; bank transfer</t>
  </si>
  <si>
    <t>NOTE-PAY-0725</t>
  </si>
  <si>
    <t>Bank statement: principal $7,500; interest $1,500 covering January 6 to July 25, 2024.</t>
  </si>
  <si>
    <t>VVV-2024-081</t>
  </si>
  <si>
    <t>bikes last years -&gt; equipment. 20k owed to seller goes in notes payable</t>
  </si>
  <si>
    <t>VVU-07</t>
  </si>
  <si>
    <t>Meter V01: 5770 kWh at $0.20/kWh; water and internet $200. Facility open 320 h. Covers 2024-07-01 to 2024-07-31.</t>
  </si>
  <si>
    <t>VVV-2024-082</t>
  </si>
  <si>
    <t>RENT-08</t>
  </si>
  <si>
    <t>Facility rent for 2024-08; the monthly charge is paid in full.</t>
  </si>
  <si>
    <t>VVV-2024-083</t>
  </si>
  <si>
    <t>INS-08</t>
  </si>
  <si>
    <t>Insurance for 2024-08 only; the monthly charge is paid in full.</t>
  </si>
  <si>
    <t>VVV-2024-084</t>
  </si>
  <si>
    <t>RENTAL-08</t>
  </si>
  <si>
    <t>VVV-2024-085</t>
  </si>
  <si>
    <t>RETAIL-08</t>
  </si>
  <si>
    <t>VVV-2024-086</t>
  </si>
  <si>
    <t>TOUR-08</t>
  </si>
  <si>
    <t>VVV-2024-087</t>
  </si>
  <si>
    <t>Collected remaining corporate tour receivables</t>
  </si>
  <si>
    <t>Two bank transfers received</t>
  </si>
  <si>
    <t>Juniper Health Network and Red Mesa Design Group</t>
  </si>
  <si>
    <t>ARCOLL-0822</t>
  </si>
  <si>
    <t>$2,000 collected from each customer; both older invoices settled.</t>
  </si>
  <si>
    <t>VVV-2024-088</t>
  </si>
  <si>
    <t>not supplies, POS is equipment. paid by card -&gt; AP till we pay it off</t>
  </si>
  <si>
    <t>EVENT-08</t>
  </si>
  <si>
    <t>VVV-2024-089</t>
  </si>
  <si>
    <t>PAY-0824</t>
  </si>
  <si>
    <t>Wages $11,920: work 592 h at $20/h; instruction 4 h at $20/h. Travel claim $200 (E04-0824). Claimant E04; claims payee P-4816. E04: operations administrator. Wage release O01; claim check O01. Work and instruction completed by payroll date.</t>
  </si>
  <si>
    <t>VVV-2024-090</t>
  </si>
  <si>
    <t>VVU-08</t>
  </si>
  <si>
    <t>Meter V01: 5135 kWh at $0.20/kWh; water and internet $200. Facility open 300 h. Covers 2024-08-01 to 2024-08-31.</t>
  </si>
  <si>
    <t>VVV-2024-091</t>
  </si>
  <si>
    <t>RENT-09</t>
  </si>
  <si>
    <t>Facility rent for 2024-09; the monthly charge is paid in full.</t>
  </si>
  <si>
    <t>VVV-2024-092</t>
  </si>
  <si>
    <t>APPAY-0905</t>
  </si>
  <si>
    <t>Paid $2,000 against the May inventory invoice; its final $4,000 is due January 2025.</t>
  </si>
  <si>
    <t>VVV-2024-093</t>
  </si>
  <si>
    <t>INS-09</t>
  </si>
  <si>
    <t>Insurance for 2024-09 only; the monthly charge is paid in full.</t>
  </si>
  <si>
    <t>VVV-2024-094</t>
  </si>
  <si>
    <t>RENTAL-09</t>
  </si>
  <si>
    <t>VVV-2024-095</t>
  </si>
  <si>
    <t>STF-0916-095</t>
  </si>
  <si>
    <t>FS1 workshop labour 34 h at $100/h: $3,400. Shuttle for G0914: $800; route R3, Verde Valley School to Riverside Landing, 30 pupil places. Group service completed 2024-09-14; materials consumed on the day. VVV equipment pool J24 issued for G0914. Two sessions of 15 pupils; equipment reused between sessions. Invoice paid in full by VVV. Entered E02; released O01; transfer payee P-6308.</t>
  </si>
  <si>
    <t>VVV-2024-096</t>
  </si>
  <si>
    <t>STF-0916-096</t>
  </si>
  <si>
    <t>FS1 workshop labour 24 h at $100/h: $2,400. Activity materials and equipment fitting for G0914: $720; 30 pupil places on route R3. Group service completed 2024-09-14; materials consumed on the day. VVV equipment pool J24 issued for G0914. Two sessions of 15 pupils; equipment reused between sessions. Invoice paid in full by VVV. Entered E02; released O01; transfer payee P-6308.</t>
  </si>
  <si>
    <t>VVV-2024-097</t>
  </si>
  <si>
    <t>RETAIL-09</t>
  </si>
  <si>
    <t>Gross sales: $7,000. Cost of goods sold: $4,200. Goods were delivered to customers on this date.</t>
  </si>
  <si>
    <t>VVV-2024-098</t>
  </si>
  <si>
    <t>TOUR-09</t>
  </si>
  <si>
    <t>Booking G0914, completed 2024-09-14: 30 tour places at $20, receipts $600. Other completed services in batch: $7,400. All cash and customer-card receipts were deposited; no balance is due.</t>
  </si>
  <si>
    <t>VVV-2024-099</t>
  </si>
  <si>
    <t>PAY-0924</t>
  </si>
  <si>
    <t>Wages $10,040: work 498 h at $20/h; instruction 4 h at $20/h. Travel claim $200 (E04-0924). Claimant E04; claims payee P-4816. E04: operations administrator. Wage release O01; claim check O01. Work includes E02/E03, 7.5 h each on G0914, route R3; included in the work hours above. Work and instruction completed by payroll date.</t>
  </si>
  <si>
    <t>VVV-2024-100</t>
  </si>
  <si>
    <t>VVU-09</t>
  </si>
  <si>
    <t>Meter V01: 4270 kWh at $0.20/kWh; water and internet $200. Facility open 240 h. Covers 2024-09-01 to 2024-09-30.</t>
  </si>
  <si>
    <t>VVV-2024-101</t>
  </si>
  <si>
    <t>RENT-10</t>
  </si>
  <si>
    <t>Facility rent for 2024-10; the monthly charge is paid in full.</t>
  </si>
  <si>
    <t>VVV-2024-102</t>
  </si>
  <si>
    <t>POM-1005-102</t>
  </si>
  <si>
    <t>Scope FS1: workshop labour; 10 hours. Completed work on the VVV rental fleet. Entered E02; released O01; transfer payee P-2175.</t>
  </si>
  <si>
    <t>VVV-2024-103</t>
  </si>
  <si>
    <t>INS-10</t>
  </si>
  <si>
    <t>Insurance for 2024-10 only; the monthly charge is paid in full.</t>
  </si>
  <si>
    <t>VVV-2024-104</t>
  </si>
  <si>
    <t>RENTAL-10</t>
  </si>
  <si>
    <t>sale + take cost out of inventory (COGS)</t>
  </si>
  <si>
    <t>VVV-2024-105</t>
  </si>
  <si>
    <t>Invoice; due January 2025</t>
  </si>
  <si>
    <t>Cedar Peak School</t>
  </si>
  <si>
    <t>CPS-1020</t>
  </si>
  <si>
    <t>Service completed and billed; balance remains unpaid at year-end.</t>
  </si>
  <si>
    <t>VVV-2024-106</t>
  </si>
  <si>
    <t>PAY-1024</t>
  </si>
  <si>
    <t>Wages $8,460: work 419 h at $20/h; instruction 4 h at $20/h. Travel claim $200 (E04-1024). Claimant E04; claims payee P-4816. E04: operations administrator. Wage release O01; claim check O01. Work and instruction completed by payroll date.</t>
  </si>
  <si>
    <t>VVV-2024-107</t>
  </si>
  <si>
    <t>VVU-10</t>
  </si>
  <si>
    <t>Meter V01: 3395 kWh at $0.20/kWh; water and internet $200. Facility open 200 h. Covers 2024-10-01 to 2024-10-31.</t>
  </si>
  <si>
    <t>VVV-2024-108</t>
  </si>
  <si>
    <t>RENT-11</t>
  </si>
  <si>
    <t>Facility rent for 2024-11; the monthly charge is paid in full.</t>
  </si>
  <si>
    <t>VVV-2024-109</t>
  </si>
  <si>
    <t>INS-11</t>
  </si>
  <si>
    <t>Insurance for 2024-11 only; the monthly charge is paid in full.</t>
  </si>
  <si>
    <t>VVV-2024-110</t>
  </si>
  <si>
    <t>RENTAL-11</t>
  </si>
  <si>
    <t>VVV-2024-111</t>
  </si>
  <si>
    <t>TOUR-11</t>
  </si>
  <si>
    <t>VVV-2024-112</t>
  </si>
  <si>
    <t>includes E04's $200 travel claim</t>
  </si>
  <si>
    <t>PAY-1124</t>
  </si>
  <si>
    <t>Wages $7,500: work 371 h at $20/h; instruction 4 h at $20/h. Travel claim $200 (E04-1124). Claimant E04; claims payee P-4816. E04: operations administrator. Wage release O01; claim check O01. Work and instruction completed by payroll date.</t>
  </si>
  <si>
    <t>VVV-2024-113</t>
  </si>
  <si>
    <t>VVU-11</t>
  </si>
  <si>
    <t>Meter V01: 2820 kWh at $0.20/kWh; water and internet $200. Facility open 160 h. Covers 2024-11-01 to 2024-11-30.</t>
  </si>
  <si>
    <t>VVV-2024-114</t>
  </si>
  <si>
    <t>RENT-12</t>
  </si>
  <si>
    <t>Facility rent for 2024-12; the monthly charge is paid in full.</t>
  </si>
  <si>
    <t>VVV-2024-115</t>
  </si>
  <si>
    <t>INS-12</t>
  </si>
  <si>
    <t>Insurance for 2024-12 only; the monthly charge is paid in full.</t>
  </si>
  <si>
    <t>VVV-2024-116</t>
  </si>
  <si>
    <t>RETAIL-12</t>
  </si>
  <si>
    <t>Gross sales: $3,500. Cost of goods sold: $2,100. Goods were delivered to customers on this date.</t>
  </si>
  <si>
    <t>VVV-2024-117</t>
  </si>
  <si>
    <t>Deposit for January 2025 winter event</t>
  </si>
  <si>
    <t>Bank transfer received; service due January 2025</t>
  </si>
  <si>
    <t>Snowline Community Association</t>
  </si>
  <si>
    <t>SCA-DEP-1221</t>
  </si>
  <si>
    <t>Customer paid in advance; event has not occurred by December 31.</t>
  </si>
  <si>
    <t>VVV-2024-118</t>
  </si>
  <si>
    <t>Bank interest payment</t>
  </si>
  <si>
    <t>BANK-1222</t>
  </si>
  <si>
    <t>Interest $1,200 covering July 26 to December 31, 2024, paid in full. No principal is included.</t>
  </si>
  <si>
    <t>blank in raw data, just feb rent</t>
  </si>
  <si>
    <t>VVV-2024-119</t>
  </si>
  <si>
    <t>PAY-1224</t>
  </si>
  <si>
    <t>Wages $7,000: work 346 h at $20/h; instruction 4 h at $20/h. Travel claim $200 (E04-1224). Claimant E04; claims payee P-4816. E04: operations administrator. Wage release O01; claim check O01. Work and instruction completed by payroll date.</t>
  </si>
  <si>
    <t>VVV-2024-120</t>
  </si>
  <si>
    <t>VVU-12</t>
  </si>
  <si>
    <t>Meter V01: 2410 kWh at $0.20/kWh; water and internet $200. Facility open 140 h. Covers 2024-12-01 to 2024-12-31.</t>
  </si>
  <si>
    <t>paying off the card from the POS purchase (009)</t>
  </si>
  <si>
    <t>tour is in may, not earned yet -&gt; unearned</t>
  </si>
  <si>
    <t>clerk said COGS but nothing sold yet, goes to inventory</t>
  </si>
  <si>
    <t>Search_Text</t>
  </si>
  <si>
    <t>Rule_Row</t>
  </si>
  <si>
    <t>Matched_Keyword</t>
  </si>
  <si>
    <t>Clerk_Check</t>
  </si>
  <si>
    <t>blank, normal utilities</t>
  </si>
  <si>
    <t>only the workshop labour is repairs, shuttle for the school group split out</t>
  </si>
  <si>
    <t>school group materials split out of repairs</t>
  </si>
  <si>
    <t>blank. tour done so revenue now, cash later</t>
  </si>
  <si>
    <t>processor kept 240, put it as admin expense</t>
  </si>
  <si>
    <t>clerk said cash but no cash came in. deposit used + rest billed</t>
  </si>
  <si>
    <t>blank, inventory on credit</t>
  </si>
  <si>
    <t>paddles/racks last &gt;1 yr so equipment</t>
  </si>
  <si>
    <t>same as march, school shuttle split out</t>
  </si>
  <si>
    <t>same split as 033</t>
  </si>
  <si>
    <t>april deposit now earned + 4500 new cash</t>
  </si>
  <si>
    <t>blank. handrails are ours and last years -&gt; equipment</t>
  </si>
  <si>
    <t>blank, utilities</t>
  </si>
  <si>
    <t>clerk put it all as interest but 7500 is paying back the loan</t>
  </si>
  <si>
    <t>General Ledger</t>
  </si>
  <si>
    <t>Category</t>
  </si>
  <si>
    <t>school shuttle split again</t>
  </si>
  <si>
    <t>materials split again</t>
  </si>
  <si>
    <t>clerk said utilities?? it's fleet repairs</t>
  </si>
  <si>
    <t>UNIQUE accounts from Journal</t>
  </si>
  <si>
    <t>Trans_ID</t>
  </si>
  <si>
    <t>DB</t>
  </si>
  <si>
    <t>CR</t>
  </si>
  <si>
    <t>still unpaid at year end so stays in AR</t>
  </si>
  <si>
    <t>blank, tours done and paid</t>
  </si>
  <si>
    <t>event is jan 2025 so not revenue yet</t>
  </si>
  <si>
    <t>Verde Valley Ventures</t>
  </si>
  <si>
    <t>Trial Balance</t>
  </si>
  <si>
    <t>Date: December 31, 2024</t>
  </si>
  <si>
    <t>Accounts</t>
  </si>
  <si>
    <t>DR</t>
  </si>
  <si>
    <t>Income Statement</t>
  </si>
  <si>
    <t>For the Year Ended December 31, 2024</t>
  </si>
  <si>
    <t>Total</t>
  </si>
  <si>
    <t>Revenues</t>
  </si>
  <si>
    <t>CR = DR ?</t>
  </si>
  <si>
    <t>Total Revenues</t>
  </si>
  <si>
    <t>Gross Profit</t>
  </si>
  <si>
    <t>Operating Expenses</t>
  </si>
  <si>
    <t>Retained Earnings Statement</t>
  </si>
  <si>
    <t>Retained Earnings, January 1, 2024</t>
  </si>
  <si>
    <t>Total Operating Expenses</t>
  </si>
  <si>
    <t>Add: Net Income</t>
  </si>
  <si>
    <t>Less: Owner withdrawals (drawings)</t>
  </si>
  <si>
    <t>Operating Income</t>
  </si>
  <si>
    <t>Retained Earnings, December 31, 2024</t>
  </si>
  <si>
    <t>Check: ending balance = opening + Net Income - drawings</t>
  </si>
  <si>
    <t>Other Expenses</t>
  </si>
  <si>
    <t>Net Income</t>
  </si>
  <si>
    <t>Check: Net Income = all Revenues - all Expenses on Trial_Balance</t>
  </si>
  <si>
    <t>Balance Sheet</t>
  </si>
  <si>
    <t>As of December 31, 2024</t>
  </si>
  <si>
    <t>ASSETS</t>
  </si>
  <si>
    <t>Current Assets</t>
  </si>
  <si>
    <t>Total Current Assets</t>
  </si>
  <si>
    <t>Non-current Assets</t>
  </si>
  <si>
    <t>Total Non-current Assets</t>
  </si>
  <si>
    <t>TOTAL ASSETS</t>
  </si>
  <si>
    <t>LIABILITIES</t>
  </si>
  <si>
    <t>Statement of Cash Flows (indirect method)</t>
  </si>
  <si>
    <t>Current Liabilities</t>
  </si>
  <si>
    <t>Cash flows from Operating Activities</t>
  </si>
  <si>
    <t>Total Current Liabilities</t>
  </si>
  <si>
    <t>Non-current Liabilities</t>
  </si>
  <si>
    <t>Adjustments for changes in current items:</t>
  </si>
  <si>
    <t>Total Non-current Liabilities</t>
  </si>
  <si>
    <t>TOTAL LIABILITIES</t>
  </si>
  <si>
    <t>OWNER'S EQUITY</t>
  </si>
  <si>
    <t>Retained Earnings</t>
  </si>
  <si>
    <t>TOTAL EQUITY</t>
  </si>
  <si>
    <t>Net cash from Operating Activities</t>
  </si>
  <si>
    <t>TOTAL LIABILITIES + EQUITY</t>
  </si>
  <si>
    <t>Cash flows from Investing Activities</t>
  </si>
  <si>
    <t>Check: Assets = Liabilities + Equity</t>
  </si>
  <si>
    <t>Net cash from Investing Activities</t>
  </si>
  <si>
    <t>Cash flows from Financing Activities</t>
  </si>
  <si>
    <t>Net cash from Financing Activities</t>
  </si>
  <si>
    <t>Net increase (decrease) in Cash</t>
  </si>
  <si>
    <t>Non-cash investing and financing activity:</t>
  </si>
  <si>
    <t>Check: ending Cash = Cash on Trial_Balance</t>
  </si>
  <si>
    <t>1. Financial ratios</t>
  </si>
  <si>
    <t>Ratio</t>
  </si>
  <si>
    <t>How it is calculated</t>
  </si>
  <si>
    <t>Value</t>
  </si>
  <si>
    <t>What it means for VVV</t>
  </si>
  <si>
    <t>Current ratio</t>
  </si>
  <si>
    <t>Current assets / Current liabilities</t>
  </si>
  <si>
    <t>VVV has more than 3 times what it owes in the short term, so paying short-term debts is not a problem.</t>
  </si>
  <si>
    <t>Quick ratio</t>
  </si>
  <si>
    <t>(Cash + Accounts Receivable) / Current liabilities</t>
  </si>
  <si>
    <t>Even without selling inventory, VVV could still pay its short-term debts about 3 times, mostly thanks to cash.</t>
  </si>
  <si>
    <t>Debt ratio (%)</t>
  </si>
  <si>
    <t>Total liabilities / Total assets</t>
  </si>
  <si>
    <t>More than half of what VVV owns is paid with borrowed money, which is a lot for a new business.</t>
  </si>
  <si>
    <t>Debt-to-equity</t>
  </si>
  <si>
    <t>Total liabilities / Total equity</t>
  </si>
  <si>
    <t>VVV has more debt than owner's money, so it depends a lot on the bank and the seller.</t>
  </si>
  <si>
    <t>Net profit margin (%)</t>
  </si>
  <si>
    <t>Net income / Total revenue</t>
  </si>
  <si>
    <t>For every 100 dollars of revenue VVV keeps less than 2 dollars of profit, so it is barely making money.</t>
  </si>
  <si>
    <t>Retail gross margin (%)</t>
  </si>
  <si>
    <t>(Retail sales - COGS) / Retail sales</t>
  </si>
  <si>
    <t>Retail is a good activity: VVV keeps 40% of every sale after paying for the products.</t>
  </si>
  <si>
    <t>Return on assets (%)</t>
  </si>
  <si>
    <t>Net income / Total assets</t>
  </si>
  <si>
    <t>VVV owns a lot (equipment and cash) but makes little profit with it.</t>
  </si>
  <si>
    <t>Return on equity (%)</t>
  </si>
  <si>
    <t>Net income / Total equity</t>
  </si>
  <si>
    <t>The owner earned about 8.6% on the money he put in during the first year.</t>
  </si>
  <si>
    <t>Interest coverage</t>
  </si>
  <si>
    <t>Operating income / Interest expense</t>
  </si>
  <si>
    <t>Operating profit is less than 3 times the interest, so a bad year could make the loan hard to pay.</t>
  </si>
  <si>
    <t>Wages to revenue (%)</t>
  </si>
  <si>
    <t>Wages expense / Total revenue</t>
  </si>
  <si>
    <t>Wages are 42% of revenue and rent another 23%, so most of the costs are fixed.</t>
  </si>
  <si>
    <t>2. Trends and patterns – monthly results (from the Journal)</t>
  </si>
  <si>
    <t>Learning Report – Milestone 1</t>
  </si>
  <si>
    <t>Month #</t>
  </si>
  <si>
    <t>Month</t>
  </si>
  <si>
    <t>Accounting</t>
  </si>
  <si>
    <t>I already knew the basics of double-entry accounting because I took a business economics exam (economia aziendale) at my university in Italy. However, we studied it in a different way, and of course all the terms were in Italian. Finding the English words again was harder than I expected: terms like Accounts Payable, Unearned Revenue or Cost of Goods Sold took me some time to connect to what I had learned in Italian. What was also new was applying everything to a full year of real-looking data, with suggestions that were often wrong. For example, the clerk suggested Tour Revenue for the bank loan (VVV-2024-005) and Rent Expense for a refundable deposit (VVV-2024-004), so I had to read the settlement terms and details carefully for every transaction.</t>
  </si>
  <si>
    <t>Formula work</t>
  </si>
  <si>
    <t>My first journal had typed values and was marked Incomplete. Now every cell is a formula: ID, date, description and amount come from Raw_Data, and the account names come from my Chart of Accounts. A SUMIFS formula checks that debits equal credits for every transaction, and UNIQUE lists the accounts used. I also learned that with Italian settings, formulas need semicolons instead of commas.</t>
  </si>
  <si>
    <t>Total revenue</t>
  </si>
  <si>
    <t>Working on a big project with precise guidelines</t>
  </si>
  <si>
    <t>Total expenses</t>
  </si>
  <si>
    <t>Net income</t>
  </si>
  <si>
    <t>This is what I am really learning in this assignment. The instructions are very precise, and every detail counts. My first version was marked Incomplete because I did not follow some requirements exactly: the journal still had values typed by hand, and the Learning Report was empty. The instructions also changed during the milestone (for example the new Debit Account / Credit Account format), so I had to read them again and adapt my work. I learned to check every requirement one by one before submitting, to keep the same account names everywhere, and after that check again if I read everything.</t>
  </si>
  <si>
    <t>AI use</t>
  </si>
  <si>
    <t>I am taking six courses this semester, so I did not have much time for this assignment and I needed a lot of help. I used Claude (AI) to do most of the work in this milestone: choosing the accounts for each transaction, building the journal and writing the formulas. While it was working, I asked it to explain the difficult parts, for example why the deposits go to Unearned Revenue, why the loan payment is split into principal and interest, and why some transactions need more than two accounts. My part was asking questions, making some decisions (like reducing the accounts from 30 to 25), filling the blanks in Raw_Data, and putting everything in my sheet and fixing the errors. A small curiosity: at first I really couldn't understand how the AI had created the account numbers, because they were not in the raw data. I asked where they came from, and it explained that it chose them following a standard convention: the first digit shows the type of account (1 = assets, 2 = liabilities, and so on), and the gaps leave space for new accounts later. That is why I added the note "(suggested by AI)".
I know this milestone was done a lot by AI. For the next milestones I want to do more of the work myself and use AI more to check and explain.</t>
  </si>
  <si>
    <r>
      <rPr/>
      <t>some of my chats: -</t>
    </r>
    <r>
      <rPr>
        <color rgb="FF1155CC"/>
        <u/>
      </rPr>
      <t>https://claude.ai/share/5ad9b402-c4f2-428f-ac82-68e5dc234e78</t>
    </r>
    <r>
      <rPr/>
      <t xml:space="preserve"> - </t>
    </r>
    <r>
      <rPr>
        <color rgb="FF1155CC"/>
        <u/>
      </rPr>
      <t>https://claude.ai/share/c468b437-34ba-4f36-a4a9-e2c9ec6620f8</t>
    </r>
  </si>
  <si>
    <t>People who helped me</t>
  </si>
  <si>
    <t>I did not receive help from other people.</t>
  </si>
  <si>
    <t>Extras</t>
  </si>
  <si>
    <t>For the bonus automation (finding the debit and credit accounts automatically) I used a version prepared with AI: a Rules tab with keywords and an Entries tab that matches each transaction to a rule and reads the amounts from the text. I studied how it works, for example why the order of the rules matters ("rental receipts" must come before "facility rent").</t>
  </si>
  <si>
    <t>Entries columns: AMT = total amount, COGS = cost of goods sold, FEE = card processor fee, NET = amount minus fee, INTEREST / PRINCIPAL = loan payment split, DEP = deposit applied, REST = amount minus deposit, CASHPART / FINANCED = cash part and part owed to the seller, LABOUR / GROUP = workshop labour and school group costs.</t>
  </si>
  <si>
    <t>Learning Report – Milestone 2</t>
  </si>
  <si>
    <t>Practice first: the Self Practice activity</t>
  </si>
  <si>
    <t>Before working on the General Ledger of my MA, I practiced with the class activity. I generated 20 transactions with AI and then tried to find the debit and credit accounts myself. This taught me the ledger structure: a DB and CR column for each account, totals, and two checks (debits = credits, Assets = Liabilities + Equity).</t>
  </si>
  <si>
    <t xml:space="preserve">From practice to the MA </t>
  </si>
  <si>
    <t>I used the same method on my MA, with 25 accounts and 141 lines. The checks found an error: debits = credits, but the equation was NOT BALANCED, because my balance formula read categories from merged cells. After fixing it, Assets (129,230) = Liabilities (74,500) + Equity (54,730).</t>
  </si>
  <si>
    <t>This time I checked the MS2 requirements one by one before submitting. For example, I added Description and Amount to the practice ledger and grouped Revenue and Expenses under Equity, because the instructions ask for Assets, Liabilities and Equity only.</t>
  </si>
  <si>
    <t xml:space="preserve">AI use </t>
  </si>
  <si>
    <t>Claude (AI) corrected my practice journal, wrote the ledger formulas and the merged-cell fix; I pasted them, fixed my errors and checked the results.</t>
  </si>
  <si>
    <t>some of my chats: -https://claude.ai/share/e7c50b78-c990-4aa5-a38d-1150b1c27d7f</t>
  </si>
  <si>
    <t>Learning Report – Milestone 3</t>
  </si>
  <si>
    <t xml:space="preserve">The milestone </t>
  </si>
  <si>
    <t>This was the easiest milestone of the Master Assignment so far. Part of the work was already done in MS2: my General Ledger was already posting all the transactions from the Journal automatically, with totals for each account and the accounting equation balanced (Assets 129,230 = Liabilities + Equity 129,230).</t>
  </si>
  <si>
    <t>Trial balance</t>
  </si>
  <si>
    <t>I learned how to do a trial balance quite well while preparing for the midterm exam. In the practice exercise (Coast Cycle Care) I did it by hand: I calculated the balance of each account, put it in the debit or credit column depending on its normal side, and checked that both totals were equal (11,200,000). Doing it on paper first made the spreadsheet version easy to understand: each account’s balance is total debits minus total credits, and if everything was posted correctly, total debits equal total credits (404,000 = 404,000 for VVV).</t>
  </si>
  <si>
    <t>I used Claude (AI) to write the trial balance formulas and to find why the totals showed 0. I checked the results against my ledger.</t>
  </si>
  <si>
    <r>
      <rPr/>
      <t xml:space="preserve">Chat link: </t>
    </r>
    <r>
      <rPr>
        <color rgb="FF1155CC"/>
        <u/>
      </rPr>
      <t>https://claude.ai/share/c468b437-34ba-4f36-a4a9-e2c9ec6620f8</t>
    </r>
  </si>
  <si>
    <t>Learning Report – Milestone 4</t>
  </si>
  <si>
    <t>What I learned</t>
  </si>
  <si>
    <t>The four statements are connected: Net Income (4,730) goes into Retained Earnings, Retained Earnings go into the Balance Sheet, and the Cash Flow must end with the same cash as the Balance Sheet (53,430). I also learned that profit is not cash: VVV made only 4,730 of profit, but it had 53,430 in cash because of the owner’s money and the bank loan.</t>
  </si>
  <si>
    <t>Prompt and agent</t>
  </si>
  <si>
    <t>I tried to create a general prompt and a Claude agent to help me understand and complete each milestone, and I was thinking of sharing it with the class. This time it didn’t really work as I wanted, but I want to keep improving it.</t>
  </si>
  <si>
    <t>I used Claude (AI) to build the statements and formulas, and to create the tutor prompt.</t>
  </si>
  <si>
    <r>
      <rPr>
        <rFont val="Arial"/>
        <color rgb="FF000000"/>
      </rPr>
      <t xml:space="preserve">chat links to create the prompt and agent: </t>
    </r>
    <r>
      <rPr>
        <rFont val="Arial"/>
        <color rgb="FF1155CC"/>
        <u/>
      </rPr>
      <t>https://claude.ai/share/c468b437-34ba-4f36-a4a9-e2c9ec6620f8</t>
    </r>
    <r>
      <rPr>
        <rFont val="Arial"/>
        <color rgb="FF000000"/>
      </rPr>
      <t xml:space="preserve"> - </t>
    </r>
    <r>
      <rPr>
        <rFont val="Arial"/>
        <color rgb="FF1155CC"/>
        <u/>
      </rPr>
      <t>https://chatgpt.com/share/6ae05493-3a60-83ed-8ed5-44bc09eb6601</t>
    </r>
    <r>
      <rPr>
        <rFont val="Arial"/>
        <color rgb="FF000000"/>
      </rPr>
      <t xml:space="preserve"> </t>
    </r>
  </si>
  <si>
    <r>
      <rPr>
        <rFont val="Arial"/>
      </rPr>
      <t>-</t>
    </r>
    <r>
      <rPr>
        <rFont val="Arial"/>
        <color rgb="FF1155CC"/>
        <u/>
      </rPr>
      <t>https://claude.ai/share/dd383b08-954a-4c6e-8046-969fc9b2835a</t>
    </r>
  </si>
  <si>
    <t>Learning Report – Milestone 5</t>
  </si>
  <si>
    <t>I learned how to use ratios to understand if a business is healthy. VVV has a lot of cash, but very little profit and a lot of debt.</t>
  </si>
  <si>
    <t>Trends</t>
  </si>
  <si>
    <t>VVV makes most of its money in summer and loses money in winter, because the costs stay the same all year.</t>
  </si>
  <si>
    <t>The mystery</t>
  </si>
  <si>
    <t>Looking at the details, I found that the school trips cost much more than they earned, and the costs were hidden in one supplier’s invoices.</t>
  </si>
  <si>
    <t>I used Claude (AI) to help with the formulas, the monthly table and the report.</t>
  </si>
  <si>
    <r>
      <rPr/>
      <t xml:space="preserve">Chat links: </t>
    </r>
    <r>
      <rPr>
        <color rgb="FF1155CC"/>
        <u/>
      </rPr>
      <t>https://claude.ai/share/c468b437-34ba-4f36-a4a9-e2c9ec6620f8</t>
    </r>
  </si>
  <si>
    <t>Matches Income Statement?</t>
  </si>
  <si>
    <t>Quarterly results</t>
  </si>
  <si>
    <t>Quarter</t>
  </si>
  <si>
    <t>Q1</t>
  </si>
  <si>
    <t>Q2</t>
  </si>
  <si>
    <t>Q3</t>
  </si>
  <si>
    <t>Q4</t>
  </si>
  <si>
    <t>Best month (net income)</t>
  </si>
  <si>
    <t>Worst month (net income)</t>
  </si>
  <si>
    <t>Share of revenue earned in June-August (%)</t>
  </si>
  <si>
    <t>What I noticed:</t>
  </si>
  <si>
    <t>- VVV earns half of its revenue in summer and loses money in most other months.</t>
  </si>
  <si>
    <t>- Rent and wages stay the same all year, so winter months are always negative.</t>
  </si>
  <si>
    <t>3. Summary of financial performance</t>
  </si>
  <si>
    <t>VVV made 279,500 of revenue but only 4,730 of profit. It has a lot of cash, but mostly from the owner and the bank loan.</t>
  </si>
  <si>
    <t>4. Suggestions for improvement</t>
  </si>
  <si>
    <t>- Fewer staff costs in winter.</t>
  </si>
  <si>
    <t>- More activities in the off-season.</t>
  </si>
  <si>
    <t>- Charge school groups at least what the trips cost.</t>
  </si>
  <si>
    <t>- Check supplier invoices better.</t>
  </si>
  <si>
    <t>5. Bonus – the ethical opportunity</t>
  </si>
  <si>
    <t>Evidence (calculated from Raw_Data and the statements)</t>
  </si>
  <si>
    <t>School-trip receipts (3 bookings, 20 per pupil)</t>
  </si>
  <si>
    <t>School-trip shuttle and materials (School Group Expense)</t>
  </si>
  <si>
    <t>Equipment bought for group activities (paddles J24 + handrails LA2)</t>
  </si>
  <si>
    <t>Stonefield Outdoor Services: total paid</t>
  </si>
  <si>
    <t>Stonefield: number of invoices</t>
  </si>
  <si>
    <t>Stonefield: largest single invoice</t>
  </si>
  <si>
    <t>Stonefield: workshop labour billed (total minus school costs)</t>
  </si>
  <si>
    <t>Peak Outdoor Maintenance: workshop labour for the same FS1 scope</t>
  </si>
  <si>
    <t>Stonefield labour hours (only in the 3 school-trip months)</t>
  </si>
  <si>
    <t>Peak labour hours (other months)</t>
  </si>
  <si>
    <t>My claim:</t>
  </si>
  <si>
    <t>I think the school trips cost VVV much more than the pupils paid, and the costs were hidden in Stonefield's "fleet service" invoices. They were always split to stay under 5,000 and had many more workshop hours than the other supplier. I can't prove it, but it could be overbilling.</t>
  </si>
  <si>
    <t>Balance</t>
  </si>
  <si>
    <t>Accounting equation</t>
  </si>
  <si>
    <t>Total Assets</t>
  </si>
  <si>
    <t>Total Liabilities</t>
  </si>
  <si>
    <t>Total Revenue</t>
  </si>
  <si>
    <t>Total Expenses</t>
  </si>
  <si>
    <t>Net Income (Revenue - Expenses)</t>
  </si>
  <si>
    <t>Total Equity (Capital + Net Income)</t>
  </si>
  <si>
    <t>Liabilities + Equity</t>
  </si>
  <si>
    <t>Difference A - (L + E)</t>
  </si>
  <si>
    <t>A = L + E ?</t>
  </si>
  <si>
    <t>Debit / credit check</t>
  </si>
  <si>
    <t>Total DB (all accounts)</t>
  </si>
  <si>
    <t>Total CR (all accounts)</t>
  </si>
  <si>
    <t>DB = CR ?</t>
  </si>
  <si>
    <t>Account check (UNIQUE)</t>
  </si>
  <si>
    <t>Accounts used in Journal (UNIQUE)</t>
  </si>
  <si>
    <t>Account columns in GL</t>
  </si>
  <si>
    <t>Same number?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</si>
</sst>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yyyy"/>
    <numFmt numFmtId="166" formatCode="[$$]#,##0.00"/>
  </numFmts>
  <fonts count="21">
    <font>
      <sz val="10.0"/>
      <color rgb="FF000000"/>
      <name val="Arial"/>
      <scheme val="minor"/>
    </font>
    <font>
      <color theme="1"/>
      <name val="Arial"/>
      <scheme val="minor"/>
    </font>
    <font>
      <color theme="1"/>
      <name val="Arial"/>
    </font>
    <font>
      <b/>
      <sz val="20.0"/>
      <color rgb="FF1F1F1F"/>
      <name val="&quot;Google Sans&quot;"/>
    </font>
    <font/>
    <font>
      <b/>
      <sz val="12.0"/>
      <color theme="1"/>
      <name val="Arial"/>
      <scheme val="minor"/>
    </font>
    <font>
      <b/>
      <sz val="20.0"/>
      <color theme="1"/>
      <name val="Arial"/>
      <scheme val="minor"/>
    </font>
    <font>
      <b/>
      <sz val="15.0"/>
      <color rgb="FF000000"/>
      <name val="Arial"/>
      <scheme val="minor"/>
    </font>
    <font>
      <b/>
      <i/>
      <color theme="1"/>
      <name val="Arial"/>
      <scheme val="minor"/>
    </font>
    <font>
      <b/>
      <sz val="16.0"/>
      <color theme="1"/>
      <name val="Arial"/>
      <scheme val="minor"/>
    </font>
    <font>
      <b/>
      <color theme="1"/>
      <name val="Arial"/>
      <scheme val="minor"/>
    </font>
    <font>
      <b/>
      <i/>
      <color theme="1"/>
      <name val="Arial"/>
    </font>
    <font>
      <b/>
      <sz val="12.0"/>
      <color theme="1"/>
      <name val="Arial"/>
    </font>
    <font>
      <b/>
      <sz val="13.0"/>
      <color theme="1"/>
      <name val="Arial"/>
      <scheme val="minor"/>
    </font>
    <font>
      <b/>
      <sz val="19.0"/>
      <color theme="1"/>
      <name val="Arial"/>
      <scheme val="minor"/>
    </font>
    <font>
      <sz val="11.0"/>
      <color rgb="FF000000"/>
      <name val="Calibri"/>
    </font>
    <font>
      <u/>
      <color rgb="FF0000FF"/>
    </font>
    <font>
      <u/>
      <color rgb="FF0000FF"/>
    </font>
    <font>
      <b/>
      <color theme="1"/>
      <name val="Arial"/>
    </font>
    <font>
      <color rgb="FF000000"/>
      <name val="Arial"/>
    </font>
    <font>
      <u/>
      <color rgb="FF0000FF"/>
      <name val="Arial"/>
    </font>
  </fonts>
  <fills count="40">
    <fill>
      <patternFill patternType="none"/>
    </fill>
    <fill>
      <patternFill patternType="lightGray"/>
    </fill>
    <fill>
      <patternFill patternType="solid">
        <fgColor rgb="FF57BB8A"/>
        <bgColor rgb="FF57BB8A"/>
      </patternFill>
    </fill>
    <fill>
      <patternFill patternType="solid">
        <fgColor rgb="FFFF9900"/>
        <bgColor rgb="FFFF9900"/>
      </patternFill>
    </fill>
    <fill>
      <patternFill patternType="solid">
        <fgColor rgb="FF78909C"/>
        <bgColor rgb="FF78909C"/>
      </patternFill>
    </fill>
    <fill>
      <patternFill patternType="solid">
        <fgColor theme="9"/>
        <bgColor theme="9"/>
      </patternFill>
    </fill>
    <fill>
      <patternFill patternType="solid">
        <fgColor theme="5"/>
        <bgColor theme="5"/>
      </patternFill>
    </fill>
    <fill>
      <patternFill patternType="solid">
        <fgColor rgb="FFF6B26B"/>
        <bgColor rgb="FFF6B26B"/>
      </patternFill>
    </fill>
    <fill>
      <patternFill patternType="solid">
        <fgColor rgb="FF3D85C6"/>
        <bgColor rgb="FF3D85C6"/>
      </patternFill>
    </fill>
    <fill>
      <patternFill patternType="solid">
        <fgColor rgb="FFE06666"/>
        <bgColor rgb="FFE06666"/>
      </patternFill>
    </fill>
    <fill>
      <patternFill patternType="solid">
        <fgColor rgb="FFFFFFFF"/>
        <bgColor rgb="FFFFFFFF"/>
      </patternFill>
    </fill>
    <fill>
      <patternFill patternType="solid">
        <fgColor rgb="FFEBEFF1"/>
        <bgColor rgb="FFEBEFF1"/>
      </patternFill>
    </fill>
    <fill>
      <patternFill patternType="solid">
        <fgColor rgb="FFF9CB9C"/>
        <bgColor rgb="FFF9CB9C"/>
      </patternFill>
    </fill>
    <fill>
      <patternFill patternType="solid">
        <fgColor theme="4"/>
        <bgColor theme="4"/>
      </patternFill>
    </fill>
    <fill>
      <patternFill patternType="solid">
        <fgColor rgb="FFB7B7B7"/>
        <bgColor rgb="FFB7B7B7"/>
      </patternFill>
    </fill>
    <fill>
      <patternFill patternType="solid">
        <fgColor rgb="FF8CCDAC"/>
        <bgColor rgb="FF8CCDAC"/>
      </patternFill>
    </fill>
    <fill>
      <patternFill patternType="solid">
        <fgColor rgb="FFA4C2F4"/>
        <bgColor rgb="FFA4C2F4"/>
      </patternFill>
    </fill>
    <fill>
      <patternFill patternType="solid">
        <fgColor rgb="FFB4A7D6"/>
        <bgColor rgb="FFB4A7D6"/>
      </patternFill>
    </fill>
    <fill>
      <patternFill patternType="solid">
        <fgColor rgb="FFADD5C0"/>
        <bgColor rgb="FFADD5C0"/>
      </patternFill>
    </fill>
    <fill>
      <patternFill patternType="solid">
        <fgColor rgb="FFC9DAF8"/>
        <bgColor rgb="FFC9DAF8"/>
      </patternFill>
    </fill>
    <fill>
      <patternFill patternType="solid">
        <fgColor rgb="FFD9D2E9"/>
        <bgColor rgb="FFD9D2E9"/>
      </patternFill>
    </fill>
    <fill>
      <patternFill patternType="solid">
        <fgColor rgb="FFCFE2F3"/>
        <bgColor rgb="FFCFE2F3"/>
      </patternFill>
    </fill>
    <fill>
      <patternFill patternType="solid">
        <fgColor rgb="FFC27BA0"/>
        <bgColor rgb="FFC27BA0"/>
      </patternFill>
    </fill>
    <fill>
      <patternFill patternType="solid">
        <fgColor rgb="FFD5A6BD"/>
        <bgColor rgb="FFD5A6BD"/>
      </patternFill>
    </fill>
    <fill>
      <patternFill patternType="solid">
        <fgColor rgb="FFEAD1DC"/>
        <bgColor rgb="FFEAD1DC"/>
      </patternFill>
    </fill>
    <fill>
      <patternFill patternType="solid">
        <fgColor rgb="FF8E7CC3"/>
        <bgColor rgb="FF8E7CC3"/>
      </patternFill>
    </fill>
    <fill>
      <patternFill patternType="solid">
        <fgColor rgb="FF6D9EEB"/>
        <bgColor rgb="FF6D9EEB"/>
      </patternFill>
    </fill>
    <fill>
      <patternFill patternType="solid">
        <fgColor rgb="FF76A5AF"/>
        <bgColor rgb="FF76A5AF"/>
      </patternFill>
    </fill>
    <fill>
      <patternFill patternType="solid">
        <fgColor rgb="FFA2C4C9"/>
        <bgColor rgb="FFA2C4C9"/>
      </patternFill>
    </fill>
    <fill>
      <patternFill patternType="solid">
        <fgColor rgb="FFD0E0E3"/>
        <bgColor rgb="FFD0E0E3"/>
      </patternFill>
    </fill>
    <fill>
      <patternFill patternType="solid">
        <fgColor rgb="FF93C47D"/>
        <bgColor rgb="FF93C47D"/>
      </patternFill>
    </fill>
    <fill>
      <patternFill patternType="solid">
        <fgColor rgb="FFB6D7A8"/>
        <bgColor rgb="FFB6D7A8"/>
      </patternFill>
    </fill>
    <fill>
      <patternFill patternType="solid">
        <fgColor rgb="FFDD7E6B"/>
        <bgColor rgb="FFDD7E6B"/>
      </patternFill>
    </fill>
    <fill>
      <patternFill patternType="solid">
        <fgColor rgb="FFE6B8AF"/>
        <bgColor rgb="FFE6B8AF"/>
      </patternFill>
    </fill>
    <fill>
      <patternFill patternType="solid">
        <fgColor rgb="FFFCE5CD"/>
        <bgColor rgb="FFFCE5CD"/>
      </patternFill>
    </fill>
    <fill>
      <patternFill patternType="solid">
        <fgColor rgb="FFFFE599"/>
        <bgColor rgb="FFFFE599"/>
      </patternFill>
    </fill>
    <fill>
      <patternFill patternType="solid">
        <fgColor rgb="FFFFF2CC"/>
        <bgColor rgb="FFFFF2CC"/>
      </patternFill>
    </fill>
    <fill>
      <patternFill patternType="solid">
        <fgColor rgb="FFFEF8E3"/>
        <bgColor rgb="FFFEF8E3"/>
      </patternFill>
    </fill>
    <fill>
      <patternFill patternType="solid">
        <fgColor rgb="FF56BB89"/>
        <bgColor rgb="FF56BB89"/>
      </patternFill>
    </fill>
    <fill>
      <patternFill patternType="solid">
        <fgColor rgb="FFDDF2F0"/>
        <bgColor rgb="FFDDF2F0"/>
      </patternFill>
    </fill>
  </fills>
  <borders count="30">
    <border/>
    <border>
      <left style="thin">
        <color rgb="FF000000"/>
      </left>
      <top style="thin">
        <color rgb="FF000000"/>
      </top>
    </border>
    <border>
      <top style="thin">
        <color rgb="FF000000"/>
      </top>
    </border>
    <border>
      <left style="medium">
        <color rgb="FF000000"/>
      </left>
      <right style="medium">
        <color rgb="FF000000"/>
      </right>
      <top style="medium">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left style="thin">
        <color rgb="FF000000"/>
      </left>
    </border>
    <border>
      <right style="thick">
        <color rgb="FF000000"/>
      </right>
      <top style="thick">
        <color rgb="FF000000"/>
      </top>
      <bottom style="thick">
        <color rgb="FF000000"/>
      </bottom>
    </border>
    <border>
      <left style="thick">
        <color rgb="FF000000"/>
      </left>
    </border>
    <border>
      <right style="thick">
        <color rgb="FF000000"/>
      </righ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right style="medium">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left style="medium">
        <color rgb="FF000000"/>
      </left>
      <bottom style="medium">
        <color rgb="FF000000"/>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164" xfId="0" applyAlignment="1" applyFont="1" applyNumberFormat="1">
      <alignment horizontal="right" vertical="bottom"/>
    </xf>
    <xf borderId="0" fillId="0" fontId="2" numFmtId="0" xfId="0" applyAlignment="1" applyFont="1">
      <alignment horizontal="right" vertical="bottom"/>
    </xf>
    <xf borderId="1" fillId="2" fontId="3" numFmtId="0" xfId="0" applyAlignment="1" applyBorder="1" applyFill="1" applyFont="1">
      <alignment horizontal="center" readingOrder="0"/>
    </xf>
    <xf borderId="2" fillId="0" fontId="4" numFmtId="0" xfId="0" applyBorder="1" applyFont="1"/>
    <xf borderId="0" fillId="0" fontId="3" numFmtId="0" xfId="0" applyAlignment="1" applyFont="1">
      <alignment horizontal="center" readingOrder="0"/>
    </xf>
    <xf borderId="1" fillId="0" fontId="5" numFmtId="0" xfId="0" applyAlignment="1" applyBorder="1" applyFont="1">
      <alignment horizontal="center" readingOrder="0"/>
    </xf>
    <xf borderId="2" fillId="0" fontId="5" numFmtId="0" xfId="0" applyAlignment="1" applyBorder="1" applyFont="1">
      <alignment horizontal="center" readingOrder="0"/>
    </xf>
    <xf borderId="0" fillId="0" fontId="5" numFmtId="0" xfId="0" applyAlignment="1" applyFont="1">
      <alignment horizontal="center" readingOrder="0"/>
    </xf>
    <xf borderId="3" fillId="3" fontId="5" numFmtId="0" xfId="0" applyAlignment="1" applyBorder="1" applyFill="1" applyFont="1">
      <alignment readingOrder="0"/>
    </xf>
    <xf borderId="4" fillId="2" fontId="6" numFmtId="0" xfId="0" applyAlignment="1" applyBorder="1" applyFill="1" applyFont="1">
      <alignment horizontal="center" readingOrder="0"/>
    </xf>
    <xf borderId="5" fillId="0" fontId="4" numFmtId="0" xfId="0" applyBorder="1" applyFont="1"/>
    <xf borderId="6" fillId="0" fontId="4" numFmtId="0" xfId="0" applyBorder="1" applyFont="1"/>
    <xf borderId="7" fillId="4" fontId="7" numFmtId="0" xfId="0" applyAlignment="1" applyBorder="1" applyFill="1" applyFont="1">
      <alignment horizontal="center" readingOrder="0"/>
    </xf>
    <xf borderId="8" fillId="0" fontId="4" numFmtId="0" xfId="0" applyBorder="1" applyFont="1"/>
    <xf borderId="10" fillId="0" fontId="4" numFmtId="0" xfId="0" applyBorder="1" applyFont="1"/>
    <xf borderId="0" fillId="0" fontId="8" numFmtId="0" xfId="0" applyAlignment="1" applyFont="1">
      <alignment readingOrder="0"/>
    </xf>
    <xf borderId="9" fillId="0" fontId="1" numFmtId="164" xfId="0" applyAlignment="1" applyBorder="1" applyFont="1" applyNumberFormat="1">
      <alignment readingOrder="0"/>
    </xf>
    <xf borderId="4" fillId="3" fontId="9" numFmtId="0" xfId="0" applyAlignment="1" applyBorder="1" applyFill="1" applyFont="1">
      <alignment horizontal="center" readingOrder="0"/>
    </xf>
    <xf borderId="4" fillId="5" fontId="9" numFmtId="0" xfId="0" applyAlignment="1" applyBorder="1" applyFill="1" applyFont="1">
      <alignment horizontal="center" readingOrder="0"/>
    </xf>
    <xf borderId="4" fillId="6" fontId="9" numFmtId="0" xfId="0" applyAlignment="1" applyBorder="1" applyFill="1" applyFont="1">
      <alignment horizontal="center" readingOrder="0"/>
    </xf>
    <xf borderId="11" fillId="4" fontId="5" numFmtId="0" xfId="0" applyAlignment="1" applyBorder="1" applyFill="1" applyFont="1">
      <alignment horizontal="center" readingOrder="0"/>
    </xf>
    <xf borderId="0" fillId="4" fontId="5" numFmtId="0" xfId="0" applyAlignment="1" applyFill="1" applyFont="1">
      <alignment horizontal="center" readingOrder="0"/>
    </xf>
    <xf borderId="12" fillId="4" fontId="5" numFmtId="0" xfId="0" applyAlignment="1" applyBorder="1" applyFill="1" applyFont="1">
      <alignment horizontal="center" readingOrder="0"/>
    </xf>
    <xf borderId="9" fillId="7" fontId="10" numFmtId="0" xfId="0" applyAlignment="1" applyBorder="1" applyFill="1" applyFont="1">
      <alignment horizontal="center" readingOrder="0"/>
    </xf>
    <xf borderId="0" fillId="0" fontId="11" numFmtId="0" xfId="0" applyAlignment="1" applyFont="1">
      <alignment readingOrder="0" vertical="bottom"/>
    </xf>
    <xf borderId="0" fillId="7" fontId="10" numFmtId="0" xfId="0" applyAlignment="1" applyFill="1" applyFont="1">
      <alignment horizontal="center" readingOrder="0"/>
    </xf>
    <xf borderId="13" fillId="7" fontId="10" numFmtId="0" xfId="0" applyAlignment="1" applyBorder="1" applyFill="1" applyFont="1">
      <alignment horizontal="center" readingOrder="0"/>
    </xf>
    <xf borderId="9" fillId="8" fontId="10" numFmtId="0" xfId="0" applyAlignment="1" applyBorder="1" applyFill="1" applyFont="1">
      <alignment horizontal="center" readingOrder="0"/>
    </xf>
    <xf borderId="0" fillId="8" fontId="10" numFmtId="0" xfId="0" applyAlignment="1" applyFill="1" applyFont="1">
      <alignment horizontal="center" readingOrder="0"/>
    </xf>
    <xf borderId="9" fillId="9" fontId="10" numFmtId="0" xfId="0" applyAlignment="1" applyBorder="1" applyFill="1" applyFont="1">
      <alignment horizontal="center" readingOrder="0"/>
    </xf>
    <xf borderId="0" fillId="9" fontId="10" numFmtId="0" xfId="0" applyAlignment="1" applyFill="1" applyFont="1">
      <alignment horizontal="center" readingOrder="0"/>
    </xf>
    <xf borderId="13" fillId="9" fontId="10" numFmtId="0" xfId="0" applyAlignment="1" applyBorder="1" applyFill="1" applyFont="1">
      <alignment horizontal="center" readingOrder="0"/>
    </xf>
    <xf borderId="11" fillId="10" fontId="1" numFmtId="0" xfId="0" applyAlignment="1" applyBorder="1" applyFill="1" applyFont="1">
      <alignment readingOrder="0"/>
    </xf>
    <xf borderId="0" fillId="10" fontId="1" numFmtId="0" xfId="0" applyAlignment="1" applyFill="1" applyFont="1">
      <alignment readingOrder="0"/>
    </xf>
    <xf borderId="12" fillId="10" fontId="1" numFmtId="0" xfId="0" applyAlignment="1" applyBorder="1" applyFill="1" applyFont="1">
      <alignment readingOrder="0"/>
    </xf>
    <xf borderId="9" fillId="0" fontId="1" numFmtId="0" xfId="0" applyAlignment="1" applyBorder="1" applyFont="1">
      <alignment readingOrder="0"/>
    </xf>
    <xf borderId="0" fillId="0" fontId="1" numFmtId="0" xfId="0" applyAlignment="1" applyFont="1">
      <alignment readingOrder="0"/>
    </xf>
    <xf borderId="13" fillId="0" fontId="1" numFmtId="0" xfId="0" applyAlignment="1" applyBorder="1" applyFont="1">
      <alignment readingOrder="0"/>
    </xf>
    <xf borderId="11" fillId="11" fontId="1" numFmtId="0" xfId="0" applyAlignment="1" applyBorder="1" applyFill="1" applyFont="1">
      <alignment readingOrder="0"/>
    </xf>
    <xf borderId="0" fillId="11" fontId="1" numFmtId="0" xfId="0" applyAlignment="1" applyFill="1" applyFont="1">
      <alignment readingOrder="0"/>
    </xf>
    <xf borderId="12" fillId="11" fontId="1" numFmtId="0" xfId="0" applyAlignment="1" applyBorder="1" applyFill="1" applyFont="1">
      <alignment readingOrder="0"/>
    </xf>
    <xf borderId="9" fillId="0" fontId="1" numFmtId="0" xfId="0" applyAlignment="1" applyBorder="1" applyFont="1">
      <alignment readingOrder="0"/>
    </xf>
    <xf quotePrefix="1" borderId="0" fillId="0" fontId="1" numFmtId="0" xfId="0" applyAlignment="1" applyFont="1">
      <alignment readingOrder="0"/>
    </xf>
    <xf borderId="13" fillId="0" fontId="1" numFmtId="0" xfId="0" applyAlignment="1" applyBorder="1" applyFont="1">
      <alignment readingOrder="0"/>
    </xf>
    <xf borderId="14" fillId="0" fontId="1" numFmtId="0" xfId="0" applyAlignment="1" applyBorder="1" applyFont="1">
      <alignment readingOrder="0"/>
    </xf>
    <xf borderId="0" fillId="0" fontId="1" numFmtId="165" xfId="0" applyAlignment="1" applyFont="1" applyNumberFormat="1">
      <alignment readingOrder="0"/>
    </xf>
    <xf borderId="15" fillId="0" fontId="1" numFmtId="0" xfId="0" applyAlignment="1" applyBorder="1" applyFont="1">
      <alignment readingOrder="0"/>
    </xf>
    <xf borderId="0" fillId="0" fontId="1" numFmtId="0" xfId="0" applyAlignment="1" applyFont="1">
      <alignment readingOrder="0"/>
    </xf>
    <xf borderId="16" fillId="0" fontId="1" numFmtId="0" xfId="0" applyAlignment="1" applyBorder="1" applyFont="1">
      <alignment readingOrder="0"/>
    </xf>
    <xf borderId="12" fillId="11" fontId="4" numFmtId="0" xfId="0" applyBorder="1" applyFill="1" applyFont="1"/>
    <xf borderId="0" fillId="10" fontId="1" numFmtId="0" xfId="0" applyAlignment="1" applyFill="1" applyFont="1">
      <alignment readingOrder="0" shrinkToFit="0" wrapText="1"/>
    </xf>
    <xf borderId="12" fillId="10" fontId="4" numFmtId="0" xfId="0" applyBorder="1" applyFill="1" applyFont="1"/>
    <xf borderId="17" fillId="11" fontId="1" numFmtId="0" xfId="0" applyAlignment="1" applyBorder="1" applyFill="1" applyFont="1">
      <alignment horizontal="center" readingOrder="0"/>
    </xf>
    <xf borderId="18" fillId="11" fontId="4" numFmtId="0" xfId="0" applyBorder="1" applyFill="1" applyFont="1"/>
    <xf borderId="19" fillId="11" fontId="4" numFmtId="0" xfId="0" applyBorder="1" applyFill="1" applyFont="1"/>
    <xf borderId="0" fillId="0" fontId="1" numFmtId="166" xfId="0" applyAlignment="1" applyFont="1" applyNumberFormat="1">
      <alignment readingOrder="0"/>
    </xf>
    <xf borderId="0" fillId="0" fontId="1" numFmtId="166" xfId="0" applyFont="1" applyNumberFormat="1"/>
    <xf borderId="0" fillId="0" fontId="1" numFmtId="0" xfId="0" applyFont="1"/>
    <xf borderId="20" fillId="12" fontId="2" numFmtId="166" xfId="0" applyAlignment="1" applyBorder="1" applyFill="1" applyFont="1" applyNumberFormat="1">
      <alignment horizontal="center" vertical="bottom"/>
    </xf>
    <xf borderId="21" fillId="13" fontId="5" numFmtId="0" xfId="0" applyAlignment="1" applyBorder="1" applyFill="1" applyFont="1">
      <alignment horizontal="center" readingOrder="0"/>
    </xf>
    <xf borderId="22" fillId="13" fontId="5" numFmtId="0" xfId="0" applyAlignment="1" applyBorder="1" applyFill="1" applyFont="1">
      <alignment horizontal="center" readingOrder="0"/>
    </xf>
    <xf borderId="23" fillId="13" fontId="5" numFmtId="0" xfId="0" applyAlignment="1" applyBorder="1" applyFill="1" applyFont="1">
      <alignment horizontal="center" readingOrder="0"/>
    </xf>
    <xf borderId="20" fillId="3" fontId="12" numFmtId="0" xfId="0" applyAlignment="1" applyBorder="1" applyFill="1" applyFont="1">
      <alignment readingOrder="0" vertical="bottom"/>
    </xf>
    <xf borderId="24" fillId="12" fontId="2" numFmtId="0" xfId="0" applyAlignment="1" applyBorder="1" applyFill="1" applyFont="1">
      <alignment horizontal="center" readingOrder="0" vertical="bottom"/>
    </xf>
    <xf borderId="0" fillId="0" fontId="1" numFmtId="166" xfId="0" applyFont="1" applyNumberFormat="1"/>
    <xf borderId="25" fillId="0" fontId="1" numFmtId="0" xfId="0" applyBorder="1" applyFont="1"/>
    <xf borderId="26" fillId="0" fontId="1" numFmtId="0" xfId="0" applyAlignment="1" applyBorder="1" applyFont="1">
      <alignment readingOrder="0"/>
    </xf>
    <xf borderId="20" fillId="0" fontId="1" numFmtId="0" xfId="0" applyBorder="1" applyFont="1"/>
    <xf borderId="24" fillId="0" fontId="1" numFmtId="0" xfId="0" applyBorder="1" applyFont="1"/>
    <xf borderId="1" fillId="14" fontId="3" numFmtId="0" xfId="0" applyAlignment="1" applyBorder="1" applyFill="1" applyFont="1">
      <alignment horizontal="center" readingOrder="0"/>
    </xf>
    <xf borderId="0" fillId="15" fontId="13" numFmtId="0" xfId="0" applyAlignment="1" applyFill="1" applyFont="1">
      <alignment horizontal="center" readingOrder="0"/>
    </xf>
    <xf borderId="0" fillId="16" fontId="13" numFmtId="0" xfId="0" applyAlignment="1" applyFill="1" applyFont="1">
      <alignment horizontal="center" readingOrder="0"/>
    </xf>
    <xf borderId="0" fillId="17" fontId="13" numFmtId="0" xfId="0" applyAlignment="1" applyFill="1" applyFont="1">
      <alignment horizontal="center" readingOrder="0"/>
    </xf>
    <xf borderId="0" fillId="15" fontId="9" numFmtId="0" xfId="0" applyAlignment="1" applyFill="1" applyFont="1">
      <alignment horizontal="center" readingOrder="0" vertical="center"/>
    </xf>
    <xf borderId="0" fillId="18" fontId="10" numFmtId="0" xfId="0" applyAlignment="1" applyFill="1" applyFont="1">
      <alignment horizontal="center" shrinkToFit="0" vertical="center" wrapText="1"/>
    </xf>
    <xf borderId="0" fillId="19" fontId="10" numFmtId="0" xfId="0" applyAlignment="1" applyFill="1" applyFont="1">
      <alignment horizontal="center" shrinkToFit="0" vertical="center" wrapText="1"/>
    </xf>
    <xf borderId="0" fillId="20" fontId="10" numFmtId="0" xfId="0" applyAlignment="1" applyFill="1" applyFont="1">
      <alignment horizontal="center" shrinkToFit="0" vertical="center" wrapText="1"/>
    </xf>
    <xf borderId="0" fillId="18" fontId="10" numFmtId="0" xfId="0" applyAlignment="1" applyFill="1" applyFont="1">
      <alignment horizontal="center" readingOrder="0"/>
    </xf>
    <xf borderId="0" fillId="21" fontId="10" numFmtId="0" xfId="0" applyAlignment="1" applyFill="1" applyFont="1">
      <alignment horizontal="center" readingOrder="0"/>
    </xf>
    <xf borderId="0" fillId="20" fontId="10" numFmtId="0" xfId="0" applyAlignment="1" applyFill="1" applyFont="1">
      <alignment horizontal="center" readingOrder="0"/>
    </xf>
    <xf borderId="0" fillId="0" fontId="1" numFmtId="0" xfId="0" applyAlignment="1" applyFont="1">
      <alignment readingOrder="0" shrinkToFit="0" wrapText="1"/>
    </xf>
    <xf borderId="0" fillId="0" fontId="1" numFmtId="165" xfId="0" applyFont="1" applyNumberFormat="1"/>
    <xf borderId="0" fillId="0" fontId="1" numFmtId="164" xfId="0" applyFont="1" applyNumberFormat="1"/>
    <xf borderId="0" fillId="0" fontId="1" numFmtId="0" xfId="0" applyFont="1"/>
    <xf borderId="0" fillId="0" fontId="1" numFmtId="0" xfId="0" applyAlignment="1" applyFont="1">
      <alignment shrinkToFit="0" wrapText="1"/>
    </xf>
    <xf borderId="9" fillId="0" fontId="1" numFmtId="164" xfId="0" applyAlignment="1" applyBorder="1" applyFont="1" applyNumberFormat="1">
      <alignment readingOrder="0"/>
    </xf>
    <xf borderId="0" fillId="0" fontId="1" numFmtId="166" xfId="0" applyAlignment="1" applyFont="1" applyNumberFormat="1">
      <alignment readingOrder="0"/>
    </xf>
    <xf borderId="0" fillId="0" fontId="1" numFmtId="0" xfId="0" applyAlignment="1" applyFont="1">
      <alignment shrinkToFit="0" wrapText="1"/>
    </xf>
    <xf borderId="0" fillId="0" fontId="1" numFmtId="0" xfId="0" applyAlignment="1" applyFont="1">
      <alignment readingOrder="0" shrinkToFit="0" wrapText="1"/>
    </xf>
    <xf borderId="0" fillId="0" fontId="1" numFmtId="164" xfId="0" applyAlignment="1" applyFont="1" applyNumberFormat="1">
      <alignment readingOrder="0"/>
    </xf>
    <xf borderId="0" fillId="0" fontId="1" numFmtId="0" xfId="0" applyAlignment="1" applyFont="1">
      <alignment horizontal="center" readingOrder="0"/>
    </xf>
    <xf borderId="21" fillId="22" fontId="14" numFmtId="0" xfId="0" applyAlignment="1" applyBorder="1" applyFill="1" applyFont="1">
      <alignment horizontal="center" readingOrder="0"/>
    </xf>
    <xf borderId="22" fillId="0" fontId="4" numFmtId="0" xfId="0" applyBorder="1" applyFont="1"/>
    <xf borderId="23" fillId="0" fontId="4" numFmtId="0" xfId="0" applyBorder="1" applyFont="1"/>
    <xf borderId="27" fillId="22" fontId="10" numFmtId="0" xfId="0" applyAlignment="1" applyBorder="1" applyFill="1" applyFont="1">
      <alignment horizontal="center" readingOrder="0"/>
    </xf>
    <xf borderId="28" fillId="0" fontId="4" numFmtId="0" xfId="0" applyBorder="1" applyFont="1"/>
    <xf borderId="29" fillId="22" fontId="8" numFmtId="0" xfId="0" applyAlignment="1" applyBorder="1" applyFill="1" applyFont="1">
      <alignment horizontal="center" readingOrder="0"/>
    </xf>
    <xf borderId="25" fillId="0" fontId="4" numFmtId="0" xfId="0" applyBorder="1" applyFont="1"/>
    <xf borderId="26" fillId="0" fontId="4" numFmtId="0" xfId="0" applyBorder="1" applyFont="1"/>
    <xf borderId="27" fillId="23" fontId="5" numFmtId="0" xfId="0" applyAlignment="1" applyBorder="1" applyFill="1" applyFont="1">
      <alignment readingOrder="0"/>
    </xf>
    <xf borderId="0" fillId="23" fontId="5" numFmtId="0" xfId="0" applyAlignment="1" applyFill="1" applyFont="1">
      <alignment readingOrder="0"/>
    </xf>
    <xf borderId="28" fillId="23" fontId="5" numFmtId="0" xfId="0" applyAlignment="1" applyBorder="1" applyFill="1" applyFont="1">
      <alignment readingOrder="0"/>
    </xf>
    <xf borderId="27" fillId="24" fontId="1" numFmtId="0" xfId="0" applyBorder="1" applyFill="1" applyFont="1"/>
    <xf borderId="0" fillId="24" fontId="1" numFmtId="0" xfId="0" applyFill="1" applyFont="1"/>
    <xf borderId="28" fillId="24" fontId="1" numFmtId="0" xfId="0" applyBorder="1" applyFill="1" applyFont="1"/>
    <xf borderId="21" fillId="25" fontId="14" numFmtId="0" xfId="0" applyAlignment="1" applyBorder="1" applyFill="1" applyFont="1">
      <alignment horizontal="center"/>
    </xf>
    <xf borderId="27" fillId="25" fontId="5" numFmtId="0" xfId="0" applyAlignment="1" applyBorder="1" applyFill="1" applyFont="1">
      <alignment horizontal="center" readingOrder="0"/>
    </xf>
    <xf borderId="29" fillId="25" fontId="10" numFmtId="0" xfId="0" applyAlignment="1" applyBorder="1" applyFill="1" applyFont="1">
      <alignment horizontal="center" readingOrder="0"/>
    </xf>
    <xf borderId="27" fillId="17" fontId="5" numFmtId="0" xfId="0" applyAlignment="1" applyBorder="1" applyFill="1" applyFont="1">
      <alignment horizontal="left" readingOrder="0"/>
    </xf>
    <xf borderId="0" fillId="17" fontId="5" numFmtId="0" xfId="0" applyAlignment="1" applyFill="1" applyFont="1">
      <alignment horizontal="left" readingOrder="0"/>
    </xf>
    <xf borderId="28" fillId="17" fontId="5" numFmtId="0" xfId="0" applyAlignment="1" applyBorder="1" applyFill="1" applyFont="1">
      <alignment horizontal="left" readingOrder="0"/>
    </xf>
    <xf borderId="27" fillId="10" fontId="10" numFmtId="0" xfId="0" applyAlignment="1" applyBorder="1" applyFill="1" applyFont="1">
      <alignment horizontal="center" readingOrder="0"/>
    </xf>
    <xf borderId="28" fillId="10" fontId="4" numFmtId="0" xfId="0" applyBorder="1" applyFill="1" applyFont="1"/>
    <xf borderId="27" fillId="20" fontId="1" numFmtId="0" xfId="0" applyBorder="1" applyFill="1" applyFont="1"/>
    <xf borderId="0" fillId="20" fontId="1" numFmtId="0" xfId="0" applyFill="1" applyFont="1"/>
    <xf borderId="28" fillId="20" fontId="1" numFmtId="0" xfId="0" applyBorder="1" applyFill="1" applyFont="1"/>
    <xf borderId="27" fillId="10" fontId="1" numFmtId="0" xfId="0" applyBorder="1" applyFill="1" applyFont="1"/>
    <xf borderId="29" fillId="24" fontId="1" numFmtId="0" xfId="0" applyBorder="1" applyFill="1" applyFont="1"/>
    <xf borderId="25" fillId="24" fontId="1" numFmtId="0" xfId="0" applyBorder="1" applyFill="1" applyFont="1"/>
    <xf borderId="0" fillId="10" fontId="1" numFmtId="0" xfId="0" applyFill="1" applyFont="1"/>
    <xf borderId="28" fillId="10" fontId="1" numFmtId="0" xfId="0" applyBorder="1" applyFill="1" applyFont="1"/>
    <xf borderId="26" fillId="24" fontId="1" numFmtId="0" xfId="0" applyBorder="1" applyFill="1" applyFont="1"/>
    <xf borderId="21" fillId="23" fontId="10" numFmtId="0" xfId="0" applyAlignment="1" applyBorder="1" applyFill="1" applyFont="1">
      <alignment readingOrder="0"/>
    </xf>
    <xf borderId="22" fillId="23" fontId="10" numFmtId="0" xfId="0" applyBorder="1" applyFill="1" applyFont="1"/>
    <xf borderId="23" fillId="23" fontId="10" numFmtId="0" xfId="0" applyBorder="1" applyFill="1" applyFont="1"/>
    <xf borderId="29" fillId="23" fontId="10" numFmtId="0" xfId="0" applyAlignment="1" applyBorder="1" applyFill="1" applyFont="1">
      <alignment readingOrder="0"/>
    </xf>
    <xf borderId="25" fillId="23" fontId="10" numFmtId="0" xfId="0" applyAlignment="1" applyBorder="1" applyFill="1" applyFont="1">
      <alignment horizontal="center"/>
    </xf>
    <xf borderId="26" fillId="23" fontId="1" numFmtId="0" xfId="0" applyBorder="1" applyFill="1" applyFont="1"/>
    <xf borderId="27" fillId="20" fontId="1" numFmtId="0" xfId="0" applyAlignment="1" applyBorder="1" applyFill="1" applyFont="1">
      <alignment readingOrder="0"/>
    </xf>
    <xf borderId="27" fillId="10" fontId="1" numFmtId="0" xfId="0" applyAlignment="1" applyBorder="1" applyFill="1" applyFont="1">
      <alignment readingOrder="0"/>
    </xf>
    <xf borderId="21" fillId="26" fontId="14" numFmtId="0" xfId="0" applyAlignment="1" applyBorder="1" applyFill="1" applyFont="1">
      <alignment horizontal="center"/>
    </xf>
    <xf borderId="27" fillId="26" fontId="5" numFmtId="0" xfId="0" applyAlignment="1" applyBorder="1" applyFill="1" applyFont="1">
      <alignment horizontal="center"/>
    </xf>
    <xf borderId="29" fillId="26" fontId="10" numFmtId="0" xfId="0" applyAlignment="1" applyBorder="1" applyFill="1" applyFont="1">
      <alignment horizontal="center" readingOrder="0"/>
    </xf>
    <xf borderId="21" fillId="16" fontId="5" numFmtId="0" xfId="0" applyAlignment="1" applyBorder="1" applyFill="1" applyFont="1">
      <alignment horizontal="left" readingOrder="0"/>
    </xf>
    <xf borderId="23" fillId="16" fontId="5" numFmtId="0" xfId="0" applyAlignment="1" applyBorder="1" applyFill="1" applyFont="1">
      <alignment horizontal="left" readingOrder="0"/>
    </xf>
    <xf borderId="27" fillId="0" fontId="1" numFmtId="0" xfId="0" applyAlignment="1" applyBorder="1" applyFont="1">
      <alignment readingOrder="0"/>
    </xf>
    <xf borderId="28" fillId="0" fontId="1" numFmtId="0" xfId="0" applyAlignment="1" applyBorder="1" applyFont="1">
      <alignment readingOrder="0"/>
    </xf>
    <xf borderId="28" fillId="0" fontId="1" numFmtId="0" xfId="0" applyBorder="1" applyFont="1"/>
    <xf borderId="29" fillId="0" fontId="1" numFmtId="0" xfId="0" applyAlignment="1" applyBorder="1" applyFont="1">
      <alignment readingOrder="0"/>
    </xf>
    <xf borderId="26" fillId="0" fontId="1" numFmtId="0" xfId="0" applyBorder="1" applyFont="1"/>
    <xf borderId="0" fillId="26" fontId="10" numFmtId="0" xfId="0" applyAlignment="1" applyFill="1" applyFont="1">
      <alignment readingOrder="0" shrinkToFit="0" vertical="center" wrapText="1"/>
    </xf>
    <xf borderId="0" fillId="0" fontId="10" numFmtId="0" xfId="0" applyAlignment="1" applyFont="1">
      <alignment vertical="center"/>
    </xf>
    <xf borderId="29" fillId="20" fontId="1" numFmtId="0" xfId="0" applyAlignment="1" applyBorder="1" applyFill="1" applyFont="1">
      <alignment readingOrder="0"/>
    </xf>
    <xf borderId="25" fillId="20" fontId="1" numFmtId="0" xfId="0" applyBorder="1" applyFill="1" applyFont="1"/>
    <xf borderId="26" fillId="20" fontId="10" numFmtId="0" xfId="0" applyBorder="1" applyFill="1" applyFont="1"/>
    <xf borderId="0" fillId="17" fontId="10" numFmtId="0" xfId="0" applyAlignment="1" applyFill="1" applyFont="1">
      <alignment readingOrder="0" shrinkToFit="0" wrapText="1"/>
    </xf>
    <xf borderId="21" fillId="27" fontId="14" numFmtId="0" xfId="0" applyAlignment="1" applyBorder="1" applyFill="1" applyFont="1">
      <alignment horizontal="center"/>
    </xf>
    <xf borderId="27" fillId="27" fontId="5" numFmtId="0" xfId="0" applyAlignment="1" applyBorder="1" applyFill="1" applyFont="1">
      <alignment horizontal="center" readingOrder="0"/>
    </xf>
    <xf borderId="29" fillId="27" fontId="10" numFmtId="0" xfId="0" applyAlignment="1" applyBorder="1" applyFill="1" applyFont="1">
      <alignment horizontal="center" readingOrder="0"/>
    </xf>
    <xf borderId="21" fillId="28" fontId="5" numFmtId="0" xfId="0" applyAlignment="1" applyBorder="1" applyFill="1" applyFont="1">
      <alignment horizontal="left" readingOrder="0"/>
    </xf>
    <xf borderId="22" fillId="28" fontId="5" numFmtId="0" xfId="0" applyAlignment="1" applyBorder="1" applyFill="1" applyFont="1">
      <alignment horizontal="left" readingOrder="0"/>
    </xf>
    <xf borderId="23" fillId="28" fontId="5" numFmtId="0" xfId="0" applyAlignment="1" applyBorder="1" applyFill="1" applyFont="1">
      <alignment horizontal="left" readingOrder="0"/>
    </xf>
    <xf borderId="27" fillId="29" fontId="10" numFmtId="0" xfId="0" applyAlignment="1" applyBorder="1" applyFill="1" applyFont="1">
      <alignment horizontal="center" readingOrder="0"/>
    </xf>
    <xf borderId="28" fillId="29" fontId="4" numFmtId="0" xfId="0" applyBorder="1" applyFill="1" applyFont="1"/>
    <xf borderId="27" fillId="10" fontId="10" numFmtId="0" xfId="0" applyAlignment="1" applyBorder="1" applyFill="1" applyFont="1">
      <alignment readingOrder="0"/>
    </xf>
    <xf borderId="27" fillId="29" fontId="1" numFmtId="0" xfId="0" applyBorder="1" applyFill="1" applyFont="1"/>
    <xf borderId="0" fillId="29" fontId="1" numFmtId="0" xfId="0" applyFill="1" applyFont="1"/>
    <xf borderId="28" fillId="29" fontId="1" numFmtId="0" xfId="0" applyBorder="1" applyFill="1" applyFont="1"/>
    <xf borderId="27" fillId="29" fontId="10" numFmtId="0" xfId="0" applyAlignment="1" applyBorder="1" applyFill="1" applyFont="1">
      <alignment readingOrder="0"/>
    </xf>
    <xf borderId="0" fillId="0" fontId="15" numFmtId="0" xfId="0" applyAlignment="1" applyFont="1">
      <alignment readingOrder="0"/>
    </xf>
    <xf borderId="21" fillId="30" fontId="14" numFmtId="0" xfId="0" applyAlignment="1" applyBorder="1" applyFill="1" applyFont="1">
      <alignment horizontal="center"/>
    </xf>
    <xf borderId="27" fillId="30" fontId="5" numFmtId="0" xfId="0" applyAlignment="1" applyBorder="1" applyFill="1" applyFont="1">
      <alignment horizontal="center" readingOrder="0"/>
    </xf>
    <xf borderId="29" fillId="30" fontId="10" numFmtId="0" xfId="0" applyAlignment="1" applyBorder="1" applyFill="1" applyFont="1">
      <alignment horizontal="center" readingOrder="0"/>
    </xf>
    <xf borderId="21" fillId="31" fontId="5" numFmtId="0" xfId="0" applyAlignment="1" applyBorder="1" applyFill="1" applyFont="1">
      <alignment horizontal="left" readingOrder="0"/>
    </xf>
    <xf borderId="22" fillId="31" fontId="5" numFmtId="0" xfId="0" applyAlignment="1" applyBorder="1" applyFill="1" applyFont="1">
      <alignment horizontal="left" readingOrder="0"/>
    </xf>
    <xf borderId="27" fillId="29" fontId="1" numFmtId="0" xfId="0" applyAlignment="1" applyBorder="1" applyFill="1" applyFont="1">
      <alignment readingOrder="0"/>
    </xf>
    <xf borderId="23" fillId="31" fontId="5" numFmtId="0" xfId="0" applyAlignment="1" applyBorder="1" applyFill="1" applyFont="1">
      <alignment horizontal="left" readingOrder="0"/>
    </xf>
    <xf borderId="27" fillId="0" fontId="10" numFmtId="0" xfId="0" applyAlignment="1" applyBorder="1" applyFont="1">
      <alignment readingOrder="0"/>
    </xf>
    <xf borderId="0" fillId="29" fontId="1" numFmtId="0" xfId="0" applyAlignment="1" applyFill="1" applyFont="1">
      <alignment readingOrder="0"/>
    </xf>
    <xf borderId="29" fillId="29" fontId="1" numFmtId="0" xfId="0" applyAlignment="1" applyBorder="1" applyFill="1" applyFont="1">
      <alignment readingOrder="0"/>
    </xf>
    <xf borderId="27" fillId="0" fontId="1" numFmtId="0" xfId="0" applyBorder="1" applyFont="1"/>
    <xf borderId="25" fillId="29" fontId="1" numFmtId="0" xfId="0" applyBorder="1" applyFill="1" applyFont="1"/>
    <xf borderId="26" fillId="29" fontId="1" numFmtId="0" xfId="0" applyBorder="1" applyFill="1" applyFont="1"/>
    <xf borderId="0" fillId="28" fontId="10" numFmtId="0" xfId="0" applyAlignment="1" applyFill="1" applyFont="1">
      <alignment readingOrder="0" shrinkToFit="0" wrapText="1"/>
    </xf>
    <xf borderId="25" fillId="0" fontId="1" numFmtId="0" xfId="0" applyBorder="1" applyFont="1"/>
    <xf borderId="0" fillId="31" fontId="10" numFmtId="0" xfId="0" applyAlignment="1" applyFill="1" applyFont="1">
      <alignment readingOrder="0"/>
    </xf>
    <xf borderId="0" fillId="32" fontId="14" numFmtId="0" xfId="0" applyAlignment="1" applyFill="1" applyFont="1">
      <alignment horizontal="center" shrinkToFit="0" wrapText="1"/>
    </xf>
    <xf borderId="0" fillId="33" fontId="1" numFmtId="0" xfId="0" applyAlignment="1" applyFill="1" applyFont="1">
      <alignment shrinkToFit="0" wrapText="1"/>
    </xf>
    <xf borderId="0" fillId="10" fontId="10" numFmtId="0" xfId="0" applyAlignment="1" applyFill="1" applyFont="1">
      <alignment readingOrder="0" shrinkToFit="0" wrapText="1"/>
    </xf>
    <xf borderId="0" fillId="33" fontId="10" numFmtId="0" xfId="0" applyAlignment="1" applyFill="1" applyFont="1">
      <alignment readingOrder="0" shrinkToFit="0" wrapText="1"/>
    </xf>
    <xf borderId="0" fillId="10" fontId="1" numFmtId="0" xfId="0" applyAlignment="1" applyFill="1" applyFont="1">
      <alignment shrinkToFit="0" wrapText="1"/>
    </xf>
    <xf borderId="0" fillId="33" fontId="1" numFmtId="0" xfId="0" applyAlignment="1" applyFill="1" applyFont="1">
      <alignment readingOrder="0" shrinkToFit="0" wrapText="1"/>
    </xf>
    <xf borderId="0" fillId="34" fontId="5" numFmtId="0" xfId="0" applyAlignment="1" applyFill="1" applyFont="1">
      <alignment horizontal="left" readingOrder="0" shrinkToFit="0" wrapText="1"/>
    </xf>
    <xf borderId="0" fillId="35" fontId="10" numFmtId="0" xfId="0" applyAlignment="1" applyFill="1" applyFont="1">
      <alignment readingOrder="0" shrinkToFit="0" wrapText="1"/>
    </xf>
    <xf borderId="0" fillId="10" fontId="10" numFmtId="0" xfId="0" applyAlignment="1" applyFill="1" applyFont="1">
      <alignment shrinkToFit="0" wrapText="1"/>
    </xf>
    <xf borderId="0" fillId="0" fontId="1" numFmtId="0" xfId="0" applyAlignment="1" applyFont="1">
      <alignment horizontal="left" shrinkToFit="0" wrapText="1"/>
    </xf>
    <xf borderId="0" fillId="0" fontId="10" numFmtId="0" xfId="0" applyAlignment="1" applyFont="1">
      <alignment horizontal="left" readingOrder="0" shrinkToFit="0" wrapText="1"/>
    </xf>
    <xf borderId="0" fillId="0" fontId="1" numFmtId="0" xfId="0" applyAlignment="1" applyFont="1">
      <alignment horizontal="left" readingOrder="0" shrinkToFit="0" wrapText="1"/>
    </xf>
    <xf borderId="0" fillId="0" fontId="10" numFmtId="0" xfId="0" applyAlignment="1" applyFont="1">
      <alignment readingOrder="0"/>
    </xf>
    <xf borderId="0" fillId="10" fontId="10" numFmtId="0" xfId="0" applyAlignment="1" applyFill="1" applyFont="1">
      <alignment readingOrder="0"/>
    </xf>
    <xf borderId="0" fillId="36" fontId="1" numFmtId="0" xfId="0" applyAlignment="1" applyFill="1" applyFont="1">
      <alignment readingOrder="0" shrinkToFit="0" wrapText="1"/>
    </xf>
    <xf borderId="0" fillId="36" fontId="1" numFmtId="0" xfId="0" applyAlignment="1" applyFill="1" applyFont="1">
      <alignment shrinkToFit="0" wrapText="1"/>
    </xf>
    <xf borderId="0" fillId="0" fontId="16" numFmtId="0" xfId="0" applyAlignment="1" applyFont="1">
      <alignment horizontal="left" readingOrder="0" shrinkToFit="0" wrapText="1"/>
    </xf>
    <xf borderId="0" fillId="0" fontId="10" numFmtId="0" xfId="0" applyAlignment="1" applyFont="1">
      <alignment readingOrder="0"/>
    </xf>
    <xf borderId="0" fillId="0" fontId="1" numFmtId="0" xfId="0" applyAlignment="1" applyFont="1">
      <alignment horizontal="left" shrinkToFit="0" wrapText="1"/>
    </xf>
    <xf borderId="0" fillId="0" fontId="10"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horizontal="left" readingOrder="0" shrinkToFit="0" wrapText="1"/>
    </xf>
    <xf borderId="0" fillId="0" fontId="10" numFmtId="0" xfId="0" applyAlignment="1" applyFont="1">
      <alignment readingOrder="0" shrinkToFit="0" wrapText="1"/>
    </xf>
    <xf borderId="0" fillId="36" fontId="1" numFmtId="0" xfId="0" applyFill="1" applyFont="1"/>
    <xf borderId="0" fillId="0" fontId="17" numFmtId="0" xfId="0" applyAlignment="1" applyFont="1">
      <alignment readingOrder="0"/>
    </xf>
    <xf borderId="0" fillId="10" fontId="2" numFmtId="0" xfId="0" applyAlignment="1" applyFill="1" applyFont="1">
      <alignment vertical="bottom"/>
    </xf>
    <xf borderId="0" fillId="37" fontId="2" numFmtId="0" xfId="0" applyAlignment="1" applyFill="1" applyFont="1">
      <alignment vertical="bottom"/>
    </xf>
    <xf borderId="0" fillId="37" fontId="18" numFmtId="0" xfId="0" applyAlignment="1" applyFill="1" applyFont="1">
      <alignment vertical="bottom"/>
    </xf>
    <xf borderId="0" fillId="37" fontId="19" numFmtId="0" xfId="0" applyAlignment="1" applyFill="1" applyFont="1">
      <alignment readingOrder="0" vertical="bottom"/>
    </xf>
    <xf borderId="0" fillId="10" fontId="20" numFmtId="0" xfId="0" applyAlignment="1" applyFill="1" applyFont="1">
      <alignment readingOrder="0" vertical="bottom"/>
    </xf>
    <xf borderId="0" fillId="10" fontId="2" numFmtId="0" xfId="0" applyAlignment="1" applyFill="1" applyFont="1">
      <alignment readingOrder="0" shrinkToFit="0" vertical="bottom" wrapText="1"/>
    </xf>
    <xf borderId="0" fillId="37" fontId="2" numFmtId="0" xfId="0" applyAlignment="1" applyFill="1" applyFont="1">
      <alignment readingOrder="0" shrinkToFit="0" vertical="bottom" wrapText="1"/>
    </xf>
    <xf borderId="0" fillId="7" fontId="10" numFmtId="0" xfId="0" applyAlignment="1" applyFill="1" applyFont="1">
      <alignment readingOrder="0" shrinkToFit="0" wrapText="1"/>
    </xf>
    <xf borderId="0" fillId="3" fontId="10" numFmtId="0" xfId="0" applyAlignment="1" applyFill="1" applyFont="1">
      <alignment horizontal="center" shrinkToFit="0" wrapText="1"/>
    </xf>
    <xf borderId="0" fillId="31" fontId="10" numFmtId="0" xfId="0" applyAlignment="1" applyFill="1" applyFont="1">
      <alignment readingOrder="0" shrinkToFit="0" wrapText="1"/>
    </xf>
    <xf borderId="0" fillId="38" fontId="10" numFmtId="0" xfId="0" applyAlignment="1" applyFill="1" applyFont="1">
      <alignment readingOrder="0"/>
    </xf>
    <xf borderId="0" fillId="0" fontId="1" numFmtId="0" xfId="0" applyFont="1"/>
    <xf borderId="0" fillId="2" fontId="10" numFmtId="0" xfId="0" applyAlignment="1" applyFill="1" applyFont="1">
      <alignment horizontal="center" readingOrder="0"/>
    </xf>
    <xf borderId="0" fillId="39" fontId="10" numFmtId="0" xfId="0" applyAlignment="1" applyFill="1" applyFont="1">
      <alignment horizontal="left" readingOrder="0"/>
    </xf>
    <xf borderId="0" fillId="39" fontId="1" numFmtId="0" xfId="0" applyAlignment="1" applyFill="1" applyFont="1">
      <alignment horizontal="right"/>
    </xf>
    <xf borderId="0" fillId="10" fontId="10" numFmtId="0" xfId="0" applyAlignment="1" applyFill="1" applyFont="1">
      <alignment horizontal="left" readingOrder="0"/>
    </xf>
    <xf borderId="0" fillId="10" fontId="1" numFmtId="0" xfId="0" applyAlignment="1" applyFill="1" applyFont="1">
      <alignment horizontal="right"/>
    </xf>
    <xf borderId="0" fillId="10" fontId="10" numFmtId="0" xfId="0" applyAlignment="1" applyFill="1" applyFont="1">
      <alignment horizontal="right"/>
    </xf>
    <xf borderId="0" fillId="39" fontId="1" numFmtId="0" xfId="0" applyFill="1" applyFont="1"/>
    <xf borderId="0" fillId="39" fontId="10" numFmtId="0" xfId="0" applyAlignment="1" applyFill="1" applyFont="1">
      <alignment horizontal="right"/>
    </xf>
  </cellXfs>
  <cellStyles count="1">
    <cellStyle xfId="0" name="Normal" builtinId="0"/>
  </cellStyles>
  <dxfs count="19">
    <dxf>
      <font/>
      <fill>
        <patternFill patternType="none"/>
      </fill>
      <border/>
    </dxf>
    <dxf>
      <font/>
      <fill>
        <patternFill patternType="solid">
          <fgColor rgb="FF8BCDAC"/>
          <bgColor rgb="FF8BCDAC"/>
        </patternFill>
      </fill>
      <border/>
    </dxf>
    <dxf>
      <font/>
      <fill>
        <patternFill patternType="solid">
          <fgColor rgb="FFF46524"/>
          <bgColor rgb="FFF46524"/>
        </patternFill>
      </fill>
      <border/>
    </dxf>
    <dxf>
      <font/>
      <fill>
        <patternFill patternType="solid">
          <fgColor rgb="FFFFFFFF"/>
          <bgColor rgb="FFFFFFFF"/>
        </patternFill>
      </fill>
      <border/>
    </dxf>
    <dxf>
      <font/>
      <fill>
        <patternFill patternType="solid">
          <fgColor rgb="FFFFE6DD"/>
          <bgColor rgb="FFFFE6DD"/>
        </patternFill>
      </fill>
      <border/>
    </dxf>
    <dxf>
      <font/>
      <fill>
        <patternFill patternType="solid">
          <fgColor rgb="FFE7FCF2"/>
          <bgColor rgb="FFE7FCF2"/>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DD7E6B"/>
          <bgColor rgb="FFDD7E6B"/>
        </patternFill>
      </fill>
      <border/>
    </dxf>
    <dxf>
      <font/>
      <fill>
        <patternFill patternType="solid">
          <fgColor rgb="FFE6B8AF"/>
          <bgColor rgb="FFE6B8AF"/>
        </patternFill>
      </fill>
      <border/>
    </dxf>
    <dxf>
      <font/>
      <fill>
        <patternFill patternType="solid">
          <fgColor rgb="FFDDF2F0"/>
          <bgColor rgb="FFDDF2F0"/>
        </patternFill>
      </fill>
      <border/>
    </dxf>
    <dxf>
      <font/>
      <fill>
        <patternFill patternType="solid">
          <fgColor rgb="FFEAD1DC"/>
          <bgColor rgb="FFEAD1DC"/>
        </patternFill>
      </fill>
      <border/>
    </dxf>
    <dxf>
      <font/>
      <fill>
        <patternFill patternType="solid">
          <fgColor rgb="FF00FF00"/>
          <bgColor rgb="FF00FF00"/>
        </patternFill>
      </fill>
      <border/>
    </dxf>
    <dxf>
      <font/>
      <fill>
        <patternFill patternType="solid">
          <fgColor rgb="FFD9D2E9"/>
          <bgColor rgb="FFD9D2E9"/>
        </patternFill>
      </fill>
      <border/>
    </dxf>
    <dxf>
      <font/>
      <fill>
        <patternFill patternType="solid">
          <fgColor rgb="FFC9DAF8"/>
          <bgColor rgb="FFC9DAF8"/>
        </patternFill>
      </fill>
      <border/>
    </dxf>
    <dxf>
      <font/>
      <fill>
        <patternFill patternType="solid">
          <fgColor rgb="FFB7E1CD"/>
          <bgColor rgb="FFB7E1CD"/>
        </patternFill>
      </fill>
      <border/>
    </dxf>
    <dxf>
      <font/>
      <fill>
        <patternFill patternType="solid">
          <fgColor rgb="FFD9EAD3"/>
          <bgColor rgb="FFD9EAD3"/>
        </patternFill>
      </fill>
      <border/>
    </dxf>
    <dxf>
      <font/>
      <fill>
        <patternFill patternType="solid">
          <fgColor rgb="FFFCE5CD"/>
          <bgColor rgb="FFFCE5CD"/>
        </patternFill>
      </fill>
      <border/>
    </dxf>
    <dxf>
      <font/>
      <fill>
        <patternFill patternType="solid">
          <fgColor rgb="FFFEF8E3"/>
          <bgColor rgb="FFFEF8E3"/>
        </patternFill>
      </fill>
      <border/>
    </dxf>
  </dxfs>
  <tableStyles count="18">
    <tableStyle count="3" pivot="0" name="Journal-style">
      <tableStyleElement dxfId="1" type="headerRow"/>
      <tableStyleElement dxfId="3" type="firstRowStripe"/>
      <tableStyleElement dxfId="5" type="secondRowStripe"/>
    </tableStyle>
    <tableStyle count="3" pivot="0" name="Chart_of_Accounts-style">
      <tableStyleElement dxfId="2" type="headerRow"/>
      <tableStyleElement dxfId="3" type="firstRowStripe"/>
      <tableStyleElement dxfId="4" type="secondRowStripe"/>
    </tableStyle>
    <tableStyle count="3" pivot="0" name="Chart_of_Accounts-style 2">
      <tableStyleElement dxfId="6" type="headerRow"/>
      <tableStyleElement dxfId="3" type="firstRowStripe"/>
      <tableStyleElement dxfId="7" type="secondRowStripe"/>
    </tableStyle>
    <tableStyle count="3" pivot="0" name="Chart_of_Accounts-style 3">
      <tableStyleElement dxfId="8" type="headerRow"/>
      <tableStyleElement dxfId="3" type="firstRowStripe"/>
      <tableStyleElement dxfId="9" type="secondRowStripe"/>
    </tableStyle>
    <tableStyle count="3" pivot="0" name="Chart_of_Accounts-style 4">
      <tableStyleElement dxfId="7" type="headerRow"/>
      <tableStyleElement dxfId="3" type="firstRowStripe"/>
      <tableStyleElement dxfId="7" type="secondRowStripe"/>
    </tableStyle>
    <tableStyle count="3" pivot="0" name="General_Ledger-style">
      <tableStyleElement dxfId="10" type="headerRow"/>
      <tableStyleElement dxfId="3" type="firstRowStripe"/>
      <tableStyleElement dxfId="10" type="secondRowStripe"/>
    </tableStyle>
    <tableStyle count="3" pivot="0" name="General_Ledger-style 2">
      <tableStyleElement dxfId="10" type="headerRow"/>
      <tableStyleElement dxfId="3" type="firstRowStripe"/>
      <tableStyleElement dxfId="10" type="secondRowStripe"/>
    </tableStyle>
    <tableStyle count="3" pivot="0" name="Trial_Balance-style">
      <tableStyleElement dxfId="11" type="headerRow"/>
      <tableStyleElement dxfId="3" type="firstRowStripe"/>
      <tableStyleElement dxfId="11" type="secondRowStripe"/>
    </tableStyle>
    <tableStyle count="3" pivot="0" name="Retained_Earnings-style">
      <tableStyleElement dxfId="13" type="headerRow"/>
      <tableStyleElement dxfId="3" type="firstRowStripe"/>
      <tableStyleElement dxfId="13" type="secondRowStripe"/>
    </tableStyle>
    <tableStyle count="3" pivot="0" name="Retained_Earnings-style 2">
      <tableStyleElement dxfId="14" type="headerRow"/>
      <tableStyleElement dxfId="3" type="firstRowStripe"/>
      <tableStyleElement dxfId="14" type="secondRowStripe"/>
    </tableStyle>
    <tableStyle count="3" pivot="0" name="Balance_Sheet-style">
      <tableStyleElement dxfId="13" type="headerRow"/>
      <tableStyleElement dxfId="3" type="firstRowStripe"/>
      <tableStyleElement dxfId="13" type="secondRowStripe"/>
    </tableStyle>
    <tableStyle count="3" pivot="0" name="Cash_Flow_Statement-style">
      <tableStyleElement dxfId="13" type="headerRow"/>
      <tableStyleElement dxfId="3" type="firstRowStripe"/>
      <tableStyleElement dxfId="13" type="secondRowStripe"/>
    </tableStyle>
    <tableStyle count="3" pivot="0" name="Cash_Flow_Statement-style 2">
      <tableStyleElement dxfId="16" type="headerRow"/>
      <tableStyleElement dxfId="3" type="firstRowStripe"/>
      <tableStyleElement dxfId="16" type="secondRowStripe"/>
    </tableStyle>
    <tableStyle count="3" pivot="0" name="Year_End_Report-style">
      <tableStyleElement dxfId="17" type="headerRow"/>
      <tableStyleElement dxfId="3" type="firstRowStripe"/>
      <tableStyleElement dxfId="17" type="secondRowStripe"/>
    </tableStyle>
    <tableStyle count="3" pivot="0" name="Year_End_Report-style 2">
      <tableStyleElement dxfId="16" type="headerRow"/>
      <tableStyleElement dxfId="3" type="firstRowStripe"/>
      <tableStyleElement dxfId="16" type="secondRowStripe"/>
    </tableStyle>
    <tableStyle count="3" pivot="0" name="Learning_Report-style">
      <tableStyleElement dxfId="18" type="headerRow"/>
      <tableStyleElement dxfId="3" type="firstRowStripe"/>
      <tableStyleElement dxfId="18" type="secondRowStripe"/>
    </tableStyle>
    <tableStyle count="3" pivot="0" name="Learning_Report-style 2">
      <tableStyleElement dxfId="18" type="headerRow"/>
      <tableStyleElement dxfId="3" type="firstRowStripe"/>
      <tableStyleElement dxfId="18" type="secondRowStripe"/>
    </tableStyle>
    <tableStyle count="2" pivot="0" name="Learning_Report-style 3">
      <tableStyleElement dxfId="18"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shua Dean" id="{0aa7d100-64a6-4bba-90c9-920474458368}" providerId="google-sheets"/>
  <x18tc:person displayName="FILIPPO FERRABUE" id="{b1ee4423-754f-4fbc-b20c-90bf814f6e3e}" providerId="google-sheets"/>
</x18tc:personList>
</file>

<file path=xl/tables/table1.xml><?xml version="1.0" encoding="utf-8"?>
<table xmlns="http://schemas.openxmlformats.org/spreadsheetml/2006/main" ref="A3:C8" displayName="Table_1" name="Table_1" id="2">
  <tableColumns count="3">
    <tableColumn name="No." id="1"/>
    <tableColumn name="Account" id="2"/>
    <tableColumn name="Description" id="3"/>
  </tableColumns>
  <tableStyleInfo name="Chart_of_Accounts-style" showColumnStripes="0" showFirstColumn="1" showLastColumn="1" showRowStripes="1"/>
</table>
</file>

<file path=xl/tables/table2.xml><?xml version="1.0" encoding="utf-8"?>
<table xmlns="http://schemas.openxmlformats.org/spreadsheetml/2006/main" ref="D3:F6" displayName="Table_3" name="Table_3" id="3">
  <tableColumns count="3">
    <tableColumn name="No." id="1"/>
    <tableColumn name="Account" id="2"/>
    <tableColumn name="Description" id="3"/>
  </tableColumns>
  <tableStyleInfo name="Chart_of_Accounts-style 2" showColumnStripes="0" showFirstColumn="1" showLastColumn="1" showRowStripes="1"/>
</table>
</file>

<file path=xl/tables/table3.xml><?xml version="1.0" encoding="utf-8"?>
<table xmlns="http://schemas.openxmlformats.org/spreadsheetml/2006/main" ref="G3:I22" displayName="Table_4" name="Table_4" id="4">
  <tableColumns count="3">
    <tableColumn name="No." id="1"/>
    <tableColumn name="Account" id="2"/>
    <tableColumn name="Description" id="3"/>
  </tableColumns>
  <tableStyleInfo name="Chart_of_Accounts-style 3" showColumnStripes="0" showFirstColumn="1" showLastColumn="1" showRowStripes="1"/>
</table>
</file>

<file path=xl/tables/table4.xml><?xml version="1.0" encoding="utf-8"?>
<table xmlns="http://schemas.openxmlformats.org/spreadsheetml/2006/main" ref="A26:A50" displayName="Table_5" name="Table_5" id="5">
  <tableColumns count="1">
    <tableColumn name="Cash" id="1"/>
  </tableColumns>
  <tableStyleInfo name="Chart_of_Accounts-style 4" showColumnStripes="0" showFirstColumn="1" showLastColumn="1" showRowStripes="1"/>
</table>
</file>

<file path=xl/tables/table5.xml><?xml version="1.0" encoding="utf-8"?>
<table xmlns="http://schemas.openxmlformats.org/spreadsheetml/2006/main" ref="A2:H143" displayName="Table_2" name="Table_2" id="1">
  <tableColumns count="8">
    <tableColumn name="Transaction_ID" id="1"/>
    <tableColumn name="Date" id="2"/>
    <tableColumn name="Description" id="3"/>
    <tableColumn name="Amount" id="4"/>
    <tableColumn name="Debit Account" id="5"/>
    <tableColumn name="Credit Account" id="6"/>
    <tableColumn name="Note" id="7"/>
    <tableColumn name="Check" id="8"/>
  </tableColumns>
  <tableStyleInfo name="Journal-style" showColumnStripes="0" showFirstColumn="1" showLastColumn="1" showRowStripes="1"/>
</table>
</file>

<file path=xl/tables/table6.xml><?xml version="1.0" encoding="utf-8"?>
<table xmlns="http://schemas.openxmlformats.org/spreadsheetml/2006/main" headerRowCount="0" ref="A5:BB125" displayName="Table_6" name="Table_6" id="6">
  <tableColumns count="5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s>
  <tableStyleInfo name="General_Ledger-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E127:BB128" displayName="Table_7" name="Table_7" id="7">
  <tableColumns count="5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s>
  <tableStyleInfo name="General_Ledger-style 2"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B6:D30" displayName="Table_8" name="Table_8" id="8">
  <tableColumns count="3">
    <tableColumn name="Column1" id="1"/>
    <tableColumn name="Column2" id="2"/>
    <tableColumn name="Column3" id="3"/>
  </tableColumns>
  <tableStyleInfo name="Trial_Balance-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B5:C5" displayName="Table_9" name="Table_9" id="9">
  <tableColumns count="2">
    <tableColumn name="Column1" id="1"/>
    <tableColumn name="Column2" id="2"/>
  </tableColumns>
  <tableStyleInfo name="Retained_Earnings-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B6:C9" displayName="Table_10" name="Table_10" id="10">
  <tableColumns count="2">
    <tableColumn name="Column1" id="1"/>
    <tableColumn name="Column2" id="2"/>
  </tableColumns>
  <tableStyleInfo name="Retained_Earnings-style 2"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B5:D5" displayName="Table_11" name="Table_11" id="11">
  <tableColumns count="3">
    <tableColumn name="Column1" id="1"/>
    <tableColumn name="Column2" id="2"/>
    <tableColumn name="Column3" id="3"/>
  </tableColumns>
  <tableStyleInfo name="Balance_Sheet-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B5:D5" displayName="Table_12" name="Table_12" id="12">
  <tableColumns count="3">
    <tableColumn name="Column1" id="1"/>
    <tableColumn name="Column2" id="2"/>
    <tableColumn name="Column3" id="3"/>
  </tableColumns>
  <tableStyleInfo name="Cash_Flow_Statement-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headerRowCount="0" ref="B6:D31" displayName="Table_13" name="Table_13" id="13">
  <tableColumns count="3">
    <tableColumn name="Column1" id="1"/>
    <tableColumn name="Column2" id="2"/>
    <tableColumn name="Column3" id="3"/>
  </tableColumns>
  <tableStyleInfo name="Cash_Flow_Statement-style 2"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ref="C40:C42" displayName="Table_14" name="Table_14" id="14">
  <tableColumns count="1">
    <tableColumn name="Jul" id="1"/>
  </tableColumns>
  <tableStyleInfo name="Year_End_Report-style" showColumnStripes="0" showFirstColumn="1" showLastColumn="1" showRowStripes="1"/>
</table>
</file>

<file path=xl/tables/table15.xml><?xml version="1.0" encoding="utf-8"?>
<table xmlns="http://schemas.openxmlformats.org/spreadsheetml/2006/main" ref="A45:A72" displayName="Table_15" name="Table_15" id="15">
  <tableColumns count="1">
    <tableColumn name="- VVV earns half of its revenue in summer and loses money in most other months." id="1"/>
  </tableColumns>
  <tableStyleInfo name="Year_End_Report-style 2" showColumnStripes="0" showFirstColumn="1" showLastColumn="1" showRowStripes="1"/>
</table>
</file>

<file path=xl/tables/table16.xml><?xml version="1.0" encoding="utf-8"?>
<table xmlns="http://schemas.openxmlformats.org/spreadsheetml/2006/main" headerRowCount="0" ref="A2:A19" displayName="Table_16" name="Table_16" id="16">
  <tableColumns count="1">
    <tableColumn name="Column1" id="1"/>
  </tableColumns>
  <tableStyleInfo name="Learning_Report-style"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22:A53" displayName="Table_17" name="Table_17" id="17">
  <tableColumns count="1">
    <tableColumn name="Column1" id="1"/>
  </tableColumns>
  <tableStyleInfo name="Learning_Report-style 2"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A55:A86" displayName="Table_18" name="Table_18" id="18">
  <tableColumns count="1">
    <tableColumn name="Column1" id="1"/>
  </tableColumns>
  <tableStyleInfo name="Learning_Repor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8" dT="2026-10-03T08:32:20.00" personId="{0aa7d100-64a6-4bba-90c9-920474458368}" id="{15241c9a-33d4-44bf-bf56-aea38df25b8a}" done="0">
    <x18tc:text xml:space="preserve">Easy to see, thanks!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6" dT="2026-10-03T08:32:50.00" personId="{0aa7d100-64a6-4bba-90c9-920474458368}" id="{ca9c482c-1c19-4f32-8b9c-5a0ac41933b2}" done="1">
    <x18tc:text xml:space="preserve">Complete</x18tc:text>
  </x18tc:threadedComment>
  <x18tc:threadedComment ref="K2" dT="2026-10-03T08:33:19.00" personId="{0aa7d100-64a6-4bba-90c9-920474458368}" id="{84f76112-9dc7-4fc6-92a3-efa61870269e}" done="1">
    <x18tc:text xml:space="preserve">Nice touch.</x18tc:text>
  </x18tc:threadedComment>
  <x18tc:threadedComment ref="K2" dT="2026-10-04T10:51:50.00" personId="{b1ee4423-754f-4fbc-b20c-90bf814f6e3e}" id="{efba3013-0af7-4662-aeba-d3c33bf090bd}" parentId="{84f76112-9dc7-4fc6-92a3-efa61870269e}">
    <x18tc:text xml:space="preserve">Marked as resolved</x18tc:text>
  </x18tc:threadedComment>
  <x18tc:threadedComment ref="K2" dT="2026-10-04T10:52:56.00" personId="{b1ee4423-754f-4fbc-b20c-90bf814f6e3e}" id="{b7451cac-59df-4192-bf8b-e1ddd0051ca8}" parentId="{84f76112-9dc7-4fc6-92a3-efa61870269e}">
    <x18tc:text xml:space="preserve">Thank you!
Re-opened</x18tc:text>
  </x18tc:threadedComment>
  <x18tc:threadedComment ref="K10" dT="2026-10-03T08:37:13.00" personId="{0aa7d100-64a6-4bba-90c9-920474458368}" id="{3362863d-5c93-4805-9b6a-42cd80eec011}" done="1">
    <x18tc:text xml:space="preserve">Of course. Now tell me what you learned in the Report tab.</x18tc:text>
  </x18tc:threadedComment>
  <x18tc:threadedComment ref="K10" dT="2026-10-04T10:57:50.00" personId="{b1ee4423-754f-4fbc-b20c-90bf814f6e3e}" id="{14d1a768-5e33-4f2f-9b79-741c7ef72d11}" parentId="{3362863d-5c93-4805-9b6a-42cd80eec011}">
    <x18tc:text xml:space="preserve">I wrote about it in the Learning Report, including how I used AI.</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6-10-03T08:34:46.00" personId="{0aa7d100-64a6-4bba-90c9-920474458368}" id="{658e7a95-6888-47bc-8274-cead88a93868}" done="1">
    <x18tc:text xml:space="preserve">Why aren't there formulas here? They are required.</x18tc:text>
  </x18tc:threadedComment>
  <x18tc:threadedComment ref="B3" dT="2026-10-04T10:27:06.00" personId="{b1ee4423-754f-4fbc-b20c-90bf814f6e3e}" id="{6ff3cbd2-bae1-47fc-9ef5-941db0df2ea9}" parentId="{658e7a95-6888-47bc-8274-cead88a93868}">
    <x18tc:text xml:space="preserve">Marked as resolved</x18tc:text>
  </x18tc:threadedComment>
  <x18tc:threadedComment ref="B3" dT="2026-10-04T10:57:45.00" personId="{b1ee4423-754f-4fbc-b20c-90bf814f6e3e}" id="{dc6a32a7-9c8a-4068-b6da-4176b2244400}" parentId="{658e7a95-6888-47bc-8274-cead88a93868}">
    <x18tc:text xml:space="preserve">Fixed. The journal now uses only formulas
Re-opened</x18tc:text>
  </x18tc:threadedComment>
  <x18tc:threadedComment ref="E3" dT="2026-10-05T15:32:02.00" personId="{0aa7d100-64a6-4bba-90c9-920474458368}" id="{2d6c7c63-b505-41a4-8078-7a3f4a9ca671}" done="1">
    <x18tc:text xml:space="preserve">Oh this is so good. I am sorry I looked at it so late. I might lose sleep over how you beat me to it.</x18tc:text>
  </x18tc:threadedComment>
  <x18tc:threadedComment ref="E3" dT="2026-10-05T15:33:19.00" personId="{0aa7d100-64a6-4bba-90c9-920474458368}" id="{638af6d9-0261-4590-8ba6-d5a5f962748d}" parentId="{2d6c7c63-b505-41a4-8078-7a3f4a9ca671}">
    <x18tc:text xml:space="preserve">The true test will be to use a new set of data in a similar style. Incoming...</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10-05T12:41:59.00" personId="{0aa7d100-64a6-4bba-90c9-920474458368}" id="{265b37c0-7a1e-47f2-a753-ef3768c997f4}" done="1">
    <x18tc:text xml:space="preserve">YES! Rules are what is needed. My sneak peak hopefully showed everyone that. You may help others with this if you wanted to. There are not rules against it.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6-10-13T09:44:53.00" personId="{0aa7d100-64a6-4bba-90c9-920474458368}" id="{ca649600-739c-4e57-9364-79b2d2ef235c}" done="1">
    <x18tc:text xml:space="preserve">1...here because of your array structure.</x18tc:text>
  </x18tc:threadedComment>
  <x18tc:threadedComment ref="D148" dT="2026-10-13T09:46:26.00" personId="{0aa7d100-64a6-4bba-90c9-920474458368}" id="{951c5a3d-05b9-434b-a57d-916beb9ee59d}" done="1">
    <x18tc:text xml:space="preserve">It is possible to condense this for this project. You could technically lump all non-major expenses into one account call Expenses.</x18tc:text>
  </x18tc:threadedComment>
  <x18tc:threadedComment ref="D148" dT="2026-10-13T09:46:53.00" personId="{0aa7d100-64a6-4bba-90c9-920474458368}" id="{c05f36f2-f31e-49b8-a67c-bed6eee959df}" parentId="{951c5a3d-05b9-434b-a57d-916beb9ee59d}">
    <x18tc:text xml:space="preserve">You may also keep what you have as there are not structural issues.</x18tc:text>
  </x18tc:threadedComment>
  <x18tc:threadedComment ref="I3" dT="2026-10-13T09:42:02.00" personId="{0aa7d100-64a6-4bba-90c9-920474458368}" id="{2109ffdf-ab7f-4b54-a13a-9d9682e5feeb}" done="1">
    <x18tc:text xml:space="preserve">merge all account lable cells for readability</x18tc:text>
  </x18tc:threadedComment>
  <x18tc:threadedComment ref="G3" dT="2026-10-13T09:42:11.00" personId="{0aa7d100-64a6-4bba-90c9-920474458368}" id="{31c4bf3a-11b9-4578-8d26-e4ecd8590997}" done="1">
    <x18tc:text xml:space="preserve">like this</x18tc:text>
  </x18tc:threadedComment>
  <x18tc:threadedComment ref="A11" dT="2026-10-13T09:43:10.00" personId="{0aa7d100-64a6-4bba-90c9-920474458368}" id="{fec0e00a-962b-4db7-8001-8662409c5b6b}" done="1">
    <x18tc:text xml:space="preserve">Only one transaction is allowed per line. You'll have three accounts with an amount listed in this row since this affects 3 accounts. Incomplete.</x18tc:text>
  </x18tc:threadedComment>
  <x18tc:threadedComment ref="A11" dT="2026-10-13T09:44:37.00" personId="{0aa7d100-64a6-4bba-90c9-920474458368}" id="{1a2add5c-65ba-4df0-b37f-b9216c7fb97a}" parentId="{fec0e00a-962b-4db7-8001-8662409c5b6b}">
    <x18tc:text xml:space="preserve">Unfortunately, this may cause you to have to change your formula...1</x18tc:text>
  </x18tc:threadedComment>
  <x18tc:threadedComment ref="A11" dT="2026-10-13T11:30:47.00" personId="{b1ee4423-754f-4fbc-b20c-90bf814f6e3e}" id="{f175fba9-6c46-4a11-8e16-f1be93639fa3}" parentId="{fec0e00a-962b-4db7-8001-8662409c5b6b}">
    <x18tc:text xml:space="preserve">Done! Now it's one row per transaction 🙃</x18tc:text>
  </x18tc:threadedComment>
  <x18tc:threadedComment ref="F127" dT="2026-10-13T09:47:41.00" personId="{0aa7d100-64a6-4bba-90c9-920474458368}" id="{11cb12bb-bb17-45a7-9fb3-18d5cddaff54}" done="1">
    <x18tc:text xml:space="preserve">This should probably not equal 0 since there has to be at least on transaction that spends cash.</x18tc:text>
  </x18tc:threadedComment>
  <x18tc:threadedComment ref="D17" dT="2026-10-13T09:49:04.00" personId="{0aa7d100-64a6-4bba-90c9-920474458368}" id="{5a5e2e2e-555a-4e23-a1d5-27a475c7b473}" done="1">
    <x18tc:text xml:space="preserve">Check this out for example. This transaction has two debits which cannot occur without another account having been credited.</x18tc:text>
  </x18tc:threadedComment>
  <x18tc:threadedComment ref="D17" dT="2026-10-13T09:51:02.00" personId="{0aa7d100-64a6-4bba-90c9-920474458368}" id="{ca6e4940-ef37-40d2-8b25-25d68a0a3a23}" parentId="{5a5e2e2e-555a-4e23-a1d5-27a475c7b473}">
    <x18tc:text xml:space="preserve">having less accounts means you'll be able to see this clearer. But you be working in assembly in your regular program so I do not doubt your ability to understand fine detail.</x18tc:text>
  </x18tc:threadedComment>
  <x18tc:threadedComment ref="D17" dT="2026-10-13T10:33:23.00" personId="{b1ee4423-754f-4fbc-b20c-90bf814f6e3e}" id="{ac37ddf9-40e9-4fcc-88d4-4881ce84eef2}" parentId="{5a5e2e2e-555a-4e23-a1d5-27a475c7b473}">
    <x18tc:text xml:space="preserve">Marked as resolved</x18tc:text>
  </x18tc:threadedComment>
  <x18tc:threadedComment ref="D17" dT="2026-10-13T11:36:06.00" personId="{b1ee4423-754f-4fbc-b20c-90bf814f6e3e}" id="{4dbc907b-3b2d-40ff-8526-eb1326256d07}" parentId="{5a5e2e2e-555a-4e23-a1d5-27a475c7b473}">
    <x18tc:text xml:space="preserve">ahaha true, but I really really prefer this rather then assembly
Re-opened</x18tc:text>
  </x18tc:threadedComment>
  <x18tc:threadedComment ref="C17" dT="2026-10-13T09:49:55.00" personId="{0aa7d100-64a6-4bba-90c9-920474458368}" id="{72a36276-bd78-421c-adbc-d5cd0fe83fdf}" done="1">
    <x18tc:text xml:space="preserve">This is a purchase so that means cash was spend (ie. credited). When you fix these issues you'll see a balanced equation.</x18tc:text>
  </x18tc:threadedComment>
  <x18tc:threadedComment ref="E5" dT="2026-10-13T11:47:45.00" personId="{0aa7d100-64a6-4bba-90c9-920474458368}" id="{e3955dcd-fe15-4912-ac04-23e03af02970}" done="1">
    <x18tc:text xml:space="preserve">YEs this is the formula I remember!</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10-13T11:48:38.00" personId="{0aa7d100-64a6-4bba-90c9-920474458368}" id="{b12b71f5-b52e-4754-be81-b4d56aa6ac5e}" done="1">
    <x18tc:text xml:space="preserve">This part is super easy. Once complete you'll be finished MS3.</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0" dT="2026-10-29T08:20:09.00" personId="{0aa7d100-64a6-4bba-90c9-920474458368}" id="{5a2c2135-25a0-4db2-b613-d23cf0c54ca0}" done="0">
    <x18tc:text xml:space="preserve">close. look again at the meaning behind the discrepancy.</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10-03T08:34:13.00" personId="{0aa7d100-64a6-4bba-90c9-920474458368}" id="{aa319967-a5ff-49b7-9620-af1ffd5a09a3}" done="1">
    <x18tc:text xml:space="preserve">Incomplete for MS1.</x18tc:text>
  </x18tc:threadedComment>
  <x18tc:threadedComment ref="A1" dT="2026-10-04T10:44:49.00" personId="{b1ee4423-754f-4fbc-b20c-90bf814f6e3e}" id="{5f7cf68d-6326-4ac2-8410-64ca9b7adb75}" parentId="{aa319967-a5ff-49b7-9620-af1ffd5a09a3}">
    <x18tc:text xml:space="preserve">Marked as resolved</x18tc:text>
  </x18tc:threadedComment>
  <x18tc:threadedComment ref="A1" dT="2026-10-04T10:53:08.00" personId="{b1ee4423-754f-4fbc-b20c-90bf814f6e3e}" id="{4b4278fc-9446-4903-971f-0ec0b7597ac7}" parentId="{aa319967-a5ff-49b7-9620-af1ffd5a09a3}">
    <x18tc:text xml:space="preserve">Done, the Learning Report for MS1 is now complete.
Re-opened</x18tc:text>
  </x18tc:threadedComment>
  <x18tc:threadedComment ref="A1" dT="2026-10-05T00:42:01.00" personId="{0aa7d100-64a6-4bba-90c9-920474458368}" id="{28f49930-0232-49da-a796-c24ba4802381}" parentId="{aa319967-a5ff-49b7-9620-af1ffd5a09a3}">
    <x18tc:text xml:space="preserve">make sure to resubmit</x18tc:text>
  </x18tc:threadedComment>
  <x18tc:threadedComment ref="A1" dT="2026-10-05T00:45:14.00" personId="{b1ee4423-754f-4fbc-b20c-90bf814f6e3e}" id="{6dd9e5db-b43e-41bb-bb1b-4433c26d78bc}" parentId="{aa319967-a5ff-49b7-9620-af1ffd5a09a3}">
    <x18tc:text xml:space="preserve">done!</x18tc:text>
  </x18tc:threadedComment>
  <x18tc:threadedComment ref="A7" dT="2026-10-05T01:01:38.00" personId="{0aa7d100-64a6-4bba-90c9-920474458368}" id="{453dba75-ce55-4b3d-b927-b7539ae1d6c3}" done="1">
    <x18tc:text xml:space="preserve">Ugh! I had no idea the formula formatting would need to change for different language settings.</x18tc:text>
  </x18tc:threadedComment>
  <x18tc:threadedComment ref="A13" dT="2026-10-05T01:05:07.00" personId="{0aa7d100-64a6-4bba-90c9-920474458368}" id="{b121f6f7-f5ac-4f26-88e0-ab87076bedbf}" done="1">
    <x18tc:text xml:space="preserve">I understand your course load will make things difficult. As soon as you are finished with this MA you are free on Wednesdays.</x18tc:text>
  </x18tc:threadedComment>
  <x18tc:threadedComment ref="A13" dT="2026-10-05T01:07:30.00" personId="{0aa7d100-64a6-4bba-90c9-920474458368}" id="{2235c8fd-67a4-43de-87f5-2b0512b1f945}" parentId="{b121f6f7-f5ac-4f26-88e0-ab87076bedbf}">
    <x18tc:text xml:space="preserve">MS1 is the hardest part. They generally get easier for most people.</x18tc:text>
  </x18tc:threadedComment>
  <x18tc:threadedComment ref="A12" dT="2026-10-05T01:08:11.00" personId="{0aa7d100-64a6-4bba-90c9-920474458368}" id="{7fe5097c-c529-46ef-ab91-b58209e511e7}" done="1">
    <x18tc:text xml:space="preserve">This is an appropriate use of AI. Thank you for doing it right.</x18tc:text>
  </x18tc:threadedComment>
  <x18tc:threadedComment ref="A79" dT="2026-10-29T08:17:36.00" personId="{0aa7d100-64a6-4bba-90c9-920474458368}" id="{9a49908a-08a1-4122-8424-fac12016ec90}" done="0">
    <x18tc:text xml:space="preserve">Can you elaborate on this? You are correct but I need your interpretation of these discrepancies.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 Id="rId7"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9" Type="http://schemas.openxmlformats.org/officeDocument/2006/relationships/table" Target="../tables/table7.xml"/><Relationship Id="rId5" Type="http://schemas.openxmlformats.org/officeDocument/2006/relationships/vmlDrawing" Target="../drawings/vmlDrawing5.vml"/><Relationship Id="rId8"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 Id="rId7"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9.xml"/><Relationship Id="rId5"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12.xml"/><Relationship Id="rId5"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2.xml"/><Relationship Id="rId9" Type="http://schemas.openxmlformats.org/officeDocument/2006/relationships/table" Target="../tables/table15.xml"/><Relationship Id="rId5" Type="http://schemas.openxmlformats.org/officeDocument/2006/relationships/vmlDrawing" Target="../drawings/vmlDrawing7.vml"/><Relationship Id="rId8"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0" Type="http://schemas.openxmlformats.org/officeDocument/2006/relationships/vmlDrawing" Target="../drawings/vmlDrawing8.vm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claude.ai/share/5ad9b402-c4f2-428f-ac82-68e5dc234e78" TargetMode="External"/><Relationship Id="rId9" Type="http://schemas.openxmlformats.org/officeDocument/2006/relationships/drawing" Target="../drawings/drawing13.xml"/><Relationship Id="rId15" Type="http://schemas.openxmlformats.org/officeDocument/2006/relationships/table" Target="../tables/table17.xml"/><Relationship Id="rId14" Type="http://schemas.openxmlformats.org/officeDocument/2006/relationships/table" Target="../tables/table16.xml"/><Relationship Id="rId16" Type="http://schemas.openxmlformats.org/officeDocument/2006/relationships/table" Target="../tables/table18.xml"/><Relationship Id="rId5" Type="http://schemas.openxmlformats.org/officeDocument/2006/relationships/hyperlink" Target="https://claude.ai/share/c468b437-34ba-4f36-a4a9-e2c9ec6620f8" TargetMode="External"/><Relationship Id="rId6" Type="http://schemas.openxmlformats.org/officeDocument/2006/relationships/hyperlink" Target="https://claude.ai/share/c468b437-34ba-4f36-a4a9-e2c9ec6620f8" TargetMode="External"/><Relationship Id="rId7" Type="http://schemas.openxmlformats.org/officeDocument/2006/relationships/hyperlink" Target="https://claude.ai/share/dd383b08-954a-4c6e-8046-969fc9b2835a" TargetMode="External"/><Relationship Id="rId8" Type="http://schemas.openxmlformats.org/officeDocument/2006/relationships/hyperlink" Target="https://claude.ai/share/c468b437-34ba-4f36-a4a9-e2c9ec6620f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2" t="s">
        <v>7</v>
      </c>
      <c r="C1" s="2" t="s">
        <v>9</v>
      </c>
      <c r="D1" s="2" t="s">
        <v>11</v>
      </c>
      <c r="E1" s="2" t="s">
        <v>13</v>
      </c>
      <c r="F1" s="2" t="s">
        <v>14</v>
      </c>
      <c r="G1" s="2" t="s">
        <v>16</v>
      </c>
      <c r="H1" s="2" t="s">
        <v>18</v>
      </c>
      <c r="I1" s="2" t="s">
        <v>20</v>
      </c>
      <c r="J1" s="2" t="s">
        <v>23</v>
      </c>
      <c r="K1" s="2"/>
      <c r="L1" s="2"/>
      <c r="M1" s="2"/>
      <c r="N1" s="2"/>
      <c r="O1" s="2"/>
      <c r="P1" s="2"/>
      <c r="Q1" s="2"/>
      <c r="R1" s="2"/>
      <c r="S1" s="2"/>
      <c r="T1" s="2"/>
      <c r="U1" s="2"/>
      <c r="V1" s="2"/>
      <c r="W1" s="2"/>
      <c r="X1" s="2"/>
      <c r="Y1" s="2"/>
      <c r="Z1" s="2"/>
    </row>
    <row r="2">
      <c r="A2" s="2" t="s">
        <v>34</v>
      </c>
      <c r="B2" s="3">
        <v>45292.0</v>
      </c>
      <c r="C2" s="2" t="s">
        <v>42</v>
      </c>
      <c r="D2" s="4">
        <v>50000.0</v>
      </c>
      <c r="E2" s="2" t="s">
        <v>45</v>
      </c>
      <c r="F2" s="2" t="s">
        <v>46</v>
      </c>
      <c r="G2" s="2" t="s">
        <v>48</v>
      </c>
      <c r="H2" s="2" t="s">
        <v>50</v>
      </c>
      <c r="I2" s="2" t="s">
        <v>51</v>
      </c>
      <c r="J2" s="2" t="s">
        <v>53</v>
      </c>
      <c r="K2" s="2"/>
      <c r="L2" s="2"/>
      <c r="M2" s="2"/>
      <c r="N2" s="2"/>
      <c r="O2" s="2"/>
      <c r="P2" s="2"/>
      <c r="Q2" s="2"/>
      <c r="R2" s="2"/>
      <c r="S2" s="2"/>
      <c r="T2" s="2"/>
      <c r="U2" s="2"/>
      <c r="V2" s="2"/>
      <c r="W2" s="2"/>
      <c r="X2" s="2"/>
      <c r="Y2" s="2"/>
      <c r="Z2" s="2"/>
    </row>
    <row r="3">
      <c r="A3" s="2" t="s">
        <v>56</v>
      </c>
      <c r="B3" s="3">
        <v>45293.0</v>
      </c>
      <c r="C3" s="2" t="s">
        <v>59</v>
      </c>
      <c r="D3" s="4">
        <v>5400.0</v>
      </c>
      <c r="E3" s="2" t="s">
        <v>61</v>
      </c>
      <c r="F3" s="2" t="s">
        <v>63</v>
      </c>
      <c r="G3" s="2" t="s">
        <v>64</v>
      </c>
      <c r="H3" s="2" t="s">
        <v>50</v>
      </c>
      <c r="I3" s="2" t="s">
        <v>65</v>
      </c>
      <c r="J3" s="2" t="s">
        <v>67</v>
      </c>
      <c r="K3" s="2"/>
      <c r="L3" s="2"/>
      <c r="M3" s="2"/>
      <c r="N3" s="2"/>
      <c r="O3" s="2"/>
      <c r="P3" s="2"/>
      <c r="Q3" s="2"/>
      <c r="R3" s="2"/>
      <c r="S3" s="2"/>
      <c r="T3" s="2"/>
      <c r="U3" s="2"/>
      <c r="V3" s="2"/>
      <c r="W3" s="2"/>
      <c r="X3" s="2"/>
      <c r="Y3" s="2"/>
      <c r="Z3" s="2"/>
    </row>
    <row r="4">
      <c r="A4" s="2" t="s">
        <v>75</v>
      </c>
      <c r="B4" s="3">
        <v>45294.0</v>
      </c>
      <c r="C4" s="2" t="s">
        <v>78</v>
      </c>
      <c r="D4" s="4">
        <v>1500.0</v>
      </c>
      <c r="E4" s="2" t="s">
        <v>79</v>
      </c>
      <c r="F4" s="2" t="s">
        <v>80</v>
      </c>
      <c r="G4" s="2" t="s">
        <v>81</v>
      </c>
      <c r="H4" s="2" t="s">
        <v>50</v>
      </c>
      <c r="I4" s="2" t="s">
        <v>82</v>
      </c>
      <c r="J4" s="2" t="s">
        <v>83</v>
      </c>
      <c r="K4" s="2"/>
      <c r="L4" s="2"/>
      <c r="M4" s="2"/>
      <c r="N4" s="2"/>
      <c r="O4" s="2"/>
      <c r="P4" s="2"/>
      <c r="Q4" s="2"/>
      <c r="R4" s="2"/>
      <c r="S4" s="2"/>
      <c r="T4" s="2"/>
      <c r="U4" s="2"/>
      <c r="V4" s="2"/>
      <c r="W4" s="2"/>
      <c r="X4" s="2"/>
      <c r="Y4" s="2"/>
      <c r="Z4" s="2"/>
    </row>
    <row r="5">
      <c r="A5" s="2" t="s">
        <v>87</v>
      </c>
      <c r="B5" s="3">
        <v>45295.0</v>
      </c>
      <c r="C5" s="2" t="s">
        <v>89</v>
      </c>
      <c r="D5" s="4">
        <v>6000.0</v>
      </c>
      <c r="E5" s="2" t="s">
        <v>61</v>
      </c>
      <c r="F5" s="2" t="s">
        <v>91</v>
      </c>
      <c r="G5" s="2" t="s">
        <v>64</v>
      </c>
      <c r="H5" s="2" t="s">
        <v>50</v>
      </c>
      <c r="I5" s="2" t="s">
        <v>94</v>
      </c>
      <c r="J5" s="2" t="s">
        <v>95</v>
      </c>
      <c r="K5" s="2"/>
      <c r="L5" s="2"/>
      <c r="M5" s="2"/>
      <c r="N5" s="2"/>
      <c r="O5" s="2"/>
      <c r="P5" s="2"/>
      <c r="Q5" s="2"/>
      <c r="R5" s="2"/>
      <c r="S5" s="2"/>
      <c r="T5" s="2"/>
      <c r="U5" s="2"/>
      <c r="V5" s="2"/>
      <c r="W5" s="2"/>
      <c r="X5" s="2"/>
      <c r="Y5" s="2"/>
      <c r="Z5" s="2"/>
    </row>
    <row r="6">
      <c r="A6" s="2" t="s">
        <v>100</v>
      </c>
      <c r="B6" s="3">
        <v>45297.0</v>
      </c>
      <c r="C6" s="2" t="s">
        <v>101</v>
      </c>
      <c r="D6" s="4">
        <v>50000.0</v>
      </c>
      <c r="E6" s="2" t="s">
        <v>102</v>
      </c>
      <c r="F6" s="2" t="s">
        <v>104</v>
      </c>
      <c r="G6" s="2" t="s">
        <v>105</v>
      </c>
      <c r="H6" s="2" t="s">
        <v>50</v>
      </c>
      <c r="I6" s="2" t="s">
        <v>107</v>
      </c>
      <c r="J6" s="2" t="s">
        <v>110</v>
      </c>
      <c r="K6" s="2"/>
      <c r="L6" s="2"/>
      <c r="M6" s="2"/>
      <c r="N6" s="2"/>
      <c r="O6" s="2"/>
      <c r="P6" s="2"/>
      <c r="Q6" s="2"/>
      <c r="R6" s="2"/>
      <c r="S6" s="2"/>
      <c r="T6" s="2"/>
      <c r="U6" s="2"/>
      <c r="V6" s="2"/>
      <c r="W6" s="2"/>
      <c r="X6" s="2"/>
      <c r="Y6" s="2"/>
      <c r="Z6" s="2"/>
    </row>
    <row r="7">
      <c r="A7" s="2" t="s">
        <v>115</v>
      </c>
      <c r="B7" s="3">
        <v>45297.0</v>
      </c>
      <c r="C7" s="2" t="s">
        <v>117</v>
      </c>
      <c r="D7" s="4">
        <v>600.0</v>
      </c>
      <c r="E7" s="2" t="s">
        <v>118</v>
      </c>
      <c r="F7" s="2" t="s">
        <v>63</v>
      </c>
      <c r="G7" s="2" t="s">
        <v>121</v>
      </c>
      <c r="H7" s="2" t="s">
        <v>50</v>
      </c>
      <c r="I7" s="2" t="s">
        <v>124</v>
      </c>
      <c r="J7" s="2" t="s">
        <v>126</v>
      </c>
      <c r="K7" s="2"/>
      <c r="L7" s="2"/>
      <c r="M7" s="2"/>
      <c r="N7" s="2"/>
      <c r="O7" s="2"/>
      <c r="P7" s="2"/>
      <c r="Q7" s="2"/>
      <c r="R7" s="2"/>
      <c r="S7" s="2"/>
      <c r="T7" s="2"/>
      <c r="U7" s="2"/>
      <c r="V7" s="2"/>
      <c r="W7" s="2"/>
      <c r="X7" s="2"/>
      <c r="Y7" s="2"/>
      <c r="Z7" s="2"/>
    </row>
    <row r="8">
      <c r="A8" s="2" t="s">
        <v>131</v>
      </c>
      <c r="B8" s="3">
        <v>45299.0</v>
      </c>
      <c r="C8" s="2" t="s">
        <v>134</v>
      </c>
      <c r="D8" s="4">
        <v>30000.0</v>
      </c>
      <c r="E8" s="2" t="s">
        <v>36</v>
      </c>
      <c r="F8" s="2" t="s">
        <v>136</v>
      </c>
      <c r="G8" s="2" t="s">
        <v>138</v>
      </c>
      <c r="H8" s="2" t="s">
        <v>140</v>
      </c>
      <c r="I8" s="2" t="s">
        <v>141</v>
      </c>
      <c r="J8" s="2" t="s">
        <v>143</v>
      </c>
      <c r="K8" s="2"/>
      <c r="L8" s="2"/>
      <c r="M8" s="2"/>
      <c r="N8" s="2"/>
      <c r="O8" s="2"/>
      <c r="P8" s="2"/>
      <c r="Q8" s="2"/>
      <c r="R8" s="2"/>
      <c r="S8" s="2"/>
      <c r="T8" s="2"/>
      <c r="U8" s="2"/>
      <c r="V8" s="2"/>
      <c r="W8" s="2"/>
      <c r="X8" s="2"/>
      <c r="Y8" s="2"/>
      <c r="Z8" s="2"/>
    </row>
    <row r="9">
      <c r="A9" s="2" t="s">
        <v>150</v>
      </c>
      <c r="B9" s="3">
        <v>45301.0</v>
      </c>
      <c r="C9" s="2" t="s">
        <v>152</v>
      </c>
      <c r="D9" s="4">
        <v>18000.0</v>
      </c>
      <c r="E9" s="2" t="s">
        <v>21</v>
      </c>
      <c r="F9" s="2" t="s">
        <v>155</v>
      </c>
      <c r="G9" s="2" t="s">
        <v>156</v>
      </c>
      <c r="H9" s="2" t="s">
        <v>158</v>
      </c>
      <c r="I9" s="2" t="s">
        <v>159</v>
      </c>
      <c r="J9" s="2" t="s">
        <v>161</v>
      </c>
      <c r="K9" s="2"/>
      <c r="L9" s="2"/>
      <c r="M9" s="2"/>
      <c r="N9" s="2"/>
      <c r="O9" s="2"/>
      <c r="P9" s="2"/>
      <c r="Q9" s="2"/>
      <c r="R9" s="2"/>
      <c r="S9" s="2"/>
      <c r="T9" s="2"/>
      <c r="U9" s="2"/>
      <c r="V9" s="2"/>
      <c r="W9" s="2"/>
      <c r="X9" s="2"/>
      <c r="Y9" s="2"/>
      <c r="Z9" s="2"/>
    </row>
    <row r="10">
      <c r="A10" s="2" t="s">
        <v>165</v>
      </c>
      <c r="B10" s="3">
        <v>45303.0</v>
      </c>
      <c r="C10" s="2" t="s">
        <v>166</v>
      </c>
      <c r="D10" s="4">
        <v>5000.0</v>
      </c>
      <c r="E10" s="2" t="s">
        <v>168</v>
      </c>
      <c r="F10" s="2" t="s">
        <v>170</v>
      </c>
      <c r="G10" s="2" t="s">
        <v>171</v>
      </c>
      <c r="H10" s="2" t="s">
        <v>140</v>
      </c>
      <c r="I10" s="2" t="s">
        <v>173</v>
      </c>
      <c r="J10" s="2" t="s">
        <v>175</v>
      </c>
      <c r="K10" s="2"/>
      <c r="L10" s="2"/>
      <c r="M10" s="2"/>
      <c r="N10" s="2"/>
      <c r="O10" s="2"/>
      <c r="P10" s="2"/>
      <c r="Q10" s="2"/>
      <c r="R10" s="2"/>
      <c r="S10" s="2"/>
      <c r="T10" s="2"/>
      <c r="U10" s="2"/>
      <c r="V10" s="2"/>
      <c r="W10" s="2"/>
      <c r="X10" s="2"/>
      <c r="Y10" s="2"/>
      <c r="Z10" s="2"/>
    </row>
    <row r="11">
      <c r="A11" s="2" t="s">
        <v>178</v>
      </c>
      <c r="B11" s="3">
        <v>45303.0</v>
      </c>
      <c r="C11" s="2" t="s">
        <v>180</v>
      </c>
      <c r="D11" s="4">
        <v>4500.0</v>
      </c>
      <c r="E11" s="2" t="s">
        <v>182</v>
      </c>
      <c r="F11" s="2" t="s">
        <v>183</v>
      </c>
      <c r="G11" s="2" t="s">
        <v>184</v>
      </c>
      <c r="H11" s="2" t="s">
        <v>186</v>
      </c>
      <c r="I11" s="2" t="s">
        <v>187</v>
      </c>
      <c r="J11" s="2" t="s">
        <v>188</v>
      </c>
      <c r="K11" s="2"/>
      <c r="L11" s="2"/>
      <c r="M11" s="2"/>
      <c r="N11" s="2"/>
      <c r="O11" s="2"/>
      <c r="P11" s="2"/>
      <c r="Q11" s="2"/>
      <c r="R11" s="2"/>
      <c r="S11" s="2"/>
      <c r="T11" s="2"/>
      <c r="U11" s="2"/>
      <c r="V11" s="2"/>
      <c r="W11" s="2"/>
      <c r="X11" s="2"/>
      <c r="Y11" s="2"/>
      <c r="Z11" s="2"/>
    </row>
    <row r="12">
      <c r="A12" s="2" t="s">
        <v>189</v>
      </c>
      <c r="B12" s="3">
        <v>45305.0</v>
      </c>
      <c r="C12" s="2" t="s">
        <v>190</v>
      </c>
      <c r="D12" s="4">
        <v>1800.0</v>
      </c>
      <c r="E12" s="2" t="s">
        <v>168</v>
      </c>
      <c r="F12" s="2" t="s">
        <v>80</v>
      </c>
      <c r="G12" s="2" t="s">
        <v>191</v>
      </c>
      <c r="H12" s="2" t="s">
        <v>140</v>
      </c>
      <c r="I12" s="2" t="s">
        <v>192</v>
      </c>
      <c r="J12" s="2" t="s">
        <v>193</v>
      </c>
      <c r="K12" s="2"/>
      <c r="L12" s="2"/>
      <c r="M12" s="2"/>
      <c r="N12" s="2"/>
      <c r="O12" s="2"/>
      <c r="P12" s="2"/>
      <c r="Q12" s="2"/>
      <c r="R12" s="2"/>
      <c r="S12" s="2"/>
      <c r="T12" s="2"/>
      <c r="U12" s="2"/>
      <c r="V12" s="2"/>
      <c r="W12" s="2"/>
      <c r="X12" s="2"/>
      <c r="Y12" s="2"/>
      <c r="Z12" s="2"/>
    </row>
    <row r="13">
      <c r="A13" s="2" t="s">
        <v>194</v>
      </c>
      <c r="B13" s="3">
        <v>45307.0</v>
      </c>
      <c r="C13" s="2" t="s">
        <v>195</v>
      </c>
      <c r="D13" s="4">
        <v>12000.0</v>
      </c>
      <c r="E13" s="2" t="s">
        <v>58</v>
      </c>
      <c r="F13" s="2" t="s">
        <v>155</v>
      </c>
      <c r="G13" s="2" t="s">
        <v>197</v>
      </c>
      <c r="H13" s="2" t="s">
        <v>158</v>
      </c>
      <c r="I13" s="2" t="s">
        <v>198</v>
      </c>
      <c r="J13" s="2" t="s">
        <v>200</v>
      </c>
      <c r="K13" s="2"/>
      <c r="L13" s="2"/>
      <c r="M13" s="2"/>
      <c r="N13" s="2"/>
      <c r="O13" s="2"/>
      <c r="P13" s="2"/>
      <c r="Q13" s="2"/>
      <c r="R13" s="2"/>
      <c r="S13" s="2"/>
      <c r="T13" s="2"/>
      <c r="U13" s="2"/>
      <c r="V13" s="2"/>
      <c r="W13" s="2"/>
      <c r="X13" s="2"/>
      <c r="Y13" s="2"/>
      <c r="Z13" s="2"/>
    </row>
    <row r="14">
      <c r="A14" s="2" t="s">
        <v>203</v>
      </c>
      <c r="B14" s="3">
        <v>45309.0</v>
      </c>
      <c r="C14" s="2" t="s">
        <v>204</v>
      </c>
      <c r="D14" s="4">
        <v>2200.0</v>
      </c>
      <c r="E14" s="2" t="s">
        <v>125</v>
      </c>
      <c r="F14" s="2" t="s">
        <v>80</v>
      </c>
      <c r="G14" s="2" t="s">
        <v>205</v>
      </c>
      <c r="H14" s="2" t="s">
        <v>158</v>
      </c>
      <c r="I14" s="2" t="s">
        <v>206</v>
      </c>
      <c r="J14" s="2" t="s">
        <v>208</v>
      </c>
      <c r="K14" s="2"/>
      <c r="L14" s="2"/>
      <c r="M14" s="2"/>
      <c r="N14" s="2"/>
      <c r="O14" s="2"/>
      <c r="P14" s="2"/>
      <c r="Q14" s="2"/>
      <c r="R14" s="2"/>
      <c r="S14" s="2"/>
      <c r="T14" s="2"/>
      <c r="U14" s="2"/>
      <c r="V14" s="2"/>
      <c r="W14" s="2"/>
      <c r="X14" s="2"/>
      <c r="Y14" s="2"/>
      <c r="Z14" s="2"/>
    </row>
    <row r="15">
      <c r="A15" s="2" t="s">
        <v>209</v>
      </c>
      <c r="B15" s="3">
        <v>45310.0</v>
      </c>
      <c r="C15" s="2" t="s">
        <v>210</v>
      </c>
      <c r="D15" s="4">
        <v>3000.0</v>
      </c>
      <c r="E15" s="2" t="s">
        <v>69</v>
      </c>
      <c r="F15" s="2" t="s">
        <v>183</v>
      </c>
      <c r="G15" s="2" t="s">
        <v>184</v>
      </c>
      <c r="H15" s="2" t="s">
        <v>186</v>
      </c>
      <c r="I15" s="2" t="s">
        <v>211</v>
      </c>
      <c r="J15" s="2" t="s">
        <v>213</v>
      </c>
      <c r="K15" s="2"/>
      <c r="L15" s="2"/>
      <c r="M15" s="2"/>
      <c r="N15" s="2"/>
      <c r="O15" s="2"/>
      <c r="P15" s="2"/>
      <c r="Q15" s="2"/>
      <c r="R15" s="2"/>
      <c r="S15" s="2"/>
      <c r="T15" s="2"/>
      <c r="U15" s="2"/>
      <c r="V15" s="2"/>
      <c r="W15" s="2"/>
      <c r="X15" s="2"/>
      <c r="Y15" s="2"/>
      <c r="Z15" s="2"/>
    </row>
    <row r="16">
      <c r="A16" s="2" t="s">
        <v>214</v>
      </c>
      <c r="B16" s="3">
        <v>45315.0</v>
      </c>
      <c r="C16" s="2" t="s">
        <v>215</v>
      </c>
      <c r="D16" s="4">
        <v>7200.0</v>
      </c>
      <c r="E16" s="2" t="s">
        <v>129</v>
      </c>
      <c r="F16" s="2" t="s">
        <v>216</v>
      </c>
      <c r="G16" s="2" t="s">
        <v>217</v>
      </c>
      <c r="H16" s="2" t="s">
        <v>50</v>
      </c>
      <c r="I16" s="2" t="s">
        <v>218</v>
      </c>
      <c r="J16" s="2" t="s">
        <v>219</v>
      </c>
      <c r="K16" s="2"/>
      <c r="L16" s="2"/>
      <c r="M16" s="2"/>
      <c r="N16" s="2"/>
      <c r="O16" s="2"/>
      <c r="P16" s="2"/>
      <c r="Q16" s="2"/>
      <c r="R16" s="2"/>
      <c r="S16" s="2"/>
      <c r="T16" s="2"/>
      <c r="U16" s="2"/>
      <c r="V16" s="2"/>
      <c r="W16" s="2"/>
      <c r="X16" s="2"/>
      <c r="Y16" s="2"/>
      <c r="Z16" s="2"/>
    </row>
    <row r="17">
      <c r="A17" s="2" t="s">
        <v>220</v>
      </c>
      <c r="B17" s="3">
        <v>45322.0</v>
      </c>
      <c r="C17" s="2" t="s">
        <v>221</v>
      </c>
      <c r="D17" s="4">
        <v>694.0</v>
      </c>
      <c r="E17" s="2" t="s">
        <v>133</v>
      </c>
      <c r="F17" s="2" t="s">
        <v>222</v>
      </c>
      <c r="G17" s="2" t="s">
        <v>224</v>
      </c>
      <c r="H17" s="2" t="s">
        <v>50</v>
      </c>
      <c r="I17" s="2" t="s">
        <v>225</v>
      </c>
      <c r="J17" s="2" t="s">
        <v>226</v>
      </c>
      <c r="K17" s="2"/>
      <c r="L17" s="2"/>
      <c r="M17" s="2"/>
      <c r="N17" s="2"/>
      <c r="O17" s="2"/>
      <c r="P17" s="2"/>
      <c r="Q17" s="2"/>
      <c r="R17" s="2"/>
      <c r="S17" s="2"/>
      <c r="T17" s="2"/>
      <c r="U17" s="2"/>
      <c r="V17" s="2"/>
      <c r="W17" s="2"/>
      <c r="X17" s="2"/>
      <c r="Y17" s="2"/>
      <c r="Z17" s="2"/>
    </row>
    <row r="18">
      <c r="A18" s="2" t="s">
        <v>227</v>
      </c>
      <c r="B18" s="3">
        <v>45323.0</v>
      </c>
      <c r="C18" s="2" t="s">
        <v>59</v>
      </c>
      <c r="D18" s="4">
        <v>5400.0</v>
      </c>
      <c r="E18" s="18" t="s">
        <v>61</v>
      </c>
      <c r="F18" s="2" t="s">
        <v>63</v>
      </c>
      <c r="G18" s="2" t="s">
        <v>64</v>
      </c>
      <c r="H18" s="2" t="s">
        <v>50</v>
      </c>
      <c r="I18" s="2" t="s">
        <v>228</v>
      </c>
      <c r="J18" s="2" t="s">
        <v>229</v>
      </c>
      <c r="K18" s="2"/>
      <c r="L18" s="2"/>
      <c r="M18" s="2"/>
      <c r="N18" s="2"/>
      <c r="O18" s="2"/>
      <c r="P18" s="2"/>
      <c r="Q18" s="2"/>
      <c r="R18" s="2"/>
      <c r="S18" s="2"/>
      <c r="T18" s="2"/>
      <c r="U18" s="2"/>
      <c r="V18" s="2"/>
      <c r="W18" s="2"/>
      <c r="X18" s="2"/>
      <c r="Y18" s="2"/>
      <c r="Z18" s="2"/>
    </row>
    <row r="19">
      <c r="A19" s="2" t="s">
        <v>231</v>
      </c>
      <c r="B19" s="3">
        <v>45327.0</v>
      </c>
      <c r="C19" s="2" t="s">
        <v>232</v>
      </c>
      <c r="D19" s="4">
        <v>5000.0</v>
      </c>
      <c r="E19" s="2" t="s">
        <v>233</v>
      </c>
      <c r="F19" s="2" t="s">
        <v>234</v>
      </c>
      <c r="G19" s="2" t="s">
        <v>235</v>
      </c>
      <c r="H19" s="2" t="s">
        <v>50</v>
      </c>
      <c r="I19" s="2" t="s">
        <v>236</v>
      </c>
      <c r="J19" s="2" t="s">
        <v>237</v>
      </c>
      <c r="K19" s="2"/>
      <c r="L19" s="2"/>
      <c r="M19" s="2"/>
      <c r="N19" s="2"/>
      <c r="O19" s="2"/>
      <c r="P19" s="2"/>
      <c r="Q19" s="2"/>
      <c r="R19" s="2"/>
      <c r="S19" s="2"/>
      <c r="T19" s="2"/>
      <c r="U19" s="2"/>
      <c r="V19" s="2"/>
      <c r="W19" s="2"/>
      <c r="X19" s="2"/>
      <c r="Y19" s="2"/>
      <c r="Z19" s="2"/>
    </row>
    <row r="20">
      <c r="A20" s="2" t="s">
        <v>239</v>
      </c>
      <c r="B20" s="3">
        <v>45328.0</v>
      </c>
      <c r="C20" s="2" t="s">
        <v>117</v>
      </c>
      <c r="D20" s="4">
        <v>600.0</v>
      </c>
      <c r="E20" s="2" t="s">
        <v>118</v>
      </c>
      <c r="F20" s="2" t="s">
        <v>63</v>
      </c>
      <c r="G20" s="2" t="s">
        <v>121</v>
      </c>
      <c r="H20" s="2" t="s">
        <v>50</v>
      </c>
      <c r="I20" s="2" t="s">
        <v>240</v>
      </c>
      <c r="J20" s="2" t="s">
        <v>241</v>
      </c>
      <c r="K20" s="2"/>
      <c r="L20" s="2"/>
      <c r="M20" s="2"/>
      <c r="N20" s="2"/>
      <c r="O20" s="2"/>
      <c r="P20" s="2"/>
      <c r="Q20" s="2"/>
      <c r="R20" s="2"/>
      <c r="S20" s="2"/>
      <c r="T20" s="2"/>
      <c r="U20" s="2"/>
      <c r="V20" s="2"/>
      <c r="W20" s="2"/>
      <c r="X20" s="2"/>
      <c r="Y20" s="2"/>
      <c r="Z20" s="2"/>
    </row>
    <row r="21">
      <c r="A21" s="2" t="s">
        <v>242</v>
      </c>
      <c r="B21" s="3">
        <v>45334.0</v>
      </c>
      <c r="C21" s="2" t="s">
        <v>180</v>
      </c>
      <c r="D21" s="4">
        <v>5500.0</v>
      </c>
      <c r="E21" s="2" t="s">
        <v>182</v>
      </c>
      <c r="F21" s="2" t="s">
        <v>183</v>
      </c>
      <c r="G21" s="2" t="s">
        <v>184</v>
      </c>
      <c r="H21" s="2" t="s">
        <v>186</v>
      </c>
      <c r="I21" s="2" t="s">
        <v>243</v>
      </c>
      <c r="J21" s="2" t="s">
        <v>188</v>
      </c>
      <c r="K21" s="2"/>
      <c r="L21" s="2"/>
      <c r="M21" s="2"/>
      <c r="N21" s="2"/>
      <c r="O21" s="2"/>
      <c r="P21" s="2"/>
      <c r="Q21" s="2"/>
      <c r="R21" s="2"/>
      <c r="S21" s="2"/>
      <c r="T21" s="2"/>
      <c r="U21" s="2"/>
      <c r="V21" s="2"/>
      <c r="W21" s="2"/>
      <c r="X21" s="2"/>
      <c r="Y21" s="2"/>
      <c r="Z21" s="2"/>
    </row>
    <row r="22">
      <c r="A22" s="2" t="s">
        <v>245</v>
      </c>
      <c r="B22" s="3">
        <v>45335.0</v>
      </c>
      <c r="C22" s="2" t="s">
        <v>246</v>
      </c>
      <c r="D22" s="4">
        <v>4000.0</v>
      </c>
      <c r="E22" s="2" t="s">
        <v>102</v>
      </c>
      <c r="F22" s="2" t="s">
        <v>247</v>
      </c>
      <c r="G22" s="2" t="s">
        <v>248</v>
      </c>
      <c r="H22" s="2" t="s">
        <v>50</v>
      </c>
      <c r="I22" s="2" t="s">
        <v>249</v>
      </c>
      <c r="J22" s="2" t="s">
        <v>250</v>
      </c>
      <c r="K22" s="2"/>
      <c r="L22" s="2"/>
      <c r="M22" s="2"/>
      <c r="N22" s="2"/>
      <c r="O22" s="2"/>
      <c r="P22" s="2"/>
      <c r="Q22" s="2"/>
      <c r="R22" s="2"/>
      <c r="S22" s="2"/>
      <c r="T22" s="2"/>
      <c r="U22" s="2"/>
      <c r="V22" s="2"/>
      <c r="W22" s="2"/>
      <c r="X22" s="2"/>
      <c r="Y22" s="2"/>
      <c r="Z22" s="2"/>
    </row>
    <row r="23">
      <c r="A23" s="2" t="s">
        <v>251</v>
      </c>
      <c r="B23" s="3">
        <v>45337.0</v>
      </c>
      <c r="C23" s="2" t="s">
        <v>252</v>
      </c>
      <c r="D23" s="4">
        <v>6000.0</v>
      </c>
      <c r="E23" s="2" t="s">
        <v>73</v>
      </c>
      <c r="F23" s="2" t="s">
        <v>254</v>
      </c>
      <c r="G23" s="2" t="s">
        <v>197</v>
      </c>
      <c r="H23" s="2" t="s">
        <v>158</v>
      </c>
      <c r="I23" s="2" t="s">
        <v>255</v>
      </c>
      <c r="J23" s="2" t="s">
        <v>256</v>
      </c>
      <c r="K23" s="2"/>
      <c r="L23" s="2"/>
      <c r="M23" s="2"/>
      <c r="N23" s="2"/>
      <c r="O23" s="2"/>
      <c r="P23" s="2"/>
      <c r="Q23" s="2"/>
      <c r="R23" s="2"/>
      <c r="S23" s="2"/>
      <c r="T23" s="2"/>
      <c r="U23" s="2"/>
      <c r="V23" s="2"/>
      <c r="W23" s="2"/>
      <c r="X23" s="2"/>
      <c r="Y23" s="2"/>
      <c r="Z23" s="2"/>
    </row>
    <row r="24">
      <c r="A24" s="2" t="s">
        <v>257</v>
      </c>
      <c r="B24" s="3">
        <v>45340.0</v>
      </c>
      <c r="C24" s="2" t="s">
        <v>210</v>
      </c>
      <c r="D24" s="4">
        <v>4000.0</v>
      </c>
      <c r="E24" s="2" t="s">
        <v>69</v>
      </c>
      <c r="F24" s="2" t="s">
        <v>183</v>
      </c>
      <c r="G24" s="2" t="s">
        <v>184</v>
      </c>
      <c r="H24" s="2" t="s">
        <v>186</v>
      </c>
      <c r="I24" s="2" t="s">
        <v>258</v>
      </c>
      <c r="J24" s="2" t="s">
        <v>259</v>
      </c>
      <c r="K24" s="2"/>
      <c r="L24" s="2"/>
      <c r="M24" s="2"/>
      <c r="N24" s="2"/>
      <c r="O24" s="2"/>
      <c r="P24" s="2"/>
      <c r="Q24" s="2"/>
      <c r="R24" s="2"/>
      <c r="S24" s="2"/>
      <c r="T24" s="2"/>
      <c r="U24" s="2"/>
      <c r="V24" s="2"/>
      <c r="W24" s="2"/>
      <c r="X24" s="2"/>
      <c r="Y24" s="2"/>
      <c r="Z24" s="2"/>
    </row>
    <row r="25">
      <c r="A25" s="2" t="s">
        <v>261</v>
      </c>
      <c r="B25" s="3">
        <v>45342.0</v>
      </c>
      <c r="C25" s="2" t="s">
        <v>262</v>
      </c>
      <c r="D25" s="4">
        <v>3500.0</v>
      </c>
      <c r="E25" s="2" t="s">
        <v>102</v>
      </c>
      <c r="F25" s="2" t="s">
        <v>183</v>
      </c>
      <c r="G25" s="2" t="s">
        <v>184</v>
      </c>
      <c r="H25" s="2" t="s">
        <v>186</v>
      </c>
      <c r="I25" s="2" t="s">
        <v>263</v>
      </c>
      <c r="J25" s="2" t="s">
        <v>188</v>
      </c>
      <c r="K25" s="2"/>
      <c r="L25" s="2"/>
      <c r="M25" s="2"/>
      <c r="N25" s="2"/>
      <c r="O25" s="2"/>
      <c r="P25" s="2"/>
      <c r="Q25" s="2"/>
      <c r="R25" s="2"/>
      <c r="S25" s="2"/>
      <c r="T25" s="2"/>
      <c r="U25" s="2"/>
      <c r="V25" s="2"/>
      <c r="W25" s="2"/>
      <c r="X25" s="2"/>
      <c r="Y25" s="2"/>
      <c r="Z25" s="2"/>
    </row>
    <row r="26">
      <c r="A26" s="2" t="s">
        <v>266</v>
      </c>
      <c r="B26" s="3">
        <v>45346.0</v>
      </c>
      <c r="C26" s="2" t="s">
        <v>215</v>
      </c>
      <c r="D26" s="4">
        <v>8200.0</v>
      </c>
      <c r="E26" s="2" t="s">
        <v>129</v>
      </c>
      <c r="F26" s="2" t="s">
        <v>216</v>
      </c>
      <c r="G26" s="2" t="s">
        <v>217</v>
      </c>
      <c r="H26" s="2" t="s">
        <v>50</v>
      </c>
      <c r="I26" s="2" t="s">
        <v>268</v>
      </c>
      <c r="J26" s="2" t="s">
        <v>269</v>
      </c>
      <c r="K26" s="2"/>
      <c r="L26" s="2"/>
      <c r="M26" s="2"/>
      <c r="N26" s="2"/>
      <c r="O26" s="2"/>
      <c r="P26" s="2"/>
      <c r="Q26" s="2"/>
      <c r="R26" s="2"/>
      <c r="S26" s="2"/>
      <c r="T26" s="2"/>
      <c r="U26" s="2"/>
      <c r="V26" s="2"/>
      <c r="W26" s="2"/>
      <c r="X26" s="2"/>
      <c r="Y26" s="2"/>
      <c r="Z26" s="2"/>
    </row>
    <row r="27">
      <c r="A27" s="2" t="s">
        <v>270</v>
      </c>
      <c r="B27" s="3">
        <v>45351.0</v>
      </c>
      <c r="C27" s="2" t="s">
        <v>221</v>
      </c>
      <c r="D27" s="4">
        <v>754.0</v>
      </c>
      <c r="E27" s="27" t="s">
        <v>133</v>
      </c>
      <c r="F27" s="2" t="s">
        <v>222</v>
      </c>
      <c r="G27" s="2" t="s">
        <v>224</v>
      </c>
      <c r="H27" s="2" t="s">
        <v>50</v>
      </c>
      <c r="I27" s="2" t="s">
        <v>272</v>
      </c>
      <c r="J27" s="2" t="s">
        <v>273</v>
      </c>
      <c r="K27" s="2"/>
      <c r="L27" s="2"/>
      <c r="M27" s="2"/>
      <c r="N27" s="2"/>
      <c r="O27" s="2"/>
      <c r="P27" s="2"/>
      <c r="Q27" s="2"/>
      <c r="R27" s="2"/>
      <c r="S27" s="2"/>
      <c r="T27" s="2"/>
      <c r="U27" s="2"/>
      <c r="V27" s="2"/>
      <c r="W27" s="2"/>
      <c r="X27" s="2"/>
      <c r="Y27" s="2"/>
      <c r="Z27" s="2"/>
    </row>
    <row r="28">
      <c r="A28" s="2" t="s">
        <v>274</v>
      </c>
      <c r="B28" s="3">
        <v>45352.0</v>
      </c>
      <c r="C28" s="2" t="s">
        <v>59</v>
      </c>
      <c r="D28" s="4">
        <v>5400.0</v>
      </c>
      <c r="E28" s="2" t="s">
        <v>61</v>
      </c>
      <c r="F28" s="2" t="s">
        <v>63</v>
      </c>
      <c r="G28" s="2" t="s">
        <v>64</v>
      </c>
      <c r="H28" s="2" t="s">
        <v>50</v>
      </c>
      <c r="I28" s="2" t="s">
        <v>275</v>
      </c>
      <c r="J28" s="2" t="s">
        <v>276</v>
      </c>
      <c r="K28" s="2"/>
      <c r="L28" s="2"/>
      <c r="M28" s="2"/>
      <c r="N28" s="2"/>
      <c r="O28" s="2"/>
      <c r="P28" s="2"/>
      <c r="Q28" s="2"/>
      <c r="R28" s="2"/>
      <c r="S28" s="2"/>
      <c r="T28" s="2"/>
      <c r="U28" s="2"/>
      <c r="V28" s="2"/>
      <c r="W28" s="2"/>
      <c r="X28" s="2"/>
      <c r="Y28" s="2"/>
      <c r="Z28" s="2"/>
    </row>
    <row r="29">
      <c r="A29" s="2" t="s">
        <v>277</v>
      </c>
      <c r="B29" s="3">
        <v>45357.0</v>
      </c>
      <c r="C29" s="2" t="s">
        <v>117</v>
      </c>
      <c r="D29" s="4">
        <v>600.0</v>
      </c>
      <c r="E29" s="2" t="s">
        <v>118</v>
      </c>
      <c r="F29" s="2" t="s">
        <v>63</v>
      </c>
      <c r="G29" s="2" t="s">
        <v>121</v>
      </c>
      <c r="H29" s="2" t="s">
        <v>50</v>
      </c>
      <c r="I29" s="2" t="s">
        <v>278</v>
      </c>
      <c r="J29" s="2" t="s">
        <v>279</v>
      </c>
      <c r="K29" s="2"/>
      <c r="L29" s="2"/>
      <c r="M29" s="2"/>
      <c r="N29" s="2"/>
      <c r="O29" s="2"/>
      <c r="P29" s="2"/>
      <c r="Q29" s="2"/>
      <c r="R29" s="2"/>
      <c r="S29" s="2"/>
      <c r="T29" s="2"/>
      <c r="U29" s="2"/>
      <c r="V29" s="2"/>
      <c r="W29" s="2"/>
      <c r="X29" s="2"/>
      <c r="Y29" s="2"/>
      <c r="Z29" s="2"/>
    </row>
    <row r="30">
      <c r="A30" s="2" t="s">
        <v>280</v>
      </c>
      <c r="B30" s="3">
        <v>45357.0</v>
      </c>
      <c r="C30" s="2" t="s">
        <v>281</v>
      </c>
      <c r="D30" s="4">
        <v>4000.0</v>
      </c>
      <c r="E30" s="2" t="s">
        <v>29</v>
      </c>
      <c r="F30" s="2" t="s">
        <v>155</v>
      </c>
      <c r="G30" s="2" t="s">
        <v>197</v>
      </c>
      <c r="H30" s="2" t="s">
        <v>158</v>
      </c>
      <c r="I30" s="2" t="s">
        <v>282</v>
      </c>
      <c r="J30" s="2" t="s">
        <v>283</v>
      </c>
      <c r="K30" s="2"/>
      <c r="L30" s="2"/>
      <c r="M30" s="2"/>
      <c r="N30" s="2"/>
      <c r="O30" s="2"/>
      <c r="P30" s="2"/>
      <c r="Q30" s="2"/>
      <c r="R30" s="2"/>
      <c r="S30" s="2"/>
      <c r="T30" s="2"/>
      <c r="U30" s="2"/>
      <c r="V30" s="2"/>
      <c r="W30" s="2"/>
      <c r="X30" s="2"/>
      <c r="Y30" s="2"/>
      <c r="Z30" s="2"/>
    </row>
    <row r="31">
      <c r="A31" s="2" t="s">
        <v>284</v>
      </c>
      <c r="B31" s="3">
        <v>45363.0</v>
      </c>
      <c r="C31" s="2" t="s">
        <v>180</v>
      </c>
      <c r="D31" s="4">
        <v>7500.0</v>
      </c>
      <c r="E31" s="2" t="s">
        <v>182</v>
      </c>
      <c r="F31" s="2" t="s">
        <v>183</v>
      </c>
      <c r="G31" s="2" t="s">
        <v>184</v>
      </c>
      <c r="H31" s="2" t="s">
        <v>186</v>
      </c>
      <c r="I31" s="2" t="s">
        <v>285</v>
      </c>
      <c r="J31" s="2" t="s">
        <v>286</v>
      </c>
      <c r="K31" s="2"/>
      <c r="L31" s="2"/>
      <c r="M31" s="2"/>
      <c r="N31" s="2"/>
      <c r="O31" s="2"/>
      <c r="P31" s="2"/>
      <c r="Q31" s="2"/>
      <c r="R31" s="2"/>
      <c r="S31" s="2"/>
      <c r="T31" s="2"/>
      <c r="U31" s="2"/>
      <c r="V31" s="2"/>
      <c r="W31" s="2"/>
      <c r="X31" s="2"/>
      <c r="Y31" s="2"/>
      <c r="Z31" s="2"/>
    </row>
    <row r="32">
      <c r="A32" s="2" t="s">
        <v>287</v>
      </c>
      <c r="B32" s="3">
        <v>45369.0</v>
      </c>
      <c r="C32" s="2" t="s">
        <v>210</v>
      </c>
      <c r="D32" s="4">
        <v>5000.0</v>
      </c>
      <c r="E32" s="2" t="s">
        <v>69</v>
      </c>
      <c r="F32" s="2" t="s">
        <v>183</v>
      </c>
      <c r="G32" s="2" t="s">
        <v>184</v>
      </c>
      <c r="H32" s="2" t="s">
        <v>186</v>
      </c>
      <c r="I32" s="2" t="s">
        <v>288</v>
      </c>
      <c r="J32" s="2" t="s">
        <v>289</v>
      </c>
      <c r="K32" s="2"/>
      <c r="L32" s="2"/>
      <c r="M32" s="2"/>
      <c r="N32" s="2"/>
      <c r="O32" s="2"/>
      <c r="P32" s="2"/>
      <c r="Q32" s="2"/>
      <c r="R32" s="2"/>
      <c r="S32" s="2"/>
      <c r="T32" s="2"/>
      <c r="U32" s="2"/>
      <c r="V32" s="2"/>
      <c r="W32" s="2"/>
      <c r="X32" s="2"/>
      <c r="Y32" s="2"/>
      <c r="Z32" s="2"/>
    </row>
    <row r="33">
      <c r="A33" s="2" t="s">
        <v>291</v>
      </c>
      <c r="B33" s="3">
        <v>45369.0</v>
      </c>
      <c r="C33" s="2" t="s">
        <v>292</v>
      </c>
      <c r="D33" s="4">
        <v>3400.0</v>
      </c>
      <c r="E33" s="2" t="s">
        <v>36</v>
      </c>
      <c r="F33" s="2" t="s">
        <v>222</v>
      </c>
      <c r="G33" s="2" t="s">
        <v>293</v>
      </c>
      <c r="H33" s="2" t="s">
        <v>50</v>
      </c>
      <c r="I33" s="2" t="s">
        <v>294</v>
      </c>
      <c r="J33" s="2" t="s">
        <v>296</v>
      </c>
      <c r="K33" s="2"/>
      <c r="L33" s="2"/>
      <c r="M33" s="2"/>
      <c r="N33" s="2"/>
      <c r="O33" s="2"/>
      <c r="P33" s="2"/>
      <c r="Q33" s="2"/>
      <c r="R33" s="2"/>
      <c r="S33" s="2"/>
      <c r="T33" s="2"/>
      <c r="U33" s="2"/>
      <c r="V33" s="2"/>
      <c r="W33" s="2"/>
      <c r="X33" s="2"/>
      <c r="Y33" s="2"/>
      <c r="Z33" s="2"/>
    </row>
    <row r="34">
      <c r="A34" s="2" t="s">
        <v>298</v>
      </c>
      <c r="B34" s="3">
        <v>45369.0</v>
      </c>
      <c r="C34" s="2" t="s">
        <v>292</v>
      </c>
      <c r="D34" s="4">
        <v>2450.0</v>
      </c>
      <c r="E34" s="2" t="s">
        <v>36</v>
      </c>
      <c r="F34" s="2" t="s">
        <v>222</v>
      </c>
      <c r="G34" s="2" t="s">
        <v>293</v>
      </c>
      <c r="H34" s="2" t="s">
        <v>50</v>
      </c>
      <c r="I34" s="2" t="s">
        <v>300</v>
      </c>
      <c r="J34" s="2" t="s">
        <v>301</v>
      </c>
      <c r="K34" s="2"/>
      <c r="L34" s="2"/>
      <c r="M34" s="2"/>
      <c r="N34" s="2"/>
      <c r="O34" s="2"/>
      <c r="P34" s="2"/>
      <c r="Q34" s="2"/>
      <c r="R34" s="2"/>
      <c r="S34" s="2"/>
      <c r="T34" s="2"/>
      <c r="U34" s="2"/>
      <c r="V34" s="2"/>
      <c r="W34" s="2"/>
      <c r="X34" s="2"/>
      <c r="Y34" s="2"/>
      <c r="Z34" s="2"/>
    </row>
    <row r="35">
      <c r="A35" s="2" t="s">
        <v>302</v>
      </c>
      <c r="B35" s="3">
        <v>45371.0</v>
      </c>
      <c r="C35" s="2" t="s">
        <v>303</v>
      </c>
      <c r="D35" s="4">
        <v>6000.0</v>
      </c>
      <c r="E35" s="18" t="s">
        <v>304</v>
      </c>
      <c r="F35" s="2" t="s">
        <v>305</v>
      </c>
      <c r="G35" s="2" t="s">
        <v>306</v>
      </c>
      <c r="H35" s="2" t="s">
        <v>50</v>
      </c>
      <c r="I35" s="2" t="s">
        <v>307</v>
      </c>
      <c r="J35" s="2" t="s">
        <v>308</v>
      </c>
      <c r="K35" s="2"/>
      <c r="L35" s="2"/>
      <c r="M35" s="2"/>
      <c r="N35" s="2"/>
      <c r="O35" s="2"/>
      <c r="P35" s="2"/>
      <c r="Q35" s="2"/>
      <c r="R35" s="2"/>
      <c r="S35" s="2"/>
      <c r="T35" s="2"/>
      <c r="U35" s="2"/>
      <c r="V35" s="2"/>
      <c r="W35" s="2"/>
      <c r="X35" s="2"/>
      <c r="Y35" s="2"/>
      <c r="Z35" s="2"/>
    </row>
    <row r="36">
      <c r="A36" s="2" t="s">
        <v>310</v>
      </c>
      <c r="B36" s="3">
        <v>45375.0</v>
      </c>
      <c r="C36" s="2" t="s">
        <v>215</v>
      </c>
      <c r="D36" s="4">
        <v>9200.0</v>
      </c>
      <c r="E36" s="2" t="s">
        <v>129</v>
      </c>
      <c r="F36" s="2" t="s">
        <v>216</v>
      </c>
      <c r="G36" s="2" t="s">
        <v>217</v>
      </c>
      <c r="H36" s="2" t="s">
        <v>50</v>
      </c>
      <c r="I36" s="2" t="s">
        <v>312</v>
      </c>
      <c r="J36" s="2" t="s">
        <v>313</v>
      </c>
      <c r="K36" s="2"/>
      <c r="L36" s="2"/>
      <c r="M36" s="2"/>
      <c r="N36" s="2"/>
      <c r="O36" s="2"/>
      <c r="P36" s="2"/>
      <c r="Q36" s="2"/>
      <c r="R36" s="2"/>
      <c r="S36" s="2"/>
      <c r="T36" s="2"/>
      <c r="U36" s="2"/>
      <c r="V36" s="2"/>
      <c r="W36" s="2"/>
      <c r="X36" s="2"/>
      <c r="Y36" s="2"/>
      <c r="Z36" s="2"/>
    </row>
    <row r="37">
      <c r="A37" s="2" t="s">
        <v>315</v>
      </c>
      <c r="B37" s="3">
        <v>45382.0</v>
      </c>
      <c r="C37" s="2" t="s">
        <v>221</v>
      </c>
      <c r="D37" s="4">
        <v>833.0</v>
      </c>
      <c r="E37" s="2" t="s">
        <v>133</v>
      </c>
      <c r="F37" s="2" t="s">
        <v>222</v>
      </c>
      <c r="G37" s="2" t="s">
        <v>224</v>
      </c>
      <c r="H37" s="2" t="s">
        <v>50</v>
      </c>
      <c r="I37" s="2" t="s">
        <v>317</v>
      </c>
      <c r="J37" s="2" t="s">
        <v>318</v>
      </c>
      <c r="K37" s="2"/>
      <c r="L37" s="2"/>
      <c r="M37" s="2"/>
      <c r="N37" s="2"/>
      <c r="O37" s="2"/>
      <c r="P37" s="2"/>
      <c r="Q37" s="2"/>
      <c r="R37" s="2"/>
      <c r="S37" s="2"/>
      <c r="T37" s="2"/>
      <c r="U37" s="2"/>
      <c r="V37" s="2"/>
      <c r="W37" s="2"/>
      <c r="X37" s="2"/>
      <c r="Y37" s="2"/>
      <c r="Z37" s="2"/>
    </row>
    <row r="38">
      <c r="A38" s="2" t="s">
        <v>320</v>
      </c>
      <c r="B38" s="3">
        <v>45383.0</v>
      </c>
      <c r="C38" s="2" t="s">
        <v>59</v>
      </c>
      <c r="D38" s="4">
        <v>5400.0</v>
      </c>
      <c r="E38" s="2" t="s">
        <v>61</v>
      </c>
      <c r="F38" s="2" t="s">
        <v>63</v>
      </c>
      <c r="G38" s="2" t="s">
        <v>64</v>
      </c>
      <c r="H38" s="2" t="s">
        <v>50</v>
      </c>
      <c r="I38" s="2" t="s">
        <v>323</v>
      </c>
      <c r="J38" s="2" t="s">
        <v>324</v>
      </c>
      <c r="K38" s="2"/>
      <c r="L38" s="2"/>
      <c r="M38" s="2"/>
      <c r="N38" s="2"/>
      <c r="O38" s="2"/>
      <c r="P38" s="2"/>
      <c r="Q38" s="2"/>
      <c r="R38" s="2"/>
      <c r="S38" s="2"/>
      <c r="T38" s="2"/>
      <c r="U38" s="2"/>
      <c r="V38" s="2"/>
      <c r="W38" s="2"/>
      <c r="X38" s="2"/>
      <c r="Y38" s="2"/>
      <c r="Z38" s="2"/>
    </row>
    <row r="39">
      <c r="A39" s="2" t="s">
        <v>325</v>
      </c>
      <c r="B39" s="3">
        <v>45387.0</v>
      </c>
      <c r="C39" s="2" t="s">
        <v>326</v>
      </c>
      <c r="D39" s="4">
        <v>2000.0</v>
      </c>
      <c r="E39" s="2" t="s">
        <v>36</v>
      </c>
      <c r="F39" s="2" t="s">
        <v>222</v>
      </c>
      <c r="G39" s="2" t="s">
        <v>328</v>
      </c>
      <c r="H39" s="2" t="s">
        <v>140</v>
      </c>
      <c r="I39" s="2" t="s">
        <v>329</v>
      </c>
      <c r="J39" s="2" t="s">
        <v>331</v>
      </c>
      <c r="K39" s="2"/>
      <c r="L39" s="2"/>
      <c r="M39" s="2"/>
      <c r="N39" s="2"/>
      <c r="O39" s="2"/>
      <c r="P39" s="2"/>
      <c r="Q39" s="2"/>
      <c r="R39" s="2"/>
      <c r="S39" s="2"/>
      <c r="T39" s="2"/>
      <c r="U39" s="2"/>
      <c r="V39" s="2"/>
      <c r="W39" s="2"/>
      <c r="X39" s="2"/>
      <c r="Y39" s="2"/>
      <c r="Z39" s="2"/>
    </row>
    <row r="40">
      <c r="A40" s="2" t="s">
        <v>332</v>
      </c>
      <c r="B40" s="3">
        <v>45388.0</v>
      </c>
      <c r="C40" s="2" t="s">
        <v>117</v>
      </c>
      <c r="D40" s="4">
        <v>600.0</v>
      </c>
      <c r="E40" s="2" t="s">
        <v>118</v>
      </c>
      <c r="F40" s="2" t="s">
        <v>63</v>
      </c>
      <c r="G40" s="2" t="s">
        <v>121</v>
      </c>
      <c r="H40" s="2" t="s">
        <v>50</v>
      </c>
      <c r="I40" s="2" t="s">
        <v>334</v>
      </c>
      <c r="J40" s="2" t="s">
        <v>335</v>
      </c>
      <c r="K40" s="2"/>
      <c r="L40" s="2"/>
      <c r="M40" s="2"/>
      <c r="N40" s="2"/>
      <c r="O40" s="2"/>
      <c r="P40" s="2"/>
      <c r="Q40" s="2"/>
      <c r="R40" s="2"/>
      <c r="S40" s="2"/>
      <c r="T40" s="2"/>
      <c r="U40" s="2"/>
      <c r="V40" s="2"/>
      <c r="W40" s="2"/>
      <c r="X40" s="2"/>
      <c r="Y40" s="2"/>
      <c r="Z40" s="2"/>
    </row>
    <row r="41">
      <c r="A41" s="2" t="s">
        <v>337</v>
      </c>
      <c r="B41" s="3">
        <v>45394.0</v>
      </c>
      <c r="C41" s="2" t="s">
        <v>180</v>
      </c>
      <c r="D41" s="4">
        <v>10000.0</v>
      </c>
      <c r="E41" s="2" t="s">
        <v>182</v>
      </c>
      <c r="F41" s="2" t="s">
        <v>183</v>
      </c>
      <c r="G41" s="2" t="s">
        <v>184</v>
      </c>
      <c r="H41" s="2" t="s">
        <v>186</v>
      </c>
      <c r="I41" s="2" t="s">
        <v>340</v>
      </c>
      <c r="J41" s="2" t="s">
        <v>188</v>
      </c>
      <c r="K41" s="2"/>
      <c r="L41" s="2"/>
      <c r="M41" s="2"/>
      <c r="N41" s="2"/>
      <c r="O41" s="2"/>
      <c r="P41" s="2"/>
      <c r="Q41" s="2"/>
      <c r="R41" s="2"/>
      <c r="S41" s="2"/>
      <c r="T41" s="2"/>
      <c r="U41" s="2"/>
      <c r="V41" s="2"/>
      <c r="W41" s="2"/>
      <c r="X41" s="2"/>
      <c r="Y41" s="2"/>
      <c r="Z41" s="2"/>
    </row>
    <row r="42">
      <c r="A42" s="2" t="s">
        <v>342</v>
      </c>
      <c r="B42" s="3">
        <v>45397.0</v>
      </c>
      <c r="C42" s="2" t="s">
        <v>343</v>
      </c>
      <c r="D42" s="4">
        <v>8000.0</v>
      </c>
      <c r="E42" s="2" t="s">
        <v>58</v>
      </c>
      <c r="F42" s="2" t="s">
        <v>155</v>
      </c>
      <c r="G42" s="2" t="s">
        <v>197</v>
      </c>
      <c r="H42" s="2" t="s">
        <v>158</v>
      </c>
      <c r="I42" s="2" t="s">
        <v>344</v>
      </c>
      <c r="J42" s="2" t="s">
        <v>345</v>
      </c>
      <c r="K42" s="2"/>
      <c r="L42" s="2"/>
      <c r="M42" s="2"/>
      <c r="N42" s="2"/>
      <c r="O42" s="2"/>
      <c r="P42" s="2"/>
      <c r="Q42" s="2"/>
      <c r="R42" s="2"/>
      <c r="S42" s="2"/>
      <c r="T42" s="2"/>
      <c r="U42" s="2"/>
      <c r="V42" s="2"/>
      <c r="W42" s="2"/>
      <c r="X42" s="2"/>
      <c r="Y42" s="2"/>
      <c r="Z42" s="2"/>
    </row>
    <row r="43">
      <c r="A43" s="2" t="s">
        <v>346</v>
      </c>
      <c r="B43" s="3">
        <v>45400.0</v>
      </c>
      <c r="C43" s="2" t="s">
        <v>210</v>
      </c>
      <c r="D43" s="4">
        <v>6500.0</v>
      </c>
      <c r="E43" s="2" t="s">
        <v>69</v>
      </c>
      <c r="F43" s="2" t="s">
        <v>183</v>
      </c>
      <c r="G43" s="2" t="s">
        <v>184</v>
      </c>
      <c r="H43" s="2" t="s">
        <v>186</v>
      </c>
      <c r="I43" s="2" t="s">
        <v>348</v>
      </c>
      <c r="J43" s="2" t="s">
        <v>349</v>
      </c>
      <c r="K43" s="2"/>
      <c r="L43" s="2"/>
      <c r="M43" s="2"/>
      <c r="N43" s="2"/>
      <c r="O43" s="2"/>
      <c r="P43" s="2"/>
      <c r="Q43" s="2"/>
      <c r="R43" s="2"/>
      <c r="S43" s="2"/>
      <c r="T43" s="2"/>
      <c r="U43" s="2"/>
      <c r="V43" s="2"/>
      <c r="W43" s="2"/>
      <c r="X43" s="2"/>
      <c r="Y43" s="2"/>
      <c r="Z43" s="2"/>
    </row>
    <row r="44">
      <c r="A44" s="2" t="s">
        <v>353</v>
      </c>
      <c r="B44" s="3">
        <v>45402.0</v>
      </c>
      <c r="C44" s="2" t="s">
        <v>262</v>
      </c>
      <c r="D44" s="4">
        <v>7000.0</v>
      </c>
      <c r="E44" s="2" t="s">
        <v>102</v>
      </c>
      <c r="F44" s="2" t="s">
        <v>183</v>
      </c>
      <c r="G44" s="2" t="s">
        <v>184</v>
      </c>
      <c r="H44" s="2" t="s">
        <v>186</v>
      </c>
      <c r="I44" s="2" t="s">
        <v>356</v>
      </c>
      <c r="J44" s="2" t="s">
        <v>188</v>
      </c>
      <c r="K44" s="2"/>
      <c r="L44" s="2"/>
      <c r="M44" s="2"/>
      <c r="N44" s="2"/>
      <c r="O44" s="2"/>
      <c r="P44" s="2"/>
      <c r="Q44" s="2"/>
      <c r="R44" s="2"/>
      <c r="S44" s="2"/>
      <c r="T44" s="2"/>
      <c r="U44" s="2"/>
      <c r="V44" s="2"/>
      <c r="W44" s="2"/>
      <c r="X44" s="2"/>
      <c r="Y44" s="2"/>
      <c r="Z44" s="2"/>
    </row>
    <row r="45">
      <c r="A45" s="2" t="s">
        <v>357</v>
      </c>
      <c r="B45" s="3">
        <v>45404.0</v>
      </c>
      <c r="C45" s="2" t="s">
        <v>358</v>
      </c>
      <c r="D45" s="4">
        <v>1800.0</v>
      </c>
      <c r="E45" s="2" t="s">
        <v>139</v>
      </c>
      <c r="F45" s="2" t="s">
        <v>80</v>
      </c>
      <c r="G45" s="2" t="s">
        <v>360</v>
      </c>
      <c r="H45" s="2" t="s">
        <v>140</v>
      </c>
      <c r="I45" s="2" t="s">
        <v>361</v>
      </c>
      <c r="J45" s="2" t="s">
        <v>362</v>
      </c>
      <c r="K45" s="2"/>
      <c r="L45" s="2"/>
      <c r="M45" s="2"/>
      <c r="N45" s="2"/>
      <c r="O45" s="2"/>
      <c r="P45" s="2"/>
      <c r="Q45" s="2"/>
      <c r="R45" s="2"/>
      <c r="S45" s="2"/>
      <c r="T45" s="2"/>
      <c r="U45" s="2"/>
      <c r="V45" s="2"/>
      <c r="W45" s="2"/>
      <c r="X45" s="2"/>
      <c r="Y45" s="2"/>
      <c r="Z45" s="2"/>
    </row>
    <row r="46">
      <c r="A46" s="2" t="s">
        <v>363</v>
      </c>
      <c r="B46" s="3">
        <v>45406.0</v>
      </c>
      <c r="C46" s="2" t="s">
        <v>215</v>
      </c>
      <c r="D46" s="4">
        <v>10200.0</v>
      </c>
      <c r="E46" s="2" t="s">
        <v>129</v>
      </c>
      <c r="F46" s="2" t="s">
        <v>216</v>
      </c>
      <c r="G46" s="2" t="s">
        <v>217</v>
      </c>
      <c r="H46" s="2" t="s">
        <v>50</v>
      </c>
      <c r="I46" s="2" t="s">
        <v>364</v>
      </c>
      <c r="J46" s="2" t="s">
        <v>366</v>
      </c>
      <c r="K46" s="2"/>
      <c r="L46" s="2"/>
      <c r="M46" s="2"/>
      <c r="N46" s="2"/>
      <c r="O46" s="2"/>
      <c r="P46" s="2"/>
      <c r="Q46" s="2"/>
      <c r="R46" s="2"/>
      <c r="S46" s="2"/>
      <c r="T46" s="2"/>
      <c r="U46" s="2"/>
      <c r="V46" s="2"/>
      <c r="W46" s="2"/>
      <c r="X46" s="2"/>
      <c r="Y46" s="2"/>
      <c r="Z46" s="2"/>
    </row>
    <row r="47">
      <c r="A47" s="2" t="s">
        <v>369</v>
      </c>
      <c r="B47" s="3">
        <v>45407.0</v>
      </c>
      <c r="C47" s="2" t="s">
        <v>370</v>
      </c>
      <c r="D47" s="4">
        <v>3000.0</v>
      </c>
      <c r="E47" s="2" t="s">
        <v>149</v>
      </c>
      <c r="F47" s="2" t="s">
        <v>372</v>
      </c>
      <c r="G47" s="2" t="s">
        <v>184</v>
      </c>
      <c r="H47" s="2" t="s">
        <v>186</v>
      </c>
      <c r="I47" s="2" t="s">
        <v>374</v>
      </c>
      <c r="J47" s="2" t="s">
        <v>375</v>
      </c>
      <c r="K47" s="2"/>
      <c r="L47" s="2"/>
      <c r="M47" s="2"/>
      <c r="N47" s="2"/>
      <c r="O47" s="2"/>
      <c r="P47" s="2"/>
      <c r="Q47" s="2"/>
      <c r="R47" s="2"/>
      <c r="S47" s="2"/>
      <c r="T47" s="2"/>
      <c r="U47" s="2"/>
      <c r="V47" s="2"/>
      <c r="W47" s="2"/>
      <c r="X47" s="2"/>
      <c r="Y47" s="2"/>
      <c r="Z47" s="2"/>
    </row>
    <row r="48">
      <c r="A48" s="2" t="s">
        <v>376</v>
      </c>
      <c r="B48" s="3">
        <v>45412.0</v>
      </c>
      <c r="C48" s="2" t="s">
        <v>221</v>
      </c>
      <c r="D48" s="4">
        <v>898.0</v>
      </c>
      <c r="E48" s="2" t="s">
        <v>133</v>
      </c>
      <c r="F48" s="2" t="s">
        <v>222</v>
      </c>
      <c r="G48" s="2" t="s">
        <v>224</v>
      </c>
      <c r="H48" s="2" t="s">
        <v>50</v>
      </c>
      <c r="I48" s="2" t="s">
        <v>377</v>
      </c>
      <c r="J48" s="2" t="s">
        <v>378</v>
      </c>
      <c r="K48" s="2"/>
      <c r="L48" s="2"/>
      <c r="M48" s="2"/>
      <c r="N48" s="2"/>
      <c r="O48" s="2"/>
      <c r="P48" s="2"/>
      <c r="Q48" s="2"/>
      <c r="R48" s="2"/>
      <c r="S48" s="2"/>
      <c r="T48" s="2"/>
      <c r="U48" s="2"/>
      <c r="V48" s="2"/>
      <c r="W48" s="2"/>
      <c r="X48" s="2"/>
      <c r="Y48" s="2"/>
      <c r="Z48" s="2"/>
    </row>
    <row r="49">
      <c r="A49" s="2" t="s">
        <v>380</v>
      </c>
      <c r="B49" s="3">
        <v>45413.0</v>
      </c>
      <c r="C49" s="2" t="s">
        <v>59</v>
      </c>
      <c r="D49" s="4">
        <v>5400.0</v>
      </c>
      <c r="E49" s="2" t="s">
        <v>61</v>
      </c>
      <c r="F49" s="2" t="s">
        <v>63</v>
      </c>
      <c r="G49" s="2" t="s">
        <v>64</v>
      </c>
      <c r="H49" s="2" t="s">
        <v>50</v>
      </c>
      <c r="I49" s="2" t="s">
        <v>381</v>
      </c>
      <c r="J49" s="2" t="s">
        <v>382</v>
      </c>
      <c r="K49" s="2"/>
      <c r="L49" s="2"/>
      <c r="M49" s="2"/>
      <c r="N49" s="2"/>
      <c r="O49" s="2"/>
      <c r="P49" s="2"/>
      <c r="Q49" s="2"/>
      <c r="R49" s="2"/>
      <c r="S49" s="2"/>
      <c r="T49" s="2"/>
      <c r="U49" s="2"/>
      <c r="V49" s="2"/>
      <c r="W49" s="2"/>
      <c r="X49" s="2"/>
      <c r="Y49" s="2"/>
      <c r="Z49" s="2"/>
    </row>
    <row r="50">
      <c r="A50" s="2" t="s">
        <v>384</v>
      </c>
      <c r="B50" s="3">
        <v>45417.0</v>
      </c>
      <c r="C50" s="2" t="s">
        <v>386</v>
      </c>
      <c r="D50" s="4">
        <v>4000.0</v>
      </c>
      <c r="E50" s="2" t="s">
        <v>153</v>
      </c>
      <c r="F50" s="2" t="s">
        <v>388</v>
      </c>
      <c r="G50" s="2" t="s">
        <v>306</v>
      </c>
      <c r="H50" s="2" t="s">
        <v>50</v>
      </c>
      <c r="I50" s="2" t="s">
        <v>389</v>
      </c>
      <c r="J50" s="2" t="s">
        <v>390</v>
      </c>
      <c r="K50" s="2"/>
      <c r="L50" s="2"/>
      <c r="M50" s="2"/>
      <c r="N50" s="2"/>
      <c r="O50" s="2"/>
      <c r="P50" s="2"/>
      <c r="Q50" s="2"/>
      <c r="R50" s="2"/>
      <c r="S50" s="2"/>
      <c r="T50" s="2"/>
      <c r="U50" s="2"/>
      <c r="V50" s="2"/>
      <c r="W50" s="2"/>
      <c r="X50" s="2"/>
      <c r="Y50" s="2"/>
      <c r="Z50" s="2"/>
    </row>
    <row r="51">
      <c r="A51" s="2" t="s">
        <v>391</v>
      </c>
      <c r="B51" s="3">
        <v>45418.0</v>
      </c>
      <c r="C51" s="2" t="s">
        <v>117</v>
      </c>
      <c r="D51" s="4">
        <v>600.0</v>
      </c>
      <c r="E51" s="2" t="s">
        <v>118</v>
      </c>
      <c r="F51" s="2" t="s">
        <v>63</v>
      </c>
      <c r="G51" s="2" t="s">
        <v>121</v>
      </c>
      <c r="H51" s="2" t="s">
        <v>50</v>
      </c>
      <c r="I51" s="2" t="s">
        <v>392</v>
      </c>
      <c r="J51" s="2" t="s">
        <v>393</v>
      </c>
      <c r="K51" s="2"/>
      <c r="L51" s="2"/>
      <c r="M51" s="2"/>
      <c r="N51" s="2"/>
      <c r="O51" s="2"/>
      <c r="P51" s="2"/>
      <c r="Q51" s="2"/>
      <c r="R51" s="2"/>
      <c r="S51" s="2"/>
      <c r="T51" s="2"/>
      <c r="U51" s="2"/>
      <c r="V51" s="2"/>
      <c r="W51" s="2"/>
      <c r="X51" s="2"/>
      <c r="Y51" s="2"/>
      <c r="Z51" s="2"/>
    </row>
    <row r="52">
      <c r="A52" s="2" t="s">
        <v>396</v>
      </c>
      <c r="B52" s="3">
        <v>45424.0</v>
      </c>
      <c r="C52" s="2" t="s">
        <v>180</v>
      </c>
      <c r="D52" s="4">
        <v>13000.0</v>
      </c>
      <c r="E52" s="2" t="s">
        <v>182</v>
      </c>
      <c r="F52" s="2" t="s">
        <v>183</v>
      </c>
      <c r="G52" s="2" t="s">
        <v>184</v>
      </c>
      <c r="H52" s="2" t="s">
        <v>186</v>
      </c>
      <c r="I52" s="2" t="s">
        <v>398</v>
      </c>
      <c r="J52" s="2" t="s">
        <v>188</v>
      </c>
      <c r="K52" s="2"/>
      <c r="L52" s="2"/>
      <c r="M52" s="2"/>
      <c r="N52" s="2"/>
      <c r="O52" s="2"/>
      <c r="P52" s="2"/>
      <c r="Q52" s="2"/>
      <c r="R52" s="2"/>
      <c r="S52" s="2"/>
      <c r="T52" s="2"/>
      <c r="U52" s="2"/>
      <c r="V52" s="2"/>
      <c r="W52" s="2"/>
      <c r="X52" s="2"/>
      <c r="Y52" s="2"/>
      <c r="Z52" s="2"/>
    </row>
    <row r="53">
      <c r="A53" s="2" t="s">
        <v>399</v>
      </c>
      <c r="B53" s="3">
        <v>45430.0</v>
      </c>
      <c r="C53" s="2" t="s">
        <v>210</v>
      </c>
      <c r="D53" s="4">
        <v>8000.0</v>
      </c>
      <c r="E53" s="2" t="s">
        <v>69</v>
      </c>
      <c r="F53" s="2" t="s">
        <v>401</v>
      </c>
      <c r="G53" s="2" t="s">
        <v>184</v>
      </c>
      <c r="H53" s="2" t="s">
        <v>186</v>
      </c>
      <c r="I53" s="2" t="s">
        <v>402</v>
      </c>
      <c r="J53" s="2" t="s">
        <v>403</v>
      </c>
      <c r="K53" s="2"/>
      <c r="L53" s="2"/>
      <c r="M53" s="2"/>
      <c r="N53" s="2"/>
      <c r="O53" s="2"/>
      <c r="P53" s="2"/>
      <c r="Q53" s="2"/>
      <c r="R53" s="2"/>
      <c r="S53" s="2"/>
      <c r="T53" s="2"/>
      <c r="U53" s="2"/>
      <c r="V53" s="2"/>
      <c r="W53" s="2"/>
      <c r="X53" s="2"/>
      <c r="Y53" s="2"/>
      <c r="Z53" s="2"/>
    </row>
    <row r="54">
      <c r="A54" s="2" t="s">
        <v>405</v>
      </c>
      <c r="B54" s="3">
        <v>45432.0</v>
      </c>
      <c r="C54" s="2" t="s">
        <v>406</v>
      </c>
      <c r="D54" s="4">
        <v>9000.0</v>
      </c>
      <c r="E54" s="2" t="s">
        <v>22</v>
      </c>
      <c r="F54" s="2" t="s">
        <v>407</v>
      </c>
      <c r="G54" s="2" t="s">
        <v>248</v>
      </c>
      <c r="H54" s="2" t="s">
        <v>50</v>
      </c>
      <c r="I54" s="2" t="s">
        <v>408</v>
      </c>
      <c r="J54" s="2" t="s">
        <v>409</v>
      </c>
      <c r="K54" s="2"/>
      <c r="L54" s="2"/>
      <c r="M54" s="2"/>
      <c r="N54" s="2"/>
      <c r="O54" s="2"/>
      <c r="P54" s="2"/>
      <c r="Q54" s="2"/>
      <c r="R54" s="2"/>
      <c r="S54" s="2"/>
      <c r="T54" s="2"/>
      <c r="U54" s="2"/>
      <c r="V54" s="2"/>
      <c r="W54" s="2"/>
      <c r="X54" s="2"/>
      <c r="Y54" s="2"/>
      <c r="Z54" s="2"/>
    </row>
    <row r="55">
      <c r="A55" s="2" t="s">
        <v>410</v>
      </c>
      <c r="B55" s="3">
        <v>45436.0</v>
      </c>
      <c r="C55" s="2" t="s">
        <v>215</v>
      </c>
      <c r="D55" s="4">
        <v>11240.0</v>
      </c>
      <c r="E55" s="2" t="s">
        <v>129</v>
      </c>
      <c r="F55" s="2" t="s">
        <v>216</v>
      </c>
      <c r="G55" s="2" t="s">
        <v>217</v>
      </c>
      <c r="H55" s="2" t="s">
        <v>50</v>
      </c>
      <c r="I55" s="2" t="s">
        <v>411</v>
      </c>
      <c r="J55" s="2" t="s">
        <v>412</v>
      </c>
      <c r="K55" s="2"/>
      <c r="L55" s="2"/>
      <c r="M55" s="2"/>
      <c r="N55" s="2"/>
      <c r="O55" s="2"/>
      <c r="P55" s="2"/>
      <c r="Q55" s="2"/>
      <c r="R55" s="2"/>
      <c r="S55" s="2"/>
      <c r="T55" s="2"/>
      <c r="U55" s="2"/>
      <c r="V55" s="2"/>
      <c r="W55" s="2"/>
      <c r="X55" s="2"/>
      <c r="Y55" s="2"/>
      <c r="Z55" s="2"/>
    </row>
    <row r="56">
      <c r="A56" s="2" t="s">
        <v>414</v>
      </c>
      <c r="B56" s="3">
        <v>45437.0</v>
      </c>
      <c r="C56" s="2" t="s">
        <v>252</v>
      </c>
      <c r="D56" s="4">
        <v>9000.0</v>
      </c>
      <c r="E56" s="18" t="s">
        <v>415</v>
      </c>
      <c r="F56" s="2" t="s">
        <v>254</v>
      </c>
      <c r="G56" s="2" t="s">
        <v>197</v>
      </c>
      <c r="H56" s="2" t="s">
        <v>158</v>
      </c>
      <c r="I56" s="2" t="s">
        <v>417</v>
      </c>
      <c r="J56" s="2" t="s">
        <v>418</v>
      </c>
      <c r="K56" s="2"/>
      <c r="L56" s="2"/>
      <c r="M56" s="2"/>
      <c r="N56" s="2"/>
      <c r="O56" s="2"/>
      <c r="P56" s="2"/>
      <c r="Q56" s="2"/>
      <c r="R56" s="2"/>
      <c r="S56" s="2"/>
      <c r="T56" s="2"/>
      <c r="U56" s="2"/>
      <c r="V56" s="2"/>
      <c r="W56" s="2"/>
      <c r="X56" s="2"/>
      <c r="Y56" s="2"/>
      <c r="Z56" s="2"/>
    </row>
    <row r="57">
      <c r="A57" s="2" t="s">
        <v>419</v>
      </c>
      <c r="B57" s="3">
        <v>45443.0</v>
      </c>
      <c r="C57" s="2" t="s">
        <v>221</v>
      </c>
      <c r="D57" s="4">
        <v>1048.0</v>
      </c>
      <c r="E57" s="2" t="s">
        <v>133</v>
      </c>
      <c r="F57" s="2" t="s">
        <v>222</v>
      </c>
      <c r="G57" s="2" t="s">
        <v>224</v>
      </c>
      <c r="H57" s="2" t="s">
        <v>50</v>
      </c>
      <c r="I57" s="2" t="s">
        <v>420</v>
      </c>
      <c r="J57" s="2" t="s">
        <v>422</v>
      </c>
      <c r="K57" s="2"/>
      <c r="L57" s="2"/>
      <c r="M57" s="2"/>
      <c r="N57" s="2"/>
      <c r="O57" s="2"/>
      <c r="P57" s="2"/>
      <c r="Q57" s="2"/>
      <c r="R57" s="2"/>
      <c r="S57" s="2"/>
      <c r="T57" s="2"/>
      <c r="U57" s="2"/>
      <c r="V57" s="2"/>
      <c r="W57" s="2"/>
      <c r="X57" s="2"/>
      <c r="Y57" s="2"/>
      <c r="Z57" s="2"/>
    </row>
    <row r="58">
      <c r="A58" s="2" t="s">
        <v>423</v>
      </c>
      <c r="B58" s="3">
        <v>45443.0</v>
      </c>
      <c r="C58" s="2" t="s">
        <v>424</v>
      </c>
      <c r="D58" s="4">
        <v>2200.0</v>
      </c>
      <c r="E58" s="2" t="s">
        <v>36</v>
      </c>
      <c r="F58" s="2" t="s">
        <v>222</v>
      </c>
      <c r="G58" s="2" t="s">
        <v>425</v>
      </c>
      <c r="H58" s="2" t="s">
        <v>140</v>
      </c>
      <c r="I58" s="2" t="s">
        <v>427</v>
      </c>
      <c r="J58" s="2" t="s">
        <v>428</v>
      </c>
      <c r="K58" s="2"/>
      <c r="L58" s="2"/>
      <c r="M58" s="2"/>
      <c r="N58" s="2"/>
      <c r="O58" s="2"/>
      <c r="P58" s="2"/>
      <c r="Q58" s="2"/>
      <c r="R58" s="2"/>
      <c r="S58" s="2"/>
      <c r="T58" s="2"/>
      <c r="U58" s="2"/>
      <c r="V58" s="2"/>
      <c r="W58" s="2"/>
      <c r="X58" s="2"/>
      <c r="Y58" s="2"/>
      <c r="Z58" s="2"/>
    </row>
    <row r="59">
      <c r="A59" s="2" t="s">
        <v>429</v>
      </c>
      <c r="B59" s="3">
        <v>45444.0</v>
      </c>
      <c r="C59" s="2" t="s">
        <v>59</v>
      </c>
      <c r="D59" s="4">
        <v>5400.0</v>
      </c>
      <c r="E59" s="2" t="s">
        <v>61</v>
      </c>
      <c r="F59" s="2" t="s">
        <v>63</v>
      </c>
      <c r="G59" s="2" t="s">
        <v>64</v>
      </c>
      <c r="H59" s="2" t="s">
        <v>50</v>
      </c>
      <c r="I59" s="2" t="s">
        <v>431</v>
      </c>
      <c r="J59" s="2" t="s">
        <v>432</v>
      </c>
      <c r="K59" s="2"/>
      <c r="L59" s="2"/>
      <c r="M59" s="2"/>
      <c r="N59" s="2"/>
      <c r="O59" s="2"/>
      <c r="P59" s="2"/>
      <c r="Q59" s="2"/>
      <c r="R59" s="2"/>
      <c r="S59" s="2"/>
      <c r="T59" s="2"/>
      <c r="U59" s="2"/>
      <c r="V59" s="2"/>
      <c r="W59" s="2"/>
      <c r="X59" s="2"/>
      <c r="Y59" s="2"/>
      <c r="Z59" s="2"/>
    </row>
    <row r="60">
      <c r="A60" s="2" t="s">
        <v>433</v>
      </c>
      <c r="B60" s="3">
        <v>45448.0</v>
      </c>
      <c r="C60" s="2" t="s">
        <v>434</v>
      </c>
      <c r="D60" s="4">
        <v>3000.0</v>
      </c>
      <c r="E60" s="2" t="s">
        <v>153</v>
      </c>
      <c r="F60" s="2" t="s">
        <v>388</v>
      </c>
      <c r="G60" s="2" t="s">
        <v>248</v>
      </c>
      <c r="H60" s="2" t="s">
        <v>50</v>
      </c>
      <c r="I60" s="2" t="s">
        <v>435</v>
      </c>
      <c r="J60" s="2" t="s">
        <v>436</v>
      </c>
      <c r="K60" s="2"/>
      <c r="L60" s="2"/>
      <c r="M60" s="2"/>
      <c r="N60" s="2"/>
      <c r="O60" s="2"/>
      <c r="P60" s="2"/>
      <c r="Q60" s="2"/>
      <c r="R60" s="2"/>
      <c r="S60" s="2"/>
      <c r="T60" s="2"/>
      <c r="U60" s="2"/>
      <c r="V60" s="2"/>
      <c r="W60" s="2"/>
      <c r="X60" s="2"/>
      <c r="Y60" s="2"/>
      <c r="Z60" s="2"/>
    </row>
    <row r="61">
      <c r="A61" s="2" t="s">
        <v>437</v>
      </c>
      <c r="B61" s="3">
        <v>45449.0</v>
      </c>
      <c r="C61" s="2" t="s">
        <v>117</v>
      </c>
      <c r="D61" s="4">
        <v>600.0</v>
      </c>
      <c r="E61" s="2" t="s">
        <v>118</v>
      </c>
      <c r="F61" s="2" t="s">
        <v>63</v>
      </c>
      <c r="G61" s="2" t="s">
        <v>121</v>
      </c>
      <c r="H61" s="2" t="s">
        <v>50</v>
      </c>
      <c r="I61" s="2" t="s">
        <v>439</v>
      </c>
      <c r="J61" s="2" t="s">
        <v>440</v>
      </c>
      <c r="K61" s="2"/>
      <c r="L61" s="2"/>
      <c r="M61" s="2"/>
      <c r="N61" s="2"/>
      <c r="O61" s="2"/>
      <c r="P61" s="2"/>
      <c r="Q61" s="2"/>
      <c r="R61" s="2"/>
      <c r="S61" s="2"/>
      <c r="T61" s="2"/>
      <c r="U61" s="2"/>
      <c r="V61" s="2"/>
      <c r="W61" s="2"/>
      <c r="X61" s="2"/>
      <c r="Y61" s="2"/>
      <c r="Z61" s="2"/>
    </row>
    <row r="62">
      <c r="A62" s="2" t="s">
        <v>441</v>
      </c>
      <c r="B62" s="3">
        <v>45449.0</v>
      </c>
      <c r="C62" s="2" t="s">
        <v>281</v>
      </c>
      <c r="D62" s="4">
        <v>3000.0</v>
      </c>
      <c r="E62" s="2" t="s">
        <v>29</v>
      </c>
      <c r="F62" s="2" t="s">
        <v>155</v>
      </c>
      <c r="G62" s="2" t="s">
        <v>197</v>
      </c>
      <c r="H62" s="2" t="s">
        <v>158</v>
      </c>
      <c r="I62" s="2" t="s">
        <v>443</v>
      </c>
      <c r="J62" s="2" t="s">
        <v>444</v>
      </c>
      <c r="K62" s="2"/>
      <c r="L62" s="2"/>
      <c r="M62" s="2"/>
      <c r="N62" s="2"/>
      <c r="O62" s="2"/>
      <c r="P62" s="2"/>
      <c r="Q62" s="2"/>
      <c r="R62" s="2"/>
      <c r="S62" s="2"/>
      <c r="T62" s="2"/>
      <c r="U62" s="2"/>
      <c r="V62" s="2"/>
      <c r="W62" s="2"/>
      <c r="X62" s="2"/>
      <c r="Y62" s="2"/>
      <c r="Z62" s="2"/>
    </row>
    <row r="63">
      <c r="A63" s="2" t="s">
        <v>445</v>
      </c>
      <c r="B63" s="3">
        <v>45455.0</v>
      </c>
      <c r="C63" s="2" t="s">
        <v>180</v>
      </c>
      <c r="D63" s="4">
        <v>16000.0</v>
      </c>
      <c r="E63" s="2" t="s">
        <v>182</v>
      </c>
      <c r="F63" s="2" t="s">
        <v>183</v>
      </c>
      <c r="G63" s="2" t="s">
        <v>184</v>
      </c>
      <c r="H63" s="2" t="s">
        <v>186</v>
      </c>
      <c r="I63" s="2" t="s">
        <v>447</v>
      </c>
      <c r="J63" s="2" t="s">
        <v>188</v>
      </c>
      <c r="K63" s="2"/>
      <c r="L63" s="2"/>
      <c r="M63" s="2"/>
      <c r="N63" s="2"/>
      <c r="O63" s="2"/>
      <c r="P63" s="2"/>
      <c r="Q63" s="2"/>
      <c r="R63" s="2"/>
      <c r="S63" s="2"/>
      <c r="T63" s="2"/>
      <c r="U63" s="2"/>
      <c r="V63" s="2"/>
      <c r="W63" s="2"/>
      <c r="X63" s="2"/>
      <c r="Y63" s="2"/>
      <c r="Z63" s="2"/>
    </row>
    <row r="64">
      <c r="A64" s="2" t="s">
        <v>448</v>
      </c>
      <c r="B64" s="3">
        <v>45460.0</v>
      </c>
      <c r="C64" s="2" t="s">
        <v>292</v>
      </c>
      <c r="D64" s="4">
        <v>3920.0</v>
      </c>
      <c r="E64" s="2" t="s">
        <v>36</v>
      </c>
      <c r="F64" s="2" t="s">
        <v>222</v>
      </c>
      <c r="G64" s="2" t="s">
        <v>293</v>
      </c>
      <c r="H64" s="2" t="s">
        <v>50</v>
      </c>
      <c r="I64" s="2" t="s">
        <v>450</v>
      </c>
      <c r="J64" s="2" t="s">
        <v>451</v>
      </c>
      <c r="K64" s="2"/>
      <c r="L64" s="2"/>
      <c r="M64" s="2"/>
      <c r="N64" s="2"/>
      <c r="O64" s="2"/>
      <c r="P64" s="2"/>
      <c r="Q64" s="2"/>
      <c r="R64" s="2"/>
      <c r="S64" s="2"/>
      <c r="T64" s="2"/>
      <c r="U64" s="2"/>
      <c r="V64" s="2"/>
      <c r="W64" s="2"/>
      <c r="X64" s="2"/>
      <c r="Y64" s="2"/>
      <c r="Z64" s="2"/>
    </row>
    <row r="65">
      <c r="A65" s="2" t="s">
        <v>452</v>
      </c>
      <c r="B65" s="3">
        <v>45460.0</v>
      </c>
      <c r="C65" s="2" t="s">
        <v>292</v>
      </c>
      <c r="D65" s="4">
        <v>2880.0</v>
      </c>
      <c r="E65" s="2" t="s">
        <v>36</v>
      </c>
      <c r="F65" s="2" t="s">
        <v>222</v>
      </c>
      <c r="G65" s="2" t="s">
        <v>293</v>
      </c>
      <c r="H65" s="2" t="s">
        <v>50</v>
      </c>
      <c r="I65" s="2" t="s">
        <v>453</v>
      </c>
      <c r="J65" s="2" t="s">
        <v>454</v>
      </c>
      <c r="K65" s="2"/>
      <c r="L65" s="2"/>
      <c r="M65" s="2"/>
      <c r="N65" s="2"/>
      <c r="O65" s="2"/>
      <c r="P65" s="2"/>
      <c r="Q65" s="2"/>
      <c r="R65" s="2"/>
      <c r="S65" s="2"/>
      <c r="T65" s="2"/>
      <c r="U65" s="2"/>
      <c r="V65" s="2"/>
      <c r="W65" s="2"/>
      <c r="X65" s="2"/>
      <c r="Y65" s="2"/>
      <c r="Z65" s="2"/>
    </row>
    <row r="66">
      <c r="A66" s="2" t="s">
        <v>456</v>
      </c>
      <c r="B66" s="3">
        <v>45461.0</v>
      </c>
      <c r="C66" s="2" t="s">
        <v>210</v>
      </c>
      <c r="D66" s="4">
        <v>9000.0</v>
      </c>
      <c r="E66" s="2" t="s">
        <v>69</v>
      </c>
      <c r="F66" s="2" t="s">
        <v>183</v>
      </c>
      <c r="G66" s="2" t="s">
        <v>184</v>
      </c>
      <c r="H66" s="2" t="s">
        <v>186</v>
      </c>
      <c r="I66" s="2" t="s">
        <v>458</v>
      </c>
      <c r="J66" s="2" t="s">
        <v>459</v>
      </c>
      <c r="K66" s="2"/>
      <c r="L66" s="2"/>
      <c r="M66" s="2"/>
      <c r="N66" s="2"/>
      <c r="O66" s="2"/>
      <c r="P66" s="2"/>
      <c r="Q66" s="2"/>
      <c r="R66" s="2"/>
      <c r="S66" s="2"/>
      <c r="T66" s="2"/>
      <c r="U66" s="2"/>
      <c r="V66" s="2"/>
      <c r="W66" s="2"/>
      <c r="X66" s="2"/>
      <c r="Y66" s="2"/>
      <c r="Z66" s="2"/>
    </row>
    <row r="67">
      <c r="A67" s="2" t="s">
        <v>461</v>
      </c>
      <c r="B67" s="3">
        <v>45463.0</v>
      </c>
      <c r="C67" s="2" t="s">
        <v>262</v>
      </c>
      <c r="D67" s="4">
        <v>12000.0</v>
      </c>
      <c r="E67" s="2" t="s">
        <v>102</v>
      </c>
      <c r="F67" s="2" t="s">
        <v>183</v>
      </c>
      <c r="G67" s="2" t="s">
        <v>184</v>
      </c>
      <c r="H67" s="2" t="s">
        <v>186</v>
      </c>
      <c r="I67" s="2" t="s">
        <v>462</v>
      </c>
      <c r="J67" s="2" t="s">
        <v>463</v>
      </c>
      <c r="K67" s="2"/>
      <c r="L67" s="2"/>
      <c r="M67" s="2"/>
      <c r="N67" s="2"/>
      <c r="O67" s="2"/>
      <c r="P67" s="2"/>
      <c r="Q67" s="2"/>
      <c r="R67" s="2"/>
      <c r="S67" s="2"/>
      <c r="T67" s="2"/>
      <c r="U67" s="2"/>
      <c r="V67" s="2"/>
      <c r="W67" s="2"/>
      <c r="X67" s="2"/>
      <c r="Y67" s="2"/>
      <c r="Z67" s="2"/>
    </row>
    <row r="68">
      <c r="A68" s="2" t="s">
        <v>464</v>
      </c>
      <c r="B68" s="3">
        <v>45465.0</v>
      </c>
      <c r="C68" s="2" t="s">
        <v>466</v>
      </c>
      <c r="D68" s="4">
        <v>7500.0</v>
      </c>
      <c r="E68" s="2" t="s">
        <v>162</v>
      </c>
      <c r="F68" s="2" t="s">
        <v>467</v>
      </c>
      <c r="G68" s="2" t="s">
        <v>184</v>
      </c>
      <c r="H68" s="2" t="s">
        <v>186</v>
      </c>
      <c r="I68" s="2" t="s">
        <v>468</v>
      </c>
      <c r="J68" s="2" t="s">
        <v>469</v>
      </c>
      <c r="K68" s="2"/>
      <c r="L68" s="2"/>
      <c r="M68" s="2"/>
      <c r="N68" s="2"/>
      <c r="O68" s="2"/>
      <c r="P68" s="2"/>
      <c r="Q68" s="2"/>
      <c r="R68" s="2"/>
      <c r="S68" s="2"/>
      <c r="T68" s="2"/>
      <c r="U68" s="2"/>
      <c r="V68" s="2"/>
      <c r="W68" s="2"/>
      <c r="X68" s="2"/>
      <c r="Y68" s="2"/>
      <c r="Z68" s="2"/>
    </row>
    <row r="69">
      <c r="A69" s="2" t="s">
        <v>470</v>
      </c>
      <c r="B69" s="3">
        <v>45467.0</v>
      </c>
      <c r="C69" s="2" t="s">
        <v>215</v>
      </c>
      <c r="D69" s="4">
        <v>12160.0</v>
      </c>
      <c r="E69" s="2" t="s">
        <v>129</v>
      </c>
      <c r="F69" s="2" t="s">
        <v>216</v>
      </c>
      <c r="G69" s="2" t="s">
        <v>217</v>
      </c>
      <c r="H69" s="2" t="s">
        <v>50</v>
      </c>
      <c r="I69" s="2" t="s">
        <v>471</v>
      </c>
      <c r="J69" s="2" t="s">
        <v>472</v>
      </c>
      <c r="K69" s="2"/>
      <c r="L69" s="2"/>
      <c r="M69" s="2"/>
      <c r="N69" s="2"/>
      <c r="O69" s="2"/>
      <c r="P69" s="2"/>
      <c r="Q69" s="2"/>
      <c r="R69" s="2"/>
      <c r="S69" s="2"/>
      <c r="T69" s="2"/>
      <c r="U69" s="2"/>
      <c r="V69" s="2"/>
      <c r="W69" s="2"/>
      <c r="X69" s="2"/>
      <c r="Y69" s="2"/>
      <c r="Z69" s="2"/>
    </row>
    <row r="70">
      <c r="A70" s="2" t="s">
        <v>473</v>
      </c>
      <c r="B70" s="3">
        <v>45468.0</v>
      </c>
      <c r="C70" s="2" t="s">
        <v>474</v>
      </c>
      <c r="D70" s="4">
        <v>3600.0</v>
      </c>
      <c r="E70" s="18" t="s">
        <v>21</v>
      </c>
      <c r="F70" s="2" t="s">
        <v>222</v>
      </c>
      <c r="G70" s="2" t="s">
        <v>476</v>
      </c>
      <c r="H70" s="2" t="s">
        <v>140</v>
      </c>
      <c r="I70" s="2" t="s">
        <v>477</v>
      </c>
      <c r="J70" s="2" t="s">
        <v>478</v>
      </c>
      <c r="K70" s="2"/>
      <c r="L70" s="2"/>
      <c r="M70" s="2"/>
      <c r="N70" s="2"/>
      <c r="O70" s="2"/>
      <c r="P70" s="2"/>
      <c r="Q70" s="2"/>
      <c r="R70" s="2"/>
      <c r="S70" s="2"/>
      <c r="T70" s="2"/>
      <c r="U70" s="2"/>
      <c r="V70" s="2"/>
      <c r="W70" s="2"/>
      <c r="X70" s="2"/>
      <c r="Y70" s="2"/>
      <c r="Z70" s="2"/>
    </row>
    <row r="71">
      <c r="A71" s="2" t="s">
        <v>479</v>
      </c>
      <c r="B71" s="3">
        <v>45473.0</v>
      </c>
      <c r="C71" s="2" t="s">
        <v>221</v>
      </c>
      <c r="D71" s="4">
        <v>1173.0</v>
      </c>
      <c r="E71" s="18" t="s">
        <v>133</v>
      </c>
      <c r="F71" s="2" t="s">
        <v>222</v>
      </c>
      <c r="G71" s="2" t="s">
        <v>224</v>
      </c>
      <c r="H71" s="2" t="s">
        <v>50</v>
      </c>
      <c r="I71" s="2" t="s">
        <v>480</v>
      </c>
      <c r="J71" s="2" t="s">
        <v>481</v>
      </c>
      <c r="K71" s="2"/>
      <c r="L71" s="2"/>
      <c r="M71" s="2"/>
      <c r="N71" s="2"/>
      <c r="O71" s="2"/>
      <c r="P71" s="2"/>
      <c r="Q71" s="2"/>
      <c r="R71" s="2"/>
      <c r="S71" s="2"/>
      <c r="T71" s="2"/>
      <c r="U71" s="2"/>
      <c r="V71" s="2"/>
      <c r="W71" s="2"/>
      <c r="X71" s="2"/>
      <c r="Y71" s="2"/>
      <c r="Z71" s="2"/>
    </row>
    <row r="72">
      <c r="A72" s="2" t="s">
        <v>482</v>
      </c>
      <c r="B72" s="3">
        <v>45474.0</v>
      </c>
      <c r="C72" s="2" t="s">
        <v>59</v>
      </c>
      <c r="D72" s="4">
        <v>5400.0</v>
      </c>
      <c r="E72" s="2" t="s">
        <v>61</v>
      </c>
      <c r="F72" s="2" t="s">
        <v>63</v>
      </c>
      <c r="G72" s="2" t="s">
        <v>64</v>
      </c>
      <c r="H72" s="2" t="s">
        <v>50</v>
      </c>
      <c r="I72" s="2" t="s">
        <v>483</v>
      </c>
      <c r="J72" s="2" t="s">
        <v>484</v>
      </c>
      <c r="K72" s="2"/>
      <c r="L72" s="2"/>
      <c r="M72" s="2"/>
      <c r="N72" s="2"/>
      <c r="O72" s="2"/>
      <c r="P72" s="2"/>
      <c r="Q72" s="2"/>
      <c r="R72" s="2"/>
      <c r="S72" s="2"/>
      <c r="T72" s="2"/>
      <c r="U72" s="2"/>
      <c r="V72" s="2"/>
      <c r="W72" s="2"/>
      <c r="X72" s="2"/>
      <c r="Y72" s="2"/>
      <c r="Z72" s="2"/>
    </row>
    <row r="73">
      <c r="A73" s="2" t="s">
        <v>485</v>
      </c>
      <c r="B73" s="3">
        <v>45478.0</v>
      </c>
      <c r="C73" s="2" t="s">
        <v>326</v>
      </c>
      <c r="D73" s="4">
        <v>1800.0</v>
      </c>
      <c r="E73" s="2" t="s">
        <v>36</v>
      </c>
      <c r="F73" s="2" t="s">
        <v>222</v>
      </c>
      <c r="G73" s="2" t="s">
        <v>328</v>
      </c>
      <c r="H73" s="2" t="s">
        <v>140</v>
      </c>
      <c r="I73" s="2" t="s">
        <v>486</v>
      </c>
      <c r="J73" s="2" t="s">
        <v>487</v>
      </c>
      <c r="K73" s="2"/>
      <c r="L73" s="2"/>
      <c r="M73" s="2"/>
      <c r="N73" s="2"/>
      <c r="O73" s="2"/>
      <c r="P73" s="2"/>
      <c r="Q73" s="2"/>
      <c r="R73" s="2"/>
      <c r="S73" s="2"/>
      <c r="T73" s="2"/>
      <c r="U73" s="2"/>
      <c r="V73" s="2"/>
      <c r="W73" s="2"/>
      <c r="X73" s="2"/>
      <c r="Y73" s="2"/>
      <c r="Z73" s="2"/>
    </row>
    <row r="74">
      <c r="A74" s="2" t="s">
        <v>489</v>
      </c>
      <c r="B74" s="3">
        <v>45479.0</v>
      </c>
      <c r="C74" s="2" t="s">
        <v>117</v>
      </c>
      <c r="D74" s="4">
        <v>600.0</v>
      </c>
      <c r="E74" s="2" t="s">
        <v>118</v>
      </c>
      <c r="F74" s="2" t="s">
        <v>63</v>
      </c>
      <c r="G74" s="2" t="s">
        <v>121</v>
      </c>
      <c r="H74" s="2" t="s">
        <v>50</v>
      </c>
      <c r="I74" s="2" t="s">
        <v>490</v>
      </c>
      <c r="J74" s="2" t="s">
        <v>492</v>
      </c>
      <c r="K74" s="2"/>
      <c r="L74" s="2"/>
      <c r="M74" s="2"/>
      <c r="N74" s="2"/>
      <c r="O74" s="2"/>
      <c r="P74" s="2"/>
      <c r="Q74" s="2"/>
      <c r="R74" s="2"/>
      <c r="S74" s="2"/>
      <c r="T74" s="2"/>
      <c r="U74" s="2"/>
      <c r="V74" s="2"/>
      <c r="W74" s="2"/>
      <c r="X74" s="2"/>
      <c r="Y74" s="2"/>
      <c r="Z74" s="2"/>
    </row>
    <row r="75">
      <c r="A75" s="2" t="s">
        <v>493</v>
      </c>
      <c r="B75" s="3">
        <v>45485.0</v>
      </c>
      <c r="C75" s="2" t="s">
        <v>180</v>
      </c>
      <c r="D75" s="4">
        <v>18000.0</v>
      </c>
      <c r="E75" s="2" t="s">
        <v>182</v>
      </c>
      <c r="F75" s="2" t="s">
        <v>183</v>
      </c>
      <c r="G75" s="2" t="s">
        <v>184</v>
      </c>
      <c r="H75" s="2" t="s">
        <v>186</v>
      </c>
      <c r="I75" s="2" t="s">
        <v>494</v>
      </c>
      <c r="J75" s="2" t="s">
        <v>188</v>
      </c>
      <c r="K75" s="2"/>
      <c r="L75" s="2"/>
      <c r="M75" s="2"/>
      <c r="N75" s="2"/>
      <c r="O75" s="2"/>
      <c r="P75" s="2"/>
      <c r="Q75" s="2"/>
      <c r="R75" s="2"/>
      <c r="S75" s="2"/>
      <c r="T75" s="2"/>
      <c r="U75" s="2"/>
      <c r="V75" s="2"/>
      <c r="W75" s="2"/>
      <c r="X75" s="2"/>
      <c r="Y75" s="2"/>
      <c r="Z75" s="2"/>
    </row>
    <row r="76">
      <c r="A76" s="2" t="s">
        <v>495</v>
      </c>
      <c r="B76" s="3">
        <v>45491.0</v>
      </c>
      <c r="C76" s="2" t="s">
        <v>210</v>
      </c>
      <c r="D76" s="4">
        <v>10000.0</v>
      </c>
      <c r="E76" s="2" t="s">
        <v>69</v>
      </c>
      <c r="F76" s="2" t="s">
        <v>183</v>
      </c>
      <c r="G76" s="2" t="s">
        <v>184</v>
      </c>
      <c r="H76" s="2" t="s">
        <v>186</v>
      </c>
      <c r="I76" s="2" t="s">
        <v>496</v>
      </c>
      <c r="J76" s="2" t="s">
        <v>497</v>
      </c>
      <c r="K76" s="2"/>
      <c r="L76" s="2"/>
      <c r="M76" s="2"/>
      <c r="N76" s="2"/>
      <c r="O76" s="2"/>
      <c r="P76" s="2"/>
      <c r="Q76" s="2"/>
      <c r="R76" s="2"/>
      <c r="S76" s="2"/>
      <c r="T76" s="2"/>
      <c r="U76" s="2"/>
      <c r="V76" s="2"/>
      <c r="W76" s="2"/>
      <c r="X76" s="2"/>
      <c r="Y76" s="2"/>
      <c r="Z76" s="2"/>
    </row>
    <row r="77">
      <c r="A77" s="2" t="s">
        <v>498</v>
      </c>
      <c r="B77" s="3">
        <v>45493.0</v>
      </c>
      <c r="C77" s="2" t="s">
        <v>262</v>
      </c>
      <c r="D77" s="4">
        <v>14000.0</v>
      </c>
      <c r="E77" s="2" t="s">
        <v>102</v>
      </c>
      <c r="F77" s="2" t="s">
        <v>183</v>
      </c>
      <c r="G77" s="2" t="s">
        <v>184</v>
      </c>
      <c r="H77" s="2" t="s">
        <v>186</v>
      </c>
      <c r="I77" s="2" t="s">
        <v>499</v>
      </c>
      <c r="J77" s="2" t="s">
        <v>188</v>
      </c>
      <c r="K77" s="2"/>
      <c r="L77" s="2"/>
      <c r="M77" s="2"/>
      <c r="N77" s="2"/>
      <c r="O77" s="2"/>
      <c r="P77" s="2"/>
      <c r="Q77" s="2"/>
      <c r="R77" s="2"/>
      <c r="S77" s="2"/>
      <c r="T77" s="2"/>
      <c r="U77" s="2"/>
      <c r="V77" s="2"/>
      <c r="W77" s="2"/>
      <c r="X77" s="2"/>
      <c r="Y77" s="2"/>
      <c r="Z77" s="2"/>
    </row>
    <row r="78">
      <c r="A78" s="2" t="s">
        <v>500</v>
      </c>
      <c r="B78" s="3">
        <v>45495.0</v>
      </c>
      <c r="C78" s="2" t="s">
        <v>501</v>
      </c>
      <c r="D78" s="4">
        <v>9000.0</v>
      </c>
      <c r="E78" s="2" t="s">
        <v>162</v>
      </c>
      <c r="F78" s="2" t="s">
        <v>183</v>
      </c>
      <c r="G78" s="2" t="s">
        <v>184</v>
      </c>
      <c r="H78" s="2" t="s">
        <v>186</v>
      </c>
      <c r="I78" s="2" t="s">
        <v>502</v>
      </c>
      <c r="J78" s="2" t="s">
        <v>188</v>
      </c>
      <c r="K78" s="2"/>
      <c r="L78" s="2"/>
      <c r="M78" s="2"/>
      <c r="N78" s="2"/>
      <c r="O78" s="2"/>
      <c r="P78" s="2"/>
      <c r="Q78" s="2"/>
      <c r="R78" s="2"/>
      <c r="S78" s="2"/>
      <c r="T78" s="2"/>
      <c r="U78" s="2"/>
      <c r="V78" s="2"/>
      <c r="W78" s="2"/>
      <c r="X78" s="2"/>
      <c r="Y78" s="2"/>
      <c r="Z78" s="2"/>
    </row>
    <row r="79">
      <c r="A79" s="2" t="s">
        <v>503</v>
      </c>
      <c r="B79" s="3">
        <v>45495.0</v>
      </c>
      <c r="C79" s="2" t="s">
        <v>343</v>
      </c>
      <c r="D79" s="4">
        <v>10000.0</v>
      </c>
      <c r="E79" s="2" t="s">
        <v>58</v>
      </c>
      <c r="F79" s="2" t="s">
        <v>155</v>
      </c>
      <c r="G79" s="2" t="s">
        <v>197</v>
      </c>
      <c r="H79" s="2" t="s">
        <v>158</v>
      </c>
      <c r="I79" s="2" t="s">
        <v>504</v>
      </c>
      <c r="J79" s="2" t="s">
        <v>345</v>
      </c>
      <c r="K79" s="2"/>
      <c r="L79" s="2"/>
      <c r="M79" s="2"/>
      <c r="N79" s="2"/>
      <c r="O79" s="2"/>
      <c r="P79" s="2"/>
      <c r="Q79" s="2"/>
      <c r="R79" s="2"/>
      <c r="S79" s="2"/>
      <c r="T79" s="2"/>
      <c r="U79" s="2"/>
      <c r="V79" s="2"/>
      <c r="W79" s="2"/>
      <c r="X79" s="2"/>
      <c r="Y79" s="2"/>
      <c r="Z79" s="2"/>
    </row>
    <row r="80">
      <c r="A80" s="2" t="s">
        <v>505</v>
      </c>
      <c r="B80" s="3">
        <v>45497.0</v>
      </c>
      <c r="C80" s="2" t="s">
        <v>215</v>
      </c>
      <c r="D80" s="4">
        <v>13280.0</v>
      </c>
      <c r="E80" s="2" t="s">
        <v>129</v>
      </c>
      <c r="F80" s="2" t="s">
        <v>216</v>
      </c>
      <c r="G80" s="2" t="s">
        <v>217</v>
      </c>
      <c r="H80" s="2" t="s">
        <v>50</v>
      </c>
      <c r="I80" s="2" t="s">
        <v>506</v>
      </c>
      <c r="J80" s="2" t="s">
        <v>507</v>
      </c>
      <c r="K80" s="2"/>
      <c r="L80" s="2"/>
      <c r="M80" s="2"/>
      <c r="N80" s="2"/>
      <c r="O80" s="2"/>
      <c r="P80" s="2"/>
      <c r="Q80" s="2"/>
      <c r="R80" s="2"/>
      <c r="S80" s="2"/>
      <c r="T80" s="2"/>
      <c r="U80" s="2"/>
      <c r="V80" s="2"/>
      <c r="W80" s="2"/>
      <c r="X80" s="2"/>
      <c r="Y80" s="2"/>
      <c r="Z80" s="2"/>
    </row>
    <row r="81">
      <c r="A81" s="2" t="s">
        <v>508</v>
      </c>
      <c r="B81" s="3">
        <v>45498.0</v>
      </c>
      <c r="C81" s="2" t="s">
        <v>509</v>
      </c>
      <c r="D81" s="4">
        <v>9000.0</v>
      </c>
      <c r="E81" s="2" t="s">
        <v>109</v>
      </c>
      <c r="F81" s="2" t="s">
        <v>510</v>
      </c>
      <c r="G81" s="2" t="s">
        <v>105</v>
      </c>
      <c r="H81" s="2" t="s">
        <v>50</v>
      </c>
      <c r="I81" s="2" t="s">
        <v>511</v>
      </c>
      <c r="J81" s="2" t="s">
        <v>512</v>
      </c>
      <c r="K81" s="2"/>
      <c r="L81" s="2"/>
      <c r="M81" s="2"/>
      <c r="N81" s="2"/>
      <c r="O81" s="2"/>
      <c r="P81" s="2"/>
      <c r="Q81" s="2"/>
      <c r="R81" s="2"/>
      <c r="S81" s="2"/>
      <c r="T81" s="2"/>
      <c r="U81" s="2"/>
      <c r="V81" s="2"/>
      <c r="W81" s="2"/>
      <c r="X81" s="2"/>
      <c r="Y81" s="2"/>
      <c r="Z81" s="2"/>
    </row>
    <row r="82">
      <c r="A82" s="2" t="s">
        <v>513</v>
      </c>
      <c r="B82" s="3">
        <v>45504.0</v>
      </c>
      <c r="C82" s="2" t="s">
        <v>221</v>
      </c>
      <c r="D82" s="4">
        <v>1354.0</v>
      </c>
      <c r="E82" s="2" t="s">
        <v>133</v>
      </c>
      <c r="F82" s="2" t="s">
        <v>222</v>
      </c>
      <c r="G82" s="2" t="s">
        <v>224</v>
      </c>
      <c r="H82" s="2" t="s">
        <v>50</v>
      </c>
      <c r="I82" s="2" t="s">
        <v>515</v>
      </c>
      <c r="J82" s="2" t="s">
        <v>516</v>
      </c>
      <c r="K82" s="2"/>
      <c r="L82" s="2"/>
      <c r="M82" s="2"/>
      <c r="N82" s="2"/>
      <c r="O82" s="2"/>
      <c r="P82" s="2"/>
      <c r="Q82" s="2"/>
      <c r="R82" s="2"/>
      <c r="S82" s="2"/>
      <c r="T82" s="2"/>
      <c r="U82" s="2"/>
      <c r="V82" s="2"/>
      <c r="W82" s="2"/>
      <c r="X82" s="2"/>
      <c r="Y82" s="2"/>
      <c r="Z82" s="2"/>
    </row>
    <row r="83">
      <c r="A83" s="2" t="s">
        <v>517</v>
      </c>
      <c r="B83" s="3">
        <v>45505.0</v>
      </c>
      <c r="C83" s="2" t="s">
        <v>59</v>
      </c>
      <c r="D83" s="4">
        <v>5400.0</v>
      </c>
      <c r="E83" s="2" t="s">
        <v>61</v>
      </c>
      <c r="F83" s="2" t="s">
        <v>63</v>
      </c>
      <c r="G83" s="2" t="s">
        <v>64</v>
      </c>
      <c r="H83" s="2" t="s">
        <v>50</v>
      </c>
      <c r="I83" s="2" t="s">
        <v>518</v>
      </c>
      <c r="J83" s="2" t="s">
        <v>519</v>
      </c>
      <c r="K83" s="2"/>
      <c r="L83" s="2"/>
      <c r="M83" s="2"/>
      <c r="N83" s="2"/>
      <c r="O83" s="2"/>
      <c r="P83" s="2"/>
      <c r="Q83" s="2"/>
      <c r="R83" s="2"/>
      <c r="S83" s="2"/>
      <c r="T83" s="2"/>
      <c r="U83" s="2"/>
      <c r="V83" s="2"/>
      <c r="W83" s="2"/>
      <c r="X83" s="2"/>
      <c r="Y83" s="2"/>
      <c r="Z83" s="2"/>
    </row>
    <row r="84">
      <c r="A84" s="2" t="s">
        <v>520</v>
      </c>
      <c r="B84" s="3">
        <v>45510.0</v>
      </c>
      <c r="C84" s="2" t="s">
        <v>117</v>
      </c>
      <c r="D84" s="4">
        <v>600.0</v>
      </c>
      <c r="E84" s="2" t="s">
        <v>118</v>
      </c>
      <c r="F84" s="2" t="s">
        <v>63</v>
      </c>
      <c r="G84" s="2" t="s">
        <v>121</v>
      </c>
      <c r="H84" s="2" t="s">
        <v>50</v>
      </c>
      <c r="I84" s="2" t="s">
        <v>521</v>
      </c>
      <c r="J84" s="2" t="s">
        <v>522</v>
      </c>
      <c r="K84" s="2"/>
      <c r="L84" s="2"/>
      <c r="M84" s="2"/>
      <c r="N84" s="2"/>
      <c r="O84" s="2"/>
      <c r="P84" s="2"/>
      <c r="Q84" s="2"/>
      <c r="R84" s="2"/>
      <c r="S84" s="2"/>
      <c r="T84" s="2"/>
      <c r="U84" s="2"/>
      <c r="V84" s="2"/>
      <c r="W84" s="2"/>
      <c r="X84" s="2"/>
      <c r="Y84" s="2"/>
      <c r="Z84" s="2"/>
    </row>
    <row r="85">
      <c r="A85" s="2" t="s">
        <v>523</v>
      </c>
      <c r="B85" s="3">
        <v>45516.0</v>
      </c>
      <c r="C85" s="2" t="s">
        <v>180</v>
      </c>
      <c r="D85" s="4">
        <v>15000.0</v>
      </c>
      <c r="E85" s="2" t="s">
        <v>182</v>
      </c>
      <c r="F85" s="2" t="s">
        <v>183</v>
      </c>
      <c r="G85" s="2" t="s">
        <v>184</v>
      </c>
      <c r="H85" s="2" t="s">
        <v>186</v>
      </c>
      <c r="I85" s="2" t="s">
        <v>524</v>
      </c>
      <c r="J85" s="2" t="s">
        <v>188</v>
      </c>
      <c r="K85" s="2"/>
      <c r="L85" s="2"/>
      <c r="M85" s="2"/>
      <c r="N85" s="2"/>
      <c r="O85" s="2"/>
      <c r="P85" s="2"/>
      <c r="Q85" s="2"/>
      <c r="R85" s="2"/>
      <c r="S85" s="2"/>
      <c r="T85" s="2"/>
      <c r="U85" s="2"/>
      <c r="V85" s="2"/>
      <c r="W85" s="2"/>
      <c r="X85" s="2"/>
      <c r="Y85" s="2"/>
      <c r="Z85" s="2"/>
    </row>
    <row r="86">
      <c r="A86" s="2" t="s">
        <v>525</v>
      </c>
      <c r="B86" s="3">
        <v>45522.0</v>
      </c>
      <c r="C86" s="2" t="s">
        <v>210</v>
      </c>
      <c r="D86" s="4">
        <v>9000.0</v>
      </c>
      <c r="E86" s="2" t="s">
        <v>69</v>
      </c>
      <c r="F86" s="2" t="s">
        <v>183</v>
      </c>
      <c r="G86" s="2" t="s">
        <v>184</v>
      </c>
      <c r="H86" s="2" t="s">
        <v>186</v>
      </c>
      <c r="I86" s="2" t="s">
        <v>526</v>
      </c>
      <c r="J86" s="2" t="s">
        <v>459</v>
      </c>
      <c r="K86" s="2"/>
      <c r="L86" s="2"/>
      <c r="M86" s="2"/>
      <c r="N86" s="2"/>
      <c r="O86" s="2"/>
      <c r="P86" s="2"/>
      <c r="Q86" s="2"/>
      <c r="R86" s="2"/>
      <c r="S86" s="2"/>
      <c r="T86" s="2"/>
      <c r="U86" s="2"/>
      <c r="V86" s="2"/>
      <c r="W86" s="2"/>
      <c r="X86" s="2"/>
      <c r="Y86" s="2"/>
      <c r="Z86" s="2"/>
    </row>
    <row r="87">
      <c r="A87" s="2" t="s">
        <v>527</v>
      </c>
      <c r="B87" s="3">
        <v>45524.0</v>
      </c>
      <c r="C87" s="2" t="s">
        <v>262</v>
      </c>
      <c r="D87" s="4">
        <v>12000.0</v>
      </c>
      <c r="E87" s="2" t="s">
        <v>102</v>
      </c>
      <c r="F87" s="2" t="s">
        <v>183</v>
      </c>
      <c r="G87" s="2" t="s">
        <v>184</v>
      </c>
      <c r="H87" s="2" t="s">
        <v>186</v>
      </c>
      <c r="I87" s="2" t="s">
        <v>528</v>
      </c>
      <c r="J87" s="2" t="s">
        <v>188</v>
      </c>
      <c r="K87" s="2"/>
      <c r="L87" s="2"/>
      <c r="M87" s="2"/>
      <c r="N87" s="2"/>
      <c r="O87" s="2"/>
      <c r="P87" s="2"/>
      <c r="Q87" s="2"/>
      <c r="R87" s="2"/>
      <c r="S87" s="2"/>
      <c r="T87" s="2"/>
      <c r="U87" s="2"/>
      <c r="V87" s="2"/>
      <c r="W87" s="2"/>
      <c r="X87" s="2"/>
      <c r="Y87" s="2"/>
      <c r="Z87" s="2"/>
    </row>
    <row r="88">
      <c r="A88" s="2" t="s">
        <v>529</v>
      </c>
      <c r="B88" s="3">
        <v>45526.0</v>
      </c>
      <c r="C88" s="2" t="s">
        <v>530</v>
      </c>
      <c r="D88" s="4">
        <v>4000.0</v>
      </c>
      <c r="E88" s="2" t="s">
        <v>153</v>
      </c>
      <c r="F88" s="2" t="s">
        <v>531</v>
      </c>
      <c r="G88" s="2" t="s">
        <v>532</v>
      </c>
      <c r="H88" s="2" t="s">
        <v>50</v>
      </c>
      <c r="I88" s="2" t="s">
        <v>533</v>
      </c>
      <c r="J88" s="2" t="s">
        <v>534</v>
      </c>
      <c r="K88" s="2"/>
      <c r="L88" s="2"/>
      <c r="M88" s="2"/>
      <c r="N88" s="2"/>
      <c r="O88" s="2"/>
      <c r="P88" s="2"/>
      <c r="Q88" s="2"/>
      <c r="R88" s="2"/>
      <c r="S88" s="2"/>
      <c r="T88" s="2"/>
      <c r="U88" s="2"/>
      <c r="V88" s="2"/>
      <c r="W88" s="2"/>
      <c r="X88" s="2"/>
      <c r="Y88" s="2"/>
      <c r="Z88" s="2"/>
    </row>
    <row r="89">
      <c r="A89" s="2" t="s">
        <v>535</v>
      </c>
      <c r="B89" s="3">
        <v>45527.0</v>
      </c>
      <c r="C89" s="2" t="s">
        <v>501</v>
      </c>
      <c r="D89" s="4">
        <v>7000.0</v>
      </c>
      <c r="E89" s="2" t="s">
        <v>162</v>
      </c>
      <c r="F89" s="2" t="s">
        <v>183</v>
      </c>
      <c r="G89" s="2" t="s">
        <v>184</v>
      </c>
      <c r="H89" s="2" t="s">
        <v>186</v>
      </c>
      <c r="I89" s="2" t="s">
        <v>537</v>
      </c>
      <c r="J89" s="2" t="s">
        <v>188</v>
      </c>
      <c r="K89" s="2"/>
      <c r="L89" s="2"/>
      <c r="M89" s="2"/>
      <c r="N89" s="2"/>
      <c r="O89" s="2"/>
      <c r="P89" s="2"/>
      <c r="Q89" s="2"/>
      <c r="R89" s="2"/>
      <c r="S89" s="2"/>
      <c r="T89" s="2"/>
      <c r="U89" s="2"/>
      <c r="V89" s="2"/>
      <c r="W89" s="2"/>
      <c r="X89" s="2"/>
      <c r="Y89" s="2"/>
      <c r="Z89" s="2"/>
    </row>
    <row r="90">
      <c r="A90" s="2" t="s">
        <v>538</v>
      </c>
      <c r="B90" s="3">
        <v>45528.0</v>
      </c>
      <c r="C90" s="2" t="s">
        <v>215</v>
      </c>
      <c r="D90" s="4">
        <v>12120.0</v>
      </c>
      <c r="E90" s="2" t="s">
        <v>129</v>
      </c>
      <c r="F90" s="2" t="s">
        <v>216</v>
      </c>
      <c r="G90" s="2" t="s">
        <v>217</v>
      </c>
      <c r="H90" s="2" t="s">
        <v>50</v>
      </c>
      <c r="I90" s="2" t="s">
        <v>539</v>
      </c>
      <c r="J90" s="2" t="s">
        <v>540</v>
      </c>
      <c r="K90" s="2"/>
      <c r="L90" s="2"/>
      <c r="M90" s="2"/>
      <c r="N90" s="2"/>
      <c r="O90" s="2"/>
      <c r="P90" s="2"/>
      <c r="Q90" s="2"/>
      <c r="R90" s="2"/>
      <c r="S90" s="2"/>
      <c r="T90" s="2"/>
      <c r="U90" s="2"/>
      <c r="V90" s="2"/>
      <c r="W90" s="2"/>
      <c r="X90" s="2"/>
      <c r="Y90" s="2"/>
      <c r="Z90" s="2"/>
    </row>
    <row r="91">
      <c r="A91" s="2" t="s">
        <v>541</v>
      </c>
      <c r="B91" s="3">
        <v>45535.0</v>
      </c>
      <c r="C91" s="2" t="s">
        <v>221</v>
      </c>
      <c r="D91" s="4">
        <v>1227.0</v>
      </c>
      <c r="E91" s="2" t="s">
        <v>133</v>
      </c>
      <c r="F91" s="2" t="s">
        <v>222</v>
      </c>
      <c r="G91" s="2" t="s">
        <v>224</v>
      </c>
      <c r="H91" s="2" t="s">
        <v>50</v>
      </c>
      <c r="I91" s="2" t="s">
        <v>542</v>
      </c>
      <c r="J91" s="2" t="s">
        <v>543</v>
      </c>
      <c r="K91" s="2"/>
      <c r="L91" s="2"/>
      <c r="M91" s="2"/>
      <c r="N91" s="2"/>
      <c r="O91" s="2"/>
      <c r="P91" s="2"/>
      <c r="Q91" s="2"/>
      <c r="R91" s="2"/>
      <c r="S91" s="2"/>
      <c r="T91" s="2"/>
      <c r="U91" s="2"/>
      <c r="V91" s="2"/>
      <c r="W91" s="2"/>
      <c r="X91" s="2"/>
      <c r="Y91" s="2"/>
      <c r="Z91" s="2"/>
    </row>
    <row r="92">
      <c r="A92" s="2" t="s">
        <v>544</v>
      </c>
      <c r="B92" s="3">
        <v>45536.0</v>
      </c>
      <c r="C92" s="2" t="s">
        <v>59</v>
      </c>
      <c r="D92" s="4">
        <v>5400.0</v>
      </c>
      <c r="E92" s="2" t="s">
        <v>61</v>
      </c>
      <c r="F92" s="2" t="s">
        <v>63</v>
      </c>
      <c r="G92" s="2" t="s">
        <v>64</v>
      </c>
      <c r="H92" s="2" t="s">
        <v>50</v>
      </c>
      <c r="I92" s="2" t="s">
        <v>545</v>
      </c>
      <c r="J92" s="2" t="s">
        <v>546</v>
      </c>
      <c r="K92" s="2"/>
      <c r="L92" s="2"/>
      <c r="M92" s="2"/>
      <c r="N92" s="2"/>
      <c r="O92" s="2"/>
      <c r="P92" s="2"/>
      <c r="Q92" s="2"/>
      <c r="R92" s="2"/>
      <c r="S92" s="2"/>
      <c r="T92" s="2"/>
      <c r="U92" s="2"/>
      <c r="V92" s="2"/>
      <c r="W92" s="2"/>
      <c r="X92" s="2"/>
      <c r="Y92" s="2"/>
      <c r="Z92" s="2"/>
    </row>
    <row r="93">
      <c r="A93" s="2" t="s">
        <v>547</v>
      </c>
      <c r="B93" s="3">
        <v>45540.0</v>
      </c>
      <c r="C93" s="2" t="s">
        <v>281</v>
      </c>
      <c r="D93" s="4">
        <v>2000.0</v>
      </c>
      <c r="E93" s="2" t="s">
        <v>29</v>
      </c>
      <c r="F93" s="2" t="s">
        <v>155</v>
      </c>
      <c r="G93" s="2" t="s">
        <v>197</v>
      </c>
      <c r="H93" s="2" t="s">
        <v>158</v>
      </c>
      <c r="I93" s="2" t="s">
        <v>548</v>
      </c>
      <c r="J93" s="2" t="s">
        <v>549</v>
      </c>
      <c r="K93" s="2"/>
      <c r="L93" s="2"/>
      <c r="M93" s="2"/>
      <c r="N93" s="2"/>
      <c r="O93" s="2"/>
      <c r="P93" s="2"/>
      <c r="Q93" s="2"/>
      <c r="R93" s="2"/>
      <c r="S93" s="2"/>
      <c r="T93" s="2"/>
      <c r="U93" s="2"/>
      <c r="V93" s="2"/>
      <c r="W93" s="2"/>
      <c r="X93" s="2"/>
      <c r="Y93" s="2"/>
      <c r="Z93" s="2"/>
    </row>
    <row r="94">
      <c r="A94" s="2" t="s">
        <v>550</v>
      </c>
      <c r="B94" s="3">
        <v>45541.0</v>
      </c>
      <c r="C94" s="2" t="s">
        <v>117</v>
      </c>
      <c r="D94" s="4">
        <v>600.0</v>
      </c>
      <c r="E94" s="2" t="s">
        <v>118</v>
      </c>
      <c r="F94" s="2" t="s">
        <v>63</v>
      </c>
      <c r="G94" s="2" t="s">
        <v>121</v>
      </c>
      <c r="H94" s="2" t="s">
        <v>50</v>
      </c>
      <c r="I94" s="2" t="s">
        <v>551</v>
      </c>
      <c r="J94" s="2" t="s">
        <v>552</v>
      </c>
      <c r="K94" s="2"/>
      <c r="L94" s="2"/>
      <c r="M94" s="2"/>
      <c r="N94" s="2"/>
      <c r="O94" s="2"/>
      <c r="P94" s="2"/>
      <c r="Q94" s="2"/>
      <c r="R94" s="2"/>
      <c r="S94" s="2"/>
      <c r="T94" s="2"/>
      <c r="U94" s="2"/>
      <c r="V94" s="2"/>
      <c r="W94" s="2"/>
      <c r="X94" s="2"/>
      <c r="Y94" s="2"/>
      <c r="Z94" s="2"/>
    </row>
    <row r="95">
      <c r="A95" s="2" t="s">
        <v>553</v>
      </c>
      <c r="B95" s="3">
        <v>45547.0</v>
      </c>
      <c r="C95" s="2" t="s">
        <v>180</v>
      </c>
      <c r="D95" s="4">
        <v>11000.0</v>
      </c>
      <c r="E95" s="2" t="s">
        <v>182</v>
      </c>
      <c r="F95" s="2" t="s">
        <v>183</v>
      </c>
      <c r="G95" s="2" t="s">
        <v>184</v>
      </c>
      <c r="H95" s="2" t="s">
        <v>186</v>
      </c>
      <c r="I95" s="2" t="s">
        <v>554</v>
      </c>
      <c r="J95" s="2" t="s">
        <v>188</v>
      </c>
      <c r="K95" s="2"/>
      <c r="L95" s="2"/>
      <c r="M95" s="2"/>
      <c r="N95" s="2"/>
      <c r="O95" s="2"/>
      <c r="P95" s="2"/>
      <c r="Q95" s="2"/>
      <c r="R95" s="2"/>
      <c r="S95" s="2"/>
      <c r="T95" s="2"/>
      <c r="U95" s="2"/>
      <c r="V95" s="2"/>
      <c r="W95" s="2"/>
      <c r="X95" s="2"/>
      <c r="Y95" s="2"/>
      <c r="Z95" s="2"/>
    </row>
    <row r="96">
      <c r="A96" s="2" t="s">
        <v>555</v>
      </c>
      <c r="B96" s="3">
        <v>45551.0</v>
      </c>
      <c r="C96" s="2" t="s">
        <v>292</v>
      </c>
      <c r="D96" s="4">
        <v>4200.0</v>
      </c>
      <c r="E96" s="2" t="s">
        <v>36</v>
      </c>
      <c r="F96" s="2" t="s">
        <v>222</v>
      </c>
      <c r="G96" s="2" t="s">
        <v>293</v>
      </c>
      <c r="H96" s="2" t="s">
        <v>50</v>
      </c>
      <c r="I96" s="2" t="s">
        <v>556</v>
      </c>
      <c r="J96" s="2" t="s">
        <v>557</v>
      </c>
      <c r="K96" s="2"/>
      <c r="L96" s="2"/>
      <c r="M96" s="2"/>
      <c r="N96" s="2"/>
      <c r="O96" s="2"/>
      <c r="P96" s="2"/>
      <c r="Q96" s="2"/>
      <c r="R96" s="2"/>
      <c r="S96" s="2"/>
      <c r="T96" s="2"/>
      <c r="U96" s="2"/>
      <c r="V96" s="2"/>
      <c r="W96" s="2"/>
      <c r="X96" s="2"/>
      <c r="Y96" s="2"/>
      <c r="Z96" s="2"/>
    </row>
    <row r="97">
      <c r="A97" s="2" t="s">
        <v>558</v>
      </c>
      <c r="B97" s="3">
        <v>45551.0</v>
      </c>
      <c r="C97" s="2" t="s">
        <v>292</v>
      </c>
      <c r="D97" s="4">
        <v>3120.0</v>
      </c>
      <c r="E97" s="2" t="s">
        <v>36</v>
      </c>
      <c r="F97" s="2" t="s">
        <v>222</v>
      </c>
      <c r="G97" s="2" t="s">
        <v>293</v>
      </c>
      <c r="H97" s="2" t="s">
        <v>50</v>
      </c>
      <c r="I97" s="2" t="s">
        <v>559</v>
      </c>
      <c r="J97" s="2" t="s">
        <v>560</v>
      </c>
      <c r="K97" s="2"/>
      <c r="L97" s="2"/>
      <c r="M97" s="2"/>
      <c r="N97" s="2"/>
      <c r="O97" s="2"/>
      <c r="P97" s="2"/>
      <c r="Q97" s="2"/>
      <c r="R97" s="2"/>
      <c r="S97" s="2"/>
      <c r="T97" s="2"/>
      <c r="U97" s="2"/>
      <c r="V97" s="2"/>
      <c r="W97" s="2"/>
      <c r="X97" s="2"/>
      <c r="Y97" s="2"/>
      <c r="Z97" s="2"/>
    </row>
    <row r="98">
      <c r="A98" s="2" t="s">
        <v>561</v>
      </c>
      <c r="B98" s="3">
        <v>45553.0</v>
      </c>
      <c r="C98" s="2" t="s">
        <v>210</v>
      </c>
      <c r="D98" s="4">
        <v>7000.0</v>
      </c>
      <c r="E98" s="2" t="s">
        <v>69</v>
      </c>
      <c r="F98" s="2" t="s">
        <v>183</v>
      </c>
      <c r="G98" s="2" t="s">
        <v>184</v>
      </c>
      <c r="H98" s="2" t="s">
        <v>186</v>
      </c>
      <c r="I98" s="2" t="s">
        <v>562</v>
      </c>
      <c r="J98" s="2" t="s">
        <v>563</v>
      </c>
      <c r="K98" s="2"/>
      <c r="L98" s="2"/>
      <c r="M98" s="2"/>
      <c r="N98" s="2"/>
      <c r="O98" s="2"/>
      <c r="P98" s="2"/>
      <c r="Q98" s="2"/>
      <c r="R98" s="2"/>
      <c r="S98" s="2"/>
      <c r="T98" s="2"/>
      <c r="U98" s="2"/>
      <c r="V98" s="2"/>
      <c r="W98" s="2"/>
      <c r="X98" s="2"/>
      <c r="Y98" s="2"/>
      <c r="Z98" s="2"/>
    </row>
    <row r="99">
      <c r="A99" s="2" t="s">
        <v>564</v>
      </c>
      <c r="B99" s="3">
        <v>45555.0</v>
      </c>
      <c r="C99" s="2" t="s">
        <v>262</v>
      </c>
      <c r="D99" s="4">
        <v>8000.0</v>
      </c>
      <c r="E99" s="2" t="s">
        <v>102</v>
      </c>
      <c r="F99" s="2" t="s">
        <v>183</v>
      </c>
      <c r="G99" s="2" t="s">
        <v>184</v>
      </c>
      <c r="H99" s="2" t="s">
        <v>186</v>
      </c>
      <c r="I99" s="2" t="s">
        <v>565</v>
      </c>
      <c r="J99" s="2" t="s">
        <v>566</v>
      </c>
      <c r="K99" s="2"/>
      <c r="L99" s="2"/>
      <c r="M99" s="2"/>
      <c r="N99" s="2"/>
      <c r="O99" s="2"/>
      <c r="P99" s="2"/>
      <c r="Q99" s="2"/>
      <c r="R99" s="2"/>
      <c r="S99" s="2"/>
      <c r="T99" s="2"/>
      <c r="U99" s="2"/>
      <c r="V99" s="2"/>
      <c r="W99" s="2"/>
      <c r="X99" s="2"/>
      <c r="Y99" s="2"/>
      <c r="Z99" s="2"/>
    </row>
    <row r="100">
      <c r="A100" s="2" t="s">
        <v>567</v>
      </c>
      <c r="B100" s="3">
        <v>45559.0</v>
      </c>
      <c r="C100" s="2" t="s">
        <v>215</v>
      </c>
      <c r="D100" s="4">
        <v>10240.0</v>
      </c>
      <c r="E100" s="27" t="s">
        <v>129</v>
      </c>
      <c r="F100" s="2" t="s">
        <v>216</v>
      </c>
      <c r="G100" s="2" t="s">
        <v>217</v>
      </c>
      <c r="H100" s="2" t="s">
        <v>50</v>
      </c>
      <c r="I100" s="2" t="s">
        <v>568</v>
      </c>
      <c r="J100" s="2" t="s">
        <v>569</v>
      </c>
      <c r="K100" s="2"/>
      <c r="L100" s="2"/>
      <c r="M100" s="2"/>
      <c r="N100" s="2"/>
      <c r="O100" s="2"/>
      <c r="P100" s="2"/>
      <c r="Q100" s="2"/>
      <c r="R100" s="2"/>
      <c r="S100" s="2"/>
      <c r="T100" s="2"/>
      <c r="U100" s="2"/>
      <c r="V100" s="2"/>
      <c r="W100" s="2"/>
      <c r="X100" s="2"/>
      <c r="Y100" s="2"/>
      <c r="Z100" s="2"/>
    </row>
    <row r="101">
      <c r="A101" s="2" t="s">
        <v>570</v>
      </c>
      <c r="B101" s="3">
        <v>45565.0</v>
      </c>
      <c r="C101" s="2" t="s">
        <v>221</v>
      </c>
      <c r="D101" s="4">
        <v>1054.0</v>
      </c>
      <c r="E101" s="2" t="s">
        <v>133</v>
      </c>
      <c r="F101" s="2" t="s">
        <v>222</v>
      </c>
      <c r="G101" s="2" t="s">
        <v>224</v>
      </c>
      <c r="H101" s="2" t="s">
        <v>50</v>
      </c>
      <c r="I101" s="2" t="s">
        <v>571</v>
      </c>
      <c r="J101" s="2" t="s">
        <v>572</v>
      </c>
      <c r="K101" s="2"/>
      <c r="L101" s="2"/>
      <c r="M101" s="2"/>
      <c r="N101" s="2"/>
      <c r="O101" s="2"/>
      <c r="P101" s="2"/>
      <c r="Q101" s="2"/>
      <c r="R101" s="2"/>
      <c r="S101" s="2"/>
      <c r="T101" s="2"/>
      <c r="U101" s="2"/>
      <c r="V101" s="2"/>
      <c r="W101" s="2"/>
      <c r="X101" s="2"/>
      <c r="Y101" s="2"/>
      <c r="Z101" s="2"/>
    </row>
    <row r="102">
      <c r="A102" s="2" t="s">
        <v>573</v>
      </c>
      <c r="B102" s="3">
        <v>45566.0</v>
      </c>
      <c r="C102" s="2" t="s">
        <v>59</v>
      </c>
      <c r="D102" s="4">
        <v>5400.0</v>
      </c>
      <c r="E102" s="2" t="s">
        <v>61</v>
      </c>
      <c r="F102" s="2" t="s">
        <v>63</v>
      </c>
      <c r="G102" s="2" t="s">
        <v>64</v>
      </c>
      <c r="H102" s="2" t="s">
        <v>50</v>
      </c>
      <c r="I102" s="2" t="s">
        <v>574</v>
      </c>
      <c r="J102" s="2" t="s">
        <v>575</v>
      </c>
      <c r="K102" s="2"/>
      <c r="L102" s="2"/>
      <c r="M102" s="2"/>
      <c r="N102" s="2"/>
      <c r="O102" s="2"/>
      <c r="P102" s="2"/>
      <c r="Q102" s="2"/>
      <c r="R102" s="2"/>
      <c r="S102" s="2"/>
      <c r="T102" s="2"/>
      <c r="U102" s="2"/>
      <c r="V102" s="2"/>
      <c r="W102" s="2"/>
      <c r="X102" s="2"/>
      <c r="Y102" s="2"/>
      <c r="Z102" s="2"/>
    </row>
    <row r="103">
      <c r="A103" s="2" t="s">
        <v>576</v>
      </c>
      <c r="B103" s="3">
        <v>45570.0</v>
      </c>
      <c r="C103" s="2" t="s">
        <v>326</v>
      </c>
      <c r="D103" s="4">
        <v>1000.0</v>
      </c>
      <c r="E103" s="2" t="s">
        <v>133</v>
      </c>
      <c r="F103" s="2" t="s">
        <v>222</v>
      </c>
      <c r="G103" s="2" t="s">
        <v>328</v>
      </c>
      <c r="H103" s="2" t="s">
        <v>140</v>
      </c>
      <c r="I103" s="2" t="s">
        <v>577</v>
      </c>
      <c r="J103" s="2" t="s">
        <v>578</v>
      </c>
      <c r="K103" s="2"/>
      <c r="L103" s="2"/>
      <c r="M103" s="2"/>
      <c r="N103" s="2"/>
      <c r="O103" s="2"/>
      <c r="P103" s="2"/>
      <c r="Q103" s="2"/>
      <c r="R103" s="2"/>
      <c r="S103" s="2"/>
      <c r="T103" s="2"/>
      <c r="U103" s="2"/>
      <c r="V103" s="2"/>
      <c r="W103" s="2"/>
      <c r="X103" s="2"/>
      <c r="Y103" s="2"/>
      <c r="Z103" s="2"/>
    </row>
    <row r="104">
      <c r="A104" s="2" t="s">
        <v>579</v>
      </c>
      <c r="B104" s="3">
        <v>45571.0</v>
      </c>
      <c r="C104" s="2" t="s">
        <v>117</v>
      </c>
      <c r="D104" s="4">
        <v>600.0</v>
      </c>
      <c r="E104" s="2" t="s">
        <v>118</v>
      </c>
      <c r="F104" s="2" t="s">
        <v>63</v>
      </c>
      <c r="G104" s="2" t="s">
        <v>121</v>
      </c>
      <c r="H104" s="2" t="s">
        <v>50</v>
      </c>
      <c r="I104" s="2" t="s">
        <v>580</v>
      </c>
      <c r="J104" s="2" t="s">
        <v>581</v>
      </c>
      <c r="K104" s="2"/>
      <c r="L104" s="2"/>
      <c r="M104" s="2"/>
      <c r="N104" s="2"/>
      <c r="O104" s="2"/>
      <c r="P104" s="2"/>
      <c r="Q104" s="2"/>
      <c r="R104" s="2"/>
      <c r="S104" s="2"/>
      <c r="T104" s="2"/>
      <c r="U104" s="2"/>
      <c r="V104" s="2"/>
      <c r="W104" s="2"/>
      <c r="X104" s="2"/>
      <c r="Y104" s="2"/>
      <c r="Z104" s="2"/>
    </row>
    <row r="105">
      <c r="A105" s="2" t="s">
        <v>582</v>
      </c>
      <c r="B105" s="3">
        <v>45577.0</v>
      </c>
      <c r="C105" s="2" t="s">
        <v>180</v>
      </c>
      <c r="D105" s="4">
        <v>7000.0</v>
      </c>
      <c r="E105" s="2" t="s">
        <v>182</v>
      </c>
      <c r="F105" s="2" t="s">
        <v>183</v>
      </c>
      <c r="G105" s="2" t="s">
        <v>184</v>
      </c>
      <c r="H105" s="2" t="s">
        <v>186</v>
      </c>
      <c r="I105" s="2" t="s">
        <v>583</v>
      </c>
      <c r="J105" s="2" t="s">
        <v>188</v>
      </c>
      <c r="K105" s="2"/>
      <c r="L105" s="2"/>
      <c r="M105" s="2"/>
      <c r="N105" s="2"/>
      <c r="O105" s="2"/>
      <c r="P105" s="2"/>
      <c r="Q105" s="2"/>
      <c r="R105" s="2"/>
      <c r="S105" s="2"/>
      <c r="T105" s="2"/>
      <c r="U105" s="2"/>
      <c r="V105" s="2"/>
      <c r="W105" s="2"/>
      <c r="X105" s="2"/>
      <c r="Y105" s="2"/>
      <c r="Z105" s="2"/>
    </row>
    <row r="106">
      <c r="A106" s="2" t="s">
        <v>585</v>
      </c>
      <c r="B106" s="3">
        <v>45585.0</v>
      </c>
      <c r="C106" s="2" t="s">
        <v>303</v>
      </c>
      <c r="D106" s="4">
        <v>5000.0</v>
      </c>
      <c r="E106" s="2" t="s">
        <v>153</v>
      </c>
      <c r="F106" s="2" t="s">
        <v>586</v>
      </c>
      <c r="G106" s="2" t="s">
        <v>587</v>
      </c>
      <c r="H106" s="2" t="s">
        <v>50</v>
      </c>
      <c r="I106" s="2" t="s">
        <v>588</v>
      </c>
      <c r="J106" s="2" t="s">
        <v>589</v>
      </c>
      <c r="K106" s="2"/>
      <c r="L106" s="2"/>
      <c r="M106" s="2"/>
      <c r="N106" s="2"/>
      <c r="O106" s="2"/>
      <c r="P106" s="2"/>
      <c r="Q106" s="2"/>
      <c r="R106" s="2"/>
      <c r="S106" s="2"/>
      <c r="T106" s="2"/>
      <c r="U106" s="2"/>
      <c r="V106" s="2"/>
      <c r="W106" s="2"/>
      <c r="X106" s="2"/>
      <c r="Y106" s="2"/>
      <c r="Z106" s="2"/>
    </row>
    <row r="107">
      <c r="A107" s="2" t="s">
        <v>590</v>
      </c>
      <c r="B107" s="3">
        <v>45589.0</v>
      </c>
      <c r="C107" s="2" t="s">
        <v>215</v>
      </c>
      <c r="D107" s="4">
        <v>8660.0</v>
      </c>
      <c r="E107" s="2" t="s">
        <v>129</v>
      </c>
      <c r="F107" s="2" t="s">
        <v>216</v>
      </c>
      <c r="G107" s="2" t="s">
        <v>217</v>
      </c>
      <c r="H107" s="2" t="s">
        <v>50</v>
      </c>
      <c r="I107" s="2" t="s">
        <v>591</v>
      </c>
      <c r="J107" s="2" t="s">
        <v>592</v>
      </c>
      <c r="K107" s="2"/>
      <c r="L107" s="2"/>
      <c r="M107" s="2"/>
      <c r="N107" s="2"/>
      <c r="O107" s="2"/>
      <c r="P107" s="2"/>
      <c r="Q107" s="2"/>
      <c r="R107" s="2"/>
      <c r="S107" s="2"/>
      <c r="T107" s="2"/>
      <c r="U107" s="2"/>
      <c r="V107" s="2"/>
      <c r="W107" s="2"/>
      <c r="X107" s="2"/>
      <c r="Y107" s="2"/>
      <c r="Z107" s="2"/>
    </row>
    <row r="108">
      <c r="A108" s="2" t="s">
        <v>593</v>
      </c>
      <c r="B108" s="3">
        <v>45596.0</v>
      </c>
      <c r="C108" s="2" t="s">
        <v>221</v>
      </c>
      <c r="D108" s="4">
        <v>879.0</v>
      </c>
      <c r="E108" s="2" t="s">
        <v>133</v>
      </c>
      <c r="F108" s="2" t="s">
        <v>222</v>
      </c>
      <c r="G108" s="2" t="s">
        <v>224</v>
      </c>
      <c r="H108" s="2" t="s">
        <v>50</v>
      </c>
      <c r="I108" s="2" t="s">
        <v>594</v>
      </c>
      <c r="J108" s="2" t="s">
        <v>595</v>
      </c>
      <c r="K108" s="2"/>
      <c r="L108" s="2"/>
      <c r="M108" s="2"/>
      <c r="N108" s="2"/>
      <c r="O108" s="2"/>
      <c r="P108" s="2"/>
      <c r="Q108" s="2"/>
      <c r="R108" s="2"/>
      <c r="S108" s="2"/>
      <c r="T108" s="2"/>
      <c r="U108" s="2"/>
      <c r="V108" s="2"/>
      <c r="W108" s="2"/>
      <c r="X108" s="2"/>
      <c r="Y108" s="2"/>
      <c r="Z108" s="2"/>
    </row>
    <row r="109">
      <c r="A109" s="2" t="s">
        <v>596</v>
      </c>
      <c r="B109" s="3">
        <v>45597.0</v>
      </c>
      <c r="C109" s="2" t="s">
        <v>59</v>
      </c>
      <c r="D109" s="4">
        <v>5400.0</v>
      </c>
      <c r="E109" s="2" t="s">
        <v>61</v>
      </c>
      <c r="F109" s="2" t="s">
        <v>63</v>
      </c>
      <c r="G109" s="2" t="s">
        <v>64</v>
      </c>
      <c r="H109" s="2" t="s">
        <v>50</v>
      </c>
      <c r="I109" s="2" t="s">
        <v>597</v>
      </c>
      <c r="J109" s="2" t="s">
        <v>598</v>
      </c>
      <c r="K109" s="2"/>
      <c r="L109" s="2"/>
      <c r="M109" s="2"/>
      <c r="N109" s="2"/>
      <c r="O109" s="2"/>
      <c r="P109" s="2"/>
      <c r="Q109" s="2"/>
      <c r="R109" s="2"/>
      <c r="S109" s="2"/>
      <c r="T109" s="2"/>
      <c r="U109" s="2"/>
      <c r="V109" s="2"/>
      <c r="W109" s="2"/>
      <c r="X109" s="2"/>
      <c r="Y109" s="2"/>
      <c r="Z109" s="2"/>
    </row>
    <row r="110">
      <c r="A110" s="2" t="s">
        <v>599</v>
      </c>
      <c r="B110" s="3">
        <v>45602.0</v>
      </c>
      <c r="C110" s="2" t="s">
        <v>117</v>
      </c>
      <c r="D110" s="4">
        <v>600.0</v>
      </c>
      <c r="E110" s="2" t="s">
        <v>118</v>
      </c>
      <c r="F110" s="2" t="s">
        <v>63</v>
      </c>
      <c r="G110" s="2" t="s">
        <v>121</v>
      </c>
      <c r="H110" s="2" t="s">
        <v>50</v>
      </c>
      <c r="I110" s="2" t="s">
        <v>600</v>
      </c>
      <c r="J110" s="2" t="s">
        <v>601</v>
      </c>
      <c r="K110" s="2"/>
      <c r="L110" s="2"/>
      <c r="M110" s="2"/>
      <c r="N110" s="2"/>
      <c r="O110" s="2"/>
      <c r="P110" s="2"/>
      <c r="Q110" s="2"/>
      <c r="R110" s="2"/>
      <c r="S110" s="2"/>
      <c r="T110" s="2"/>
      <c r="U110" s="2"/>
      <c r="V110" s="2"/>
      <c r="W110" s="2"/>
      <c r="X110" s="2"/>
      <c r="Y110" s="2"/>
      <c r="Z110" s="2"/>
    </row>
    <row r="111">
      <c r="A111" s="2" t="s">
        <v>602</v>
      </c>
      <c r="B111" s="3">
        <v>45608.0</v>
      </c>
      <c r="C111" s="2" t="s">
        <v>180</v>
      </c>
      <c r="D111" s="4">
        <v>4000.0</v>
      </c>
      <c r="E111" s="2" t="s">
        <v>182</v>
      </c>
      <c r="F111" s="2" t="s">
        <v>183</v>
      </c>
      <c r="G111" s="2" t="s">
        <v>184</v>
      </c>
      <c r="H111" s="2" t="s">
        <v>186</v>
      </c>
      <c r="I111" s="2" t="s">
        <v>603</v>
      </c>
      <c r="J111" s="2" t="s">
        <v>188</v>
      </c>
      <c r="K111" s="2"/>
      <c r="L111" s="2"/>
      <c r="M111" s="2"/>
      <c r="N111" s="2"/>
      <c r="O111" s="2"/>
      <c r="P111" s="2"/>
      <c r="Q111" s="2"/>
      <c r="R111" s="2"/>
      <c r="S111" s="2"/>
      <c r="T111" s="2"/>
      <c r="U111" s="2"/>
      <c r="V111" s="2"/>
      <c r="W111" s="2"/>
      <c r="X111" s="2"/>
      <c r="Y111" s="2"/>
      <c r="Z111" s="2"/>
    </row>
    <row r="112">
      <c r="A112" s="2" t="s">
        <v>604</v>
      </c>
      <c r="B112" s="3">
        <v>45616.0</v>
      </c>
      <c r="C112" s="2" t="s">
        <v>262</v>
      </c>
      <c r="D112" s="4">
        <v>3000.0</v>
      </c>
      <c r="E112" s="18" t="s">
        <v>102</v>
      </c>
      <c r="F112" s="2" t="s">
        <v>183</v>
      </c>
      <c r="G112" s="2" t="s">
        <v>184</v>
      </c>
      <c r="H112" s="2" t="s">
        <v>186</v>
      </c>
      <c r="I112" s="2" t="s">
        <v>605</v>
      </c>
      <c r="J112" s="2" t="s">
        <v>188</v>
      </c>
      <c r="K112" s="2"/>
      <c r="L112" s="2"/>
      <c r="M112" s="2"/>
      <c r="N112" s="2"/>
      <c r="O112" s="2"/>
      <c r="P112" s="2"/>
      <c r="Q112" s="2"/>
      <c r="R112" s="2"/>
      <c r="S112" s="2"/>
      <c r="T112" s="2"/>
      <c r="U112" s="2"/>
      <c r="V112" s="2"/>
      <c r="W112" s="2"/>
      <c r="X112" s="2"/>
      <c r="Y112" s="2"/>
      <c r="Z112" s="2"/>
    </row>
    <row r="113">
      <c r="A113" s="2" t="s">
        <v>606</v>
      </c>
      <c r="B113" s="3">
        <v>45620.0</v>
      </c>
      <c r="C113" s="2" t="s">
        <v>215</v>
      </c>
      <c r="D113" s="4">
        <v>7700.0</v>
      </c>
      <c r="E113" s="2" t="s">
        <v>129</v>
      </c>
      <c r="F113" s="2" t="s">
        <v>216</v>
      </c>
      <c r="G113" s="2" t="s">
        <v>217</v>
      </c>
      <c r="H113" s="2" t="s">
        <v>50</v>
      </c>
      <c r="I113" s="2" t="s">
        <v>608</v>
      </c>
      <c r="J113" s="2" t="s">
        <v>609</v>
      </c>
      <c r="K113" s="2"/>
      <c r="L113" s="2"/>
      <c r="M113" s="2"/>
      <c r="N113" s="2"/>
      <c r="O113" s="2"/>
      <c r="P113" s="2"/>
      <c r="Q113" s="2"/>
      <c r="R113" s="2"/>
      <c r="S113" s="2"/>
      <c r="T113" s="2"/>
      <c r="U113" s="2"/>
      <c r="V113" s="2"/>
      <c r="W113" s="2"/>
      <c r="X113" s="2"/>
      <c r="Y113" s="2"/>
      <c r="Z113" s="2"/>
    </row>
    <row r="114">
      <c r="A114" s="2" t="s">
        <v>610</v>
      </c>
      <c r="B114" s="3">
        <v>45626.0</v>
      </c>
      <c r="C114" s="2" t="s">
        <v>221</v>
      </c>
      <c r="D114" s="4">
        <v>764.0</v>
      </c>
      <c r="E114" s="2" t="s">
        <v>133</v>
      </c>
      <c r="F114" s="2" t="s">
        <v>222</v>
      </c>
      <c r="G114" s="2" t="s">
        <v>224</v>
      </c>
      <c r="H114" s="2" t="s">
        <v>50</v>
      </c>
      <c r="I114" s="2" t="s">
        <v>611</v>
      </c>
      <c r="J114" s="2" t="s">
        <v>612</v>
      </c>
      <c r="K114" s="2"/>
      <c r="L114" s="2"/>
      <c r="M114" s="2"/>
      <c r="N114" s="2"/>
      <c r="O114" s="2"/>
      <c r="P114" s="2"/>
      <c r="Q114" s="2"/>
      <c r="R114" s="2"/>
      <c r="S114" s="2"/>
      <c r="T114" s="2"/>
      <c r="U114" s="2"/>
      <c r="V114" s="2"/>
      <c r="W114" s="2"/>
      <c r="X114" s="2"/>
      <c r="Y114" s="2"/>
      <c r="Z114" s="2"/>
    </row>
    <row r="115">
      <c r="A115" s="2" t="s">
        <v>613</v>
      </c>
      <c r="B115" s="3">
        <v>45627.0</v>
      </c>
      <c r="C115" s="2" t="s">
        <v>59</v>
      </c>
      <c r="D115" s="4">
        <v>5400.0</v>
      </c>
      <c r="E115" s="2" t="s">
        <v>61</v>
      </c>
      <c r="F115" s="2" t="s">
        <v>63</v>
      </c>
      <c r="G115" s="2" t="s">
        <v>64</v>
      </c>
      <c r="H115" s="2" t="s">
        <v>50</v>
      </c>
      <c r="I115" s="2" t="s">
        <v>614</v>
      </c>
      <c r="J115" s="2" t="s">
        <v>615</v>
      </c>
      <c r="K115" s="2"/>
      <c r="L115" s="2"/>
      <c r="M115" s="2"/>
      <c r="N115" s="2"/>
      <c r="O115" s="2"/>
      <c r="P115" s="2"/>
      <c r="Q115" s="2"/>
      <c r="R115" s="2"/>
      <c r="S115" s="2"/>
      <c r="T115" s="2"/>
      <c r="U115" s="2"/>
      <c r="V115" s="2"/>
      <c r="W115" s="2"/>
      <c r="X115" s="2"/>
      <c r="Y115" s="2"/>
      <c r="Z115" s="2"/>
    </row>
    <row r="116">
      <c r="A116" s="2" t="s">
        <v>616</v>
      </c>
      <c r="B116" s="3">
        <v>45632.0</v>
      </c>
      <c r="C116" s="2" t="s">
        <v>117</v>
      </c>
      <c r="D116" s="4">
        <v>600.0</v>
      </c>
      <c r="E116" s="2" t="s">
        <v>118</v>
      </c>
      <c r="F116" s="2" t="s">
        <v>63</v>
      </c>
      <c r="G116" s="2" t="s">
        <v>121</v>
      </c>
      <c r="H116" s="2" t="s">
        <v>50</v>
      </c>
      <c r="I116" s="2" t="s">
        <v>617</v>
      </c>
      <c r="J116" s="2" t="s">
        <v>618</v>
      </c>
      <c r="K116" s="2"/>
      <c r="L116" s="2"/>
      <c r="M116" s="2"/>
      <c r="N116" s="2"/>
      <c r="O116" s="2"/>
      <c r="P116" s="2"/>
      <c r="Q116" s="2"/>
      <c r="R116" s="2"/>
      <c r="S116" s="2"/>
      <c r="T116" s="2"/>
      <c r="U116" s="2"/>
      <c r="V116" s="2"/>
      <c r="W116" s="2"/>
      <c r="X116" s="2"/>
      <c r="Y116" s="2"/>
      <c r="Z116" s="2"/>
    </row>
    <row r="117">
      <c r="A117" s="2" t="s">
        <v>619</v>
      </c>
      <c r="B117" s="3">
        <v>45644.0</v>
      </c>
      <c r="C117" s="2" t="s">
        <v>210</v>
      </c>
      <c r="D117" s="4">
        <v>3500.0</v>
      </c>
      <c r="E117" s="2" t="s">
        <v>69</v>
      </c>
      <c r="F117" s="2" t="s">
        <v>183</v>
      </c>
      <c r="G117" s="2" t="s">
        <v>184</v>
      </c>
      <c r="H117" s="2" t="s">
        <v>186</v>
      </c>
      <c r="I117" s="2" t="s">
        <v>620</v>
      </c>
      <c r="J117" s="2" t="s">
        <v>621</v>
      </c>
      <c r="K117" s="2"/>
      <c r="L117" s="2"/>
      <c r="M117" s="2"/>
      <c r="N117" s="2"/>
      <c r="O117" s="2"/>
      <c r="P117" s="2"/>
      <c r="Q117" s="2"/>
      <c r="R117" s="2"/>
      <c r="S117" s="2"/>
      <c r="T117" s="2"/>
      <c r="U117" s="2"/>
      <c r="V117" s="2"/>
      <c r="W117" s="2"/>
      <c r="X117" s="2"/>
      <c r="Y117" s="2"/>
      <c r="Z117" s="2"/>
    </row>
    <row r="118">
      <c r="A118" s="2" t="s">
        <v>622</v>
      </c>
      <c r="B118" s="3">
        <v>45647.0</v>
      </c>
      <c r="C118" s="2" t="s">
        <v>623</v>
      </c>
      <c r="D118" s="4">
        <v>6000.0</v>
      </c>
      <c r="E118" s="2" t="s">
        <v>162</v>
      </c>
      <c r="F118" s="2" t="s">
        <v>624</v>
      </c>
      <c r="G118" s="2" t="s">
        <v>625</v>
      </c>
      <c r="H118" s="2" t="s">
        <v>50</v>
      </c>
      <c r="I118" s="2" t="s">
        <v>626</v>
      </c>
      <c r="J118" s="2" t="s">
        <v>627</v>
      </c>
      <c r="K118" s="2"/>
      <c r="L118" s="2"/>
      <c r="M118" s="2"/>
      <c r="N118" s="2"/>
      <c r="O118" s="2"/>
      <c r="P118" s="2"/>
      <c r="Q118" s="2"/>
      <c r="R118" s="2"/>
      <c r="S118" s="2"/>
      <c r="T118" s="2"/>
      <c r="U118" s="2"/>
      <c r="V118" s="2"/>
      <c r="W118" s="2"/>
      <c r="X118" s="2"/>
      <c r="Y118" s="2"/>
      <c r="Z118" s="2"/>
    </row>
    <row r="119">
      <c r="A119" s="2" t="s">
        <v>628</v>
      </c>
      <c r="B119" s="3">
        <v>45648.0</v>
      </c>
      <c r="C119" s="2" t="s">
        <v>629</v>
      </c>
      <c r="D119" s="4">
        <v>1200.0</v>
      </c>
      <c r="E119" s="2" t="s">
        <v>109</v>
      </c>
      <c r="F119" s="2" t="s">
        <v>222</v>
      </c>
      <c r="G119" s="2" t="s">
        <v>105</v>
      </c>
      <c r="H119" s="2" t="s">
        <v>50</v>
      </c>
      <c r="I119" s="2" t="s">
        <v>630</v>
      </c>
      <c r="J119" s="2" t="s">
        <v>631</v>
      </c>
      <c r="K119" s="2"/>
      <c r="L119" s="2"/>
      <c r="M119" s="2"/>
      <c r="N119" s="2"/>
      <c r="O119" s="2"/>
      <c r="P119" s="2"/>
      <c r="Q119" s="2"/>
      <c r="R119" s="2"/>
      <c r="S119" s="2"/>
      <c r="T119" s="2"/>
      <c r="U119" s="2"/>
      <c r="V119" s="2"/>
      <c r="W119" s="2"/>
      <c r="X119" s="2"/>
      <c r="Y119" s="2"/>
      <c r="Z119" s="2"/>
    </row>
    <row r="120">
      <c r="A120" s="2" t="s">
        <v>633</v>
      </c>
      <c r="B120" s="3">
        <v>45650.0</v>
      </c>
      <c r="C120" s="2" t="s">
        <v>215</v>
      </c>
      <c r="D120" s="4">
        <v>7200.0</v>
      </c>
      <c r="E120" s="2" t="s">
        <v>129</v>
      </c>
      <c r="F120" s="2" t="s">
        <v>216</v>
      </c>
      <c r="G120" s="2" t="s">
        <v>217</v>
      </c>
      <c r="H120" s="2" t="s">
        <v>50</v>
      </c>
      <c r="I120" s="2" t="s">
        <v>634</v>
      </c>
      <c r="J120" s="2" t="s">
        <v>635</v>
      </c>
      <c r="K120" s="2"/>
      <c r="L120" s="2"/>
      <c r="M120" s="2"/>
      <c r="N120" s="2"/>
      <c r="O120" s="2"/>
      <c r="P120" s="2"/>
      <c r="Q120" s="2"/>
      <c r="R120" s="2"/>
      <c r="S120" s="2"/>
      <c r="T120" s="2"/>
      <c r="U120" s="2"/>
      <c r="V120" s="2"/>
      <c r="W120" s="2"/>
      <c r="X120" s="2"/>
      <c r="Y120" s="2"/>
      <c r="Z120" s="2"/>
    </row>
    <row r="121">
      <c r="A121" s="2" t="s">
        <v>636</v>
      </c>
      <c r="B121" s="3">
        <v>45657.0</v>
      </c>
      <c r="C121" s="2" t="s">
        <v>221</v>
      </c>
      <c r="D121" s="4">
        <v>682.0</v>
      </c>
      <c r="E121" s="2" t="s">
        <v>133</v>
      </c>
      <c r="F121" s="2" t="s">
        <v>222</v>
      </c>
      <c r="G121" s="2" t="s">
        <v>224</v>
      </c>
      <c r="H121" s="2" t="s">
        <v>50</v>
      </c>
      <c r="I121" s="2" t="s">
        <v>637</v>
      </c>
      <c r="J121" s="2" t="s">
        <v>638</v>
      </c>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16.5"/>
    <col customWidth="1" min="3" max="3" width="34.63"/>
    <col customWidth="1" min="4" max="4" width="7.88"/>
    <col customWidth="1" min="5" max="5" width="15.5"/>
    <col customWidth="1" min="6" max="6" width="38.5"/>
    <col customWidth="1" min="7" max="7" width="5.63"/>
    <col customWidth="1" min="8" max="8" width="26.88"/>
    <col customWidth="1" min="9" max="9" width="31.63"/>
    <col customWidth="1" min="12" max="12" width="22.75"/>
    <col customWidth="1" min="13" max="13" width="24.5"/>
    <col customWidth="1" min="14" max="14" width="53.63"/>
  </cols>
  <sheetData>
    <row r="1">
      <c r="A1" s="12" t="s">
        <v>212</v>
      </c>
      <c r="B1" s="13"/>
      <c r="C1" s="13"/>
      <c r="D1" s="13"/>
      <c r="E1" s="13"/>
      <c r="F1" s="13"/>
      <c r="G1" s="13"/>
      <c r="H1" s="13"/>
      <c r="I1" s="14"/>
      <c r="K1" s="15" t="s">
        <v>223</v>
      </c>
      <c r="L1" s="16"/>
      <c r="M1" s="16"/>
      <c r="N1" s="17"/>
    </row>
    <row r="2">
      <c r="A2" s="20" t="s">
        <v>230</v>
      </c>
      <c r="B2" s="13"/>
      <c r="C2" s="14"/>
      <c r="D2" s="21" t="s">
        <v>238</v>
      </c>
      <c r="E2" s="13"/>
      <c r="F2" s="14"/>
      <c r="G2" s="22" t="s">
        <v>244</v>
      </c>
      <c r="H2" s="13"/>
      <c r="I2" s="14"/>
      <c r="K2" s="23" t="s">
        <v>253</v>
      </c>
      <c r="L2" s="24" t="s">
        <v>260</v>
      </c>
      <c r="M2" s="24" t="s">
        <v>264</v>
      </c>
      <c r="N2" s="25" t="s">
        <v>265</v>
      </c>
    </row>
    <row r="3">
      <c r="A3" s="26" t="s">
        <v>267</v>
      </c>
      <c r="B3" s="28" t="s">
        <v>271</v>
      </c>
      <c r="C3" s="29" t="s">
        <v>9</v>
      </c>
      <c r="D3" s="30" t="s">
        <v>267</v>
      </c>
      <c r="E3" s="31" t="s">
        <v>271</v>
      </c>
      <c r="F3" s="31" t="s">
        <v>9</v>
      </c>
      <c r="G3" s="32" t="s">
        <v>267</v>
      </c>
      <c r="H3" s="33" t="s">
        <v>271</v>
      </c>
      <c r="I3" s="34" t="s">
        <v>9</v>
      </c>
      <c r="K3" s="35" t="s">
        <v>290</v>
      </c>
      <c r="L3" s="36" t="s">
        <v>295</v>
      </c>
      <c r="M3" s="36" t="s">
        <v>297</v>
      </c>
      <c r="N3" s="37" t="s">
        <v>299</v>
      </c>
    </row>
    <row r="4">
      <c r="A4" s="38">
        <v>101.0</v>
      </c>
      <c r="B4" s="39" t="s">
        <v>22</v>
      </c>
      <c r="C4" s="40" t="s">
        <v>309</v>
      </c>
      <c r="D4" s="38">
        <v>201.0</v>
      </c>
      <c r="E4" s="39" t="s">
        <v>29</v>
      </c>
      <c r="F4" s="39" t="s">
        <v>311</v>
      </c>
      <c r="G4" s="38">
        <v>301.0</v>
      </c>
      <c r="H4" s="39" t="s">
        <v>45</v>
      </c>
      <c r="I4" s="40" t="s">
        <v>314</v>
      </c>
      <c r="K4" s="41" t="s">
        <v>316</v>
      </c>
      <c r="L4" s="42" t="s">
        <v>319</v>
      </c>
      <c r="M4" s="42" t="s">
        <v>321</v>
      </c>
      <c r="N4" s="43" t="s">
        <v>322</v>
      </c>
    </row>
    <row r="5">
      <c r="A5" s="38">
        <v>110.0</v>
      </c>
      <c r="B5" s="39" t="s">
        <v>153</v>
      </c>
      <c r="C5" s="40" t="s">
        <v>327</v>
      </c>
      <c r="D5" s="38">
        <v>210.0</v>
      </c>
      <c r="E5" s="39" t="s">
        <v>149</v>
      </c>
      <c r="F5" s="39" t="s">
        <v>330</v>
      </c>
      <c r="G5" s="44"/>
      <c r="H5" s="45" t="s">
        <v>333</v>
      </c>
      <c r="I5" s="46"/>
      <c r="K5" s="35" t="s">
        <v>336</v>
      </c>
      <c r="L5" s="36" t="s">
        <v>244</v>
      </c>
      <c r="M5" s="36" t="s">
        <v>338</v>
      </c>
      <c r="N5" s="37" t="s">
        <v>339</v>
      </c>
    </row>
    <row r="6">
      <c r="A6" s="38">
        <v>120.0</v>
      </c>
      <c r="B6" s="39" t="s">
        <v>58</v>
      </c>
      <c r="C6" s="40" t="s">
        <v>341</v>
      </c>
      <c r="D6" s="47">
        <v>220.0</v>
      </c>
      <c r="E6" s="49" t="s">
        <v>25</v>
      </c>
      <c r="F6" s="49" t="s">
        <v>347</v>
      </c>
      <c r="G6" s="38">
        <v>401.0</v>
      </c>
      <c r="H6" s="39" t="s">
        <v>145</v>
      </c>
      <c r="I6" s="40" t="s">
        <v>350</v>
      </c>
      <c r="K6" s="41" t="s">
        <v>351</v>
      </c>
      <c r="L6" s="42" t="s">
        <v>352</v>
      </c>
      <c r="M6" s="42" t="s">
        <v>354</v>
      </c>
      <c r="N6" s="43" t="s">
        <v>355</v>
      </c>
    </row>
    <row r="7">
      <c r="A7" s="38">
        <v>130.0</v>
      </c>
      <c r="B7" s="39" t="s">
        <v>90</v>
      </c>
      <c r="C7" s="40" t="s">
        <v>359</v>
      </c>
      <c r="D7" s="1"/>
      <c r="E7" s="50"/>
      <c r="F7" s="50"/>
      <c r="G7" s="38">
        <v>402.0</v>
      </c>
      <c r="H7" s="39" t="s">
        <v>102</v>
      </c>
      <c r="I7" s="40" t="s">
        <v>365</v>
      </c>
      <c r="K7" s="35" t="s">
        <v>367</v>
      </c>
      <c r="L7" s="36" t="s">
        <v>368</v>
      </c>
      <c r="M7" s="36" t="s">
        <v>371</v>
      </c>
      <c r="N7" s="37" t="s">
        <v>373</v>
      </c>
    </row>
    <row r="8">
      <c r="A8" s="47">
        <v>150.0</v>
      </c>
      <c r="B8" s="49" t="s">
        <v>21</v>
      </c>
      <c r="C8" s="51" t="s">
        <v>379</v>
      </c>
      <c r="D8" s="1"/>
      <c r="E8" s="50"/>
      <c r="F8" s="50"/>
      <c r="G8" s="38">
        <v>403.0</v>
      </c>
      <c r="H8" s="39" t="s">
        <v>69</v>
      </c>
      <c r="I8" s="40" t="s">
        <v>383</v>
      </c>
      <c r="K8" s="41" t="s">
        <v>385</v>
      </c>
      <c r="L8" s="42" t="s">
        <v>387</v>
      </c>
      <c r="N8" s="52"/>
    </row>
    <row r="9">
      <c r="A9" s="1"/>
      <c r="B9" s="1"/>
      <c r="C9" s="1"/>
      <c r="D9" s="1"/>
      <c r="E9" s="50"/>
      <c r="F9" s="50"/>
      <c r="G9" s="38">
        <v>404.0</v>
      </c>
      <c r="H9" s="39" t="s">
        <v>162</v>
      </c>
      <c r="I9" s="40" t="s">
        <v>394</v>
      </c>
      <c r="K9" s="35" t="s">
        <v>395</v>
      </c>
      <c r="L9" s="53" t="s">
        <v>397</v>
      </c>
      <c r="N9" s="54"/>
    </row>
    <row r="10">
      <c r="A10" s="1"/>
      <c r="B10" s="1"/>
      <c r="C10" s="1"/>
      <c r="D10" s="1"/>
      <c r="E10" s="50"/>
      <c r="F10" s="50"/>
      <c r="G10" s="44"/>
      <c r="H10" s="39" t="s">
        <v>400</v>
      </c>
      <c r="I10" s="46"/>
      <c r="K10" s="55" t="s">
        <v>404</v>
      </c>
      <c r="L10" s="56"/>
      <c r="M10" s="56"/>
      <c r="N10" s="57"/>
    </row>
    <row r="11">
      <c r="A11" s="1"/>
      <c r="B11" s="1"/>
      <c r="C11" s="1"/>
      <c r="D11" s="1"/>
      <c r="E11" s="50"/>
      <c r="F11" s="50"/>
      <c r="G11" s="38">
        <v>501.0</v>
      </c>
      <c r="H11" s="39" t="s">
        <v>73</v>
      </c>
      <c r="I11" s="40" t="s">
        <v>413</v>
      </c>
    </row>
    <row r="12">
      <c r="A12" s="1"/>
      <c r="B12" s="1"/>
      <c r="C12" s="1"/>
      <c r="D12" s="1"/>
      <c r="E12" s="50"/>
      <c r="F12" s="50"/>
      <c r="G12" s="38">
        <v>510.0</v>
      </c>
      <c r="H12" s="39" t="s">
        <v>129</v>
      </c>
      <c r="I12" s="40" t="s">
        <v>416</v>
      </c>
    </row>
    <row r="13">
      <c r="A13" s="1"/>
      <c r="B13" s="1"/>
      <c r="C13" s="1"/>
      <c r="D13" s="1"/>
      <c r="E13" s="50"/>
      <c r="F13" s="50"/>
      <c r="G13" s="38">
        <v>520.0</v>
      </c>
      <c r="H13" s="39" t="s">
        <v>61</v>
      </c>
      <c r="I13" s="40" t="s">
        <v>96</v>
      </c>
    </row>
    <row r="14">
      <c r="A14" s="1"/>
      <c r="B14" s="1"/>
      <c r="C14" s="1"/>
      <c r="D14" s="1"/>
      <c r="E14" s="50"/>
      <c r="F14" s="50"/>
      <c r="G14" s="38">
        <v>525.0</v>
      </c>
      <c r="H14" s="39" t="s">
        <v>118</v>
      </c>
      <c r="I14" s="40" t="s">
        <v>119</v>
      </c>
    </row>
    <row r="15">
      <c r="A15" s="1"/>
      <c r="B15" s="1"/>
      <c r="C15" s="1"/>
      <c r="D15" s="1"/>
      <c r="E15" s="50"/>
      <c r="F15" s="50"/>
      <c r="G15" s="38">
        <v>530.0</v>
      </c>
      <c r="H15" s="39" t="s">
        <v>133</v>
      </c>
      <c r="I15" s="40" t="s">
        <v>421</v>
      </c>
    </row>
    <row r="16">
      <c r="A16" s="1"/>
      <c r="B16" s="1"/>
      <c r="C16" s="1"/>
      <c r="D16" s="1"/>
      <c r="E16" s="50"/>
      <c r="F16" s="50"/>
      <c r="G16" s="38">
        <v>535.0</v>
      </c>
      <c r="H16" s="39" t="s">
        <v>79</v>
      </c>
      <c r="I16" s="40" t="s">
        <v>426</v>
      </c>
    </row>
    <row r="17">
      <c r="A17" s="1"/>
      <c r="B17" s="1"/>
      <c r="C17" s="1"/>
      <c r="D17" s="1"/>
      <c r="E17" s="50"/>
      <c r="F17" s="50"/>
      <c r="G17" s="38">
        <v>540.0</v>
      </c>
      <c r="H17" s="39" t="s">
        <v>71</v>
      </c>
      <c r="I17" s="40" t="s">
        <v>430</v>
      </c>
    </row>
    <row r="18">
      <c r="A18" s="1"/>
      <c r="B18" s="1"/>
      <c r="C18" s="1"/>
      <c r="D18" s="1"/>
      <c r="E18" s="50"/>
      <c r="F18" s="50"/>
      <c r="G18" s="38">
        <v>545.0</v>
      </c>
      <c r="H18" s="39" t="s">
        <v>125</v>
      </c>
      <c r="I18" s="40" t="s">
        <v>127</v>
      </c>
    </row>
    <row r="19">
      <c r="A19" s="1"/>
      <c r="B19" s="1"/>
      <c r="C19" s="1"/>
      <c r="D19" s="1"/>
      <c r="E19" s="50"/>
      <c r="F19" s="50"/>
      <c r="G19" s="38">
        <v>550.0</v>
      </c>
      <c r="H19" s="39" t="s">
        <v>36</v>
      </c>
      <c r="I19" s="40" t="s">
        <v>438</v>
      </c>
    </row>
    <row r="20">
      <c r="A20" s="1"/>
      <c r="B20" s="1"/>
      <c r="C20" s="1"/>
      <c r="D20" s="1"/>
      <c r="E20" s="50"/>
      <c r="F20" s="50"/>
      <c r="G20" s="38">
        <v>555.0</v>
      </c>
      <c r="H20" s="39" t="s">
        <v>38</v>
      </c>
      <c r="I20" s="40" t="s">
        <v>442</v>
      </c>
    </row>
    <row r="21">
      <c r="A21" s="1"/>
      <c r="B21" s="1"/>
      <c r="C21" s="1"/>
      <c r="D21" s="1"/>
      <c r="E21" s="50"/>
      <c r="F21" s="50"/>
      <c r="G21" s="38">
        <v>565.0</v>
      </c>
      <c r="H21" s="39" t="s">
        <v>139</v>
      </c>
      <c r="I21" s="40" t="s">
        <v>446</v>
      </c>
    </row>
    <row r="22">
      <c r="A22" s="1"/>
      <c r="B22" s="1"/>
      <c r="C22" s="1"/>
      <c r="D22" s="1"/>
      <c r="E22" s="50"/>
      <c r="F22" s="50"/>
      <c r="G22" s="47">
        <v>580.0</v>
      </c>
      <c r="H22" s="49" t="s">
        <v>109</v>
      </c>
      <c r="I22" s="51" t="s">
        <v>449</v>
      </c>
    </row>
    <row r="23">
      <c r="A23" s="1"/>
      <c r="B23" s="1"/>
      <c r="C23" s="1"/>
      <c r="D23" s="1"/>
      <c r="E23" s="50"/>
      <c r="F23" s="50"/>
      <c r="G23" s="50"/>
      <c r="H23" s="50"/>
      <c r="I23" s="50"/>
    </row>
    <row r="24">
      <c r="A24" s="1"/>
      <c r="B24" s="1"/>
      <c r="C24" s="1"/>
      <c r="D24" s="1"/>
      <c r="E24" s="50"/>
      <c r="F24" s="50"/>
      <c r="G24" s="50"/>
      <c r="H24" s="50"/>
      <c r="I24" s="50"/>
    </row>
    <row r="25">
      <c r="A25" s="62" t="s">
        <v>455</v>
      </c>
      <c r="B25" s="63" t="s">
        <v>457</v>
      </c>
      <c r="C25" s="64" t="s">
        <v>460</v>
      </c>
      <c r="D25" s="1"/>
      <c r="E25" s="50"/>
      <c r="F25" s="50"/>
      <c r="G25" s="50"/>
      <c r="H25" s="50"/>
      <c r="I25" s="50"/>
    </row>
    <row r="26">
      <c r="A26" s="67" t="str">
        <f t="array" ref="A26:A50">UNIQUE({Journal!E3:E143;Journal!F3:F143})</f>
        <v>Cash</v>
      </c>
      <c r="B26" s="68">
        <f>COUNTA(A26:A60)</f>
        <v>25</v>
      </c>
      <c r="C26" s="69">
        <f>COUNTA(B4:B8,E4:E6,H4:H22)-2</f>
        <v>25</v>
      </c>
      <c r="D26" s="1"/>
      <c r="E26" s="50"/>
      <c r="F26" s="50"/>
      <c r="G26" s="50"/>
      <c r="H26" s="50"/>
      <c r="I26" s="50"/>
    </row>
    <row r="27">
      <c r="A27" s="70" t="s">
        <v>61</v>
      </c>
      <c r="C27" s="1"/>
      <c r="D27" s="1"/>
    </row>
    <row r="28">
      <c r="A28" s="70" t="s">
        <v>79</v>
      </c>
      <c r="C28" s="1"/>
      <c r="D28" s="1"/>
    </row>
    <row r="29">
      <c r="A29" s="70" t="s">
        <v>90</v>
      </c>
      <c r="C29" s="1"/>
      <c r="D29" s="1"/>
    </row>
    <row r="30">
      <c r="A30" s="70" t="s">
        <v>118</v>
      </c>
      <c r="C30" s="1"/>
      <c r="D30" s="1"/>
    </row>
    <row r="31">
      <c r="A31" s="70" t="s">
        <v>21</v>
      </c>
      <c r="C31" s="1"/>
      <c r="D31" s="1"/>
    </row>
    <row r="32">
      <c r="A32" s="70" t="s">
        <v>71</v>
      </c>
    </row>
    <row r="33">
      <c r="A33" s="70" t="s">
        <v>58</v>
      </c>
    </row>
    <row r="34">
      <c r="A34" s="70" t="s">
        <v>125</v>
      </c>
    </row>
    <row r="35">
      <c r="A35" s="70" t="s">
        <v>73</v>
      </c>
    </row>
    <row r="36">
      <c r="A36" s="70" t="s">
        <v>129</v>
      </c>
    </row>
    <row r="37">
      <c r="A37" s="70" t="s">
        <v>133</v>
      </c>
    </row>
    <row r="38">
      <c r="A38" s="70" t="s">
        <v>29</v>
      </c>
    </row>
    <row r="39">
      <c r="A39" s="70" t="s">
        <v>36</v>
      </c>
    </row>
    <row r="40">
      <c r="A40" s="70" t="s">
        <v>38</v>
      </c>
    </row>
    <row r="41">
      <c r="A41" s="70" t="s">
        <v>153</v>
      </c>
    </row>
    <row r="42">
      <c r="A42" s="70" t="s">
        <v>139</v>
      </c>
    </row>
    <row r="43">
      <c r="A43" s="70" t="s">
        <v>149</v>
      </c>
    </row>
    <row r="44">
      <c r="A44" s="70" t="s">
        <v>25</v>
      </c>
    </row>
    <row r="45">
      <c r="A45" s="70" t="s">
        <v>109</v>
      </c>
    </row>
    <row r="46">
      <c r="A46" s="70" t="s">
        <v>45</v>
      </c>
    </row>
    <row r="47">
      <c r="A47" s="70" t="s">
        <v>145</v>
      </c>
    </row>
    <row r="48">
      <c r="A48" s="70" t="s">
        <v>69</v>
      </c>
    </row>
    <row r="49">
      <c r="A49" s="70" t="s">
        <v>102</v>
      </c>
    </row>
    <row r="50">
      <c r="A50" s="71" t="s">
        <v>162</v>
      </c>
    </row>
  </sheetData>
  <mergeCells count="8">
    <mergeCell ref="A1:I1"/>
    <mergeCell ref="K1:N1"/>
    <mergeCell ref="A2:C2"/>
    <mergeCell ref="D2:F2"/>
    <mergeCell ref="G2:I2"/>
    <mergeCell ref="L8:N8"/>
    <mergeCell ref="L9:N9"/>
    <mergeCell ref="K10:N10"/>
  </mergeCells>
  <conditionalFormatting sqref="B3:C31 A26">
    <cfRule type="colorScale" priority="1">
      <colorScale>
        <cfvo type="min"/>
        <cfvo type="max"/>
        <color rgb="FFFFFFFF"/>
        <color rgb="FF57BB8A"/>
      </colorScale>
    </cfRule>
  </conditionalFormatting>
  <drawing r:id="rId4"/>
  <legacyDrawing r:id="rId5"/>
  <tableParts count="4">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38"/>
    <col customWidth="1" min="3" max="3" width="42.5"/>
    <col customWidth="1" min="4" max="4" width="8.5"/>
    <col customWidth="1" min="5" max="5" width="26.88"/>
    <col customWidth="1" min="6" max="6" width="21.38"/>
    <col customWidth="1" min="7" max="7" width="54.0"/>
    <col customWidth="1" min="8" max="8" width="7.0"/>
    <col customWidth="1" min="10" max="10" width="13.25"/>
  </cols>
  <sheetData>
    <row r="1">
      <c r="A1" s="5" t="s">
        <v>146</v>
      </c>
      <c r="B1" s="6"/>
      <c r="C1" s="6"/>
      <c r="D1" s="6"/>
      <c r="E1" s="6"/>
      <c r="F1" s="6"/>
      <c r="G1" s="6"/>
      <c r="H1" s="6"/>
      <c r="I1" s="7"/>
    </row>
    <row r="2">
      <c r="A2" s="8" t="s">
        <v>2</v>
      </c>
      <c r="B2" s="9" t="s">
        <v>7</v>
      </c>
      <c r="C2" s="9" t="s">
        <v>9</v>
      </c>
      <c r="D2" s="9" t="s">
        <v>11</v>
      </c>
      <c r="E2" s="9" t="s">
        <v>196</v>
      </c>
      <c r="F2" s="9" t="s">
        <v>199</v>
      </c>
      <c r="G2" s="9" t="s">
        <v>201</v>
      </c>
      <c r="H2" s="9" t="s">
        <v>202</v>
      </c>
      <c r="I2" s="10"/>
      <c r="J2" s="11" t="s">
        <v>207</v>
      </c>
    </row>
    <row r="3">
      <c r="A3" s="19" t="str">
        <f>IFERROR(__xludf.DUMMYFUNCTION("FILTER(FLATTEN({Entries!A2:A121,Entries!A2:A121,Entries!A2:A121}),FLATTEN(Entries!R2:T121)&lt;&gt;"""")"),"VVV-2024-001")</f>
        <v>VVV-2024-001</v>
      </c>
      <c r="B3" s="48">
        <f t="array" ref="B3:B1001">IF(A3:A1001="",,VLOOKUP(A3:A1001,Raw_Data!$A$2:$D$121,2,FALSE))</f>
        <v>45292</v>
      </c>
      <c r="C3" s="39" t="str">
        <f t="array" ref="C3:C1001">IF(A3:A1001="",,VLOOKUP(A3:A1001,Raw_Data!$A$2:$D$121,3,FALSE))</f>
        <v>Initial owner capital contribution</v>
      </c>
      <c r="D3" s="39">
        <f>IFERROR(__xludf.DUMMYFUNCTION("FILTER(FLATTEN(Entries!X2:Z121),FLATTEN(Entries!R2:T121)&lt;&gt;"""")"),50000.0)</f>
        <v>50000</v>
      </c>
      <c r="E3" s="58" t="str">
        <f>IFERROR(__xludf.DUMMYFUNCTION("FILTER({FLATTEN(Entries!R2:T121),FLATTEN(Entries!U2:W121)},FLATTEN(Entries!R2:T121)&lt;&gt;"""")"),"Cash")</f>
        <v>Cash</v>
      </c>
      <c r="F3" s="58" t="str">
        <f>IFERROR(__xludf.DUMMYFUNCTION("""COMPUTED_VALUE"""),"Owner's Capital")</f>
        <v>Owner's Capital</v>
      </c>
      <c r="G3" s="59"/>
      <c r="H3" s="60" t="str">
        <f t="shared" ref="H3:H143" si="1">IF(SUMIFS($D$3:$D$200,$A$3:$A$200,A3,$E$3:$E$200,"&lt;&gt;")=SUMIFS($D$3:$D$200,$A$3:$A$200,A3,$F$3:$F$200,"&lt;&gt;"),"OK","ERROR")</f>
        <v>OK</v>
      </c>
      <c r="J3" s="61">
        <f>SUMIF(E3:E200,"&lt;&gt;",D3:D200)</f>
        <v>809330</v>
      </c>
    </row>
    <row r="4">
      <c r="A4" s="19" t="str">
        <f>IFERROR(__xludf.DUMMYFUNCTION("""COMPUTED_VALUE"""),"VVV-2024-002")</f>
        <v>VVV-2024-002</v>
      </c>
      <c r="B4" s="48">
        <v>45293.0</v>
      </c>
      <c r="C4" s="39" t="s">
        <v>59</v>
      </c>
      <c r="D4" s="39">
        <f>IFERROR(__xludf.DUMMYFUNCTION("""COMPUTED_VALUE"""),5400.0)</f>
        <v>5400</v>
      </c>
      <c r="E4" s="58" t="str">
        <f>IFERROR(__xludf.DUMMYFUNCTION("""COMPUTED_VALUE"""),"Rent Expense")</f>
        <v>Rent Expense</v>
      </c>
      <c r="F4" s="59" t="str">
        <f>IFERROR(__xludf.DUMMYFUNCTION("""COMPUTED_VALUE"""),"Cash")</f>
        <v>Cash</v>
      </c>
      <c r="G4" s="58"/>
      <c r="H4" s="60" t="str">
        <f t="shared" si="1"/>
        <v>OK</v>
      </c>
      <c r="J4" s="65" t="s">
        <v>465</v>
      </c>
    </row>
    <row r="5">
      <c r="A5" s="19" t="str">
        <f>IFERROR(__xludf.DUMMYFUNCTION("""COMPUTED_VALUE"""),"VVV-2024-003")</f>
        <v>VVV-2024-003</v>
      </c>
      <c r="B5" s="48">
        <v>45294.0</v>
      </c>
      <c r="C5" s="39" t="s">
        <v>78</v>
      </c>
      <c r="D5" s="39">
        <f>IFERROR(__xludf.DUMMYFUNCTION("""COMPUTED_VALUE"""),1500.0)</f>
        <v>1500</v>
      </c>
      <c r="E5" s="58" t="str">
        <f>IFERROR(__xludf.DUMMYFUNCTION("""COMPUTED_VALUE"""),"License and Permit Expense")</f>
        <v>License and Permit Expense</v>
      </c>
      <c r="F5" s="58" t="str">
        <f>IFERROR(__xludf.DUMMYFUNCTION("""COMPUTED_VALUE"""),"Cash")</f>
        <v>Cash</v>
      </c>
      <c r="G5" s="58" t="s">
        <v>475</v>
      </c>
      <c r="H5" s="60" t="str">
        <f t="shared" si="1"/>
        <v>OK</v>
      </c>
      <c r="J5" s="61">
        <f>SUMIF(F3:F200,"&lt;&gt;",D3:D200)</f>
        <v>809330</v>
      </c>
    </row>
    <row r="6">
      <c r="A6" s="19" t="str">
        <f>IFERROR(__xludf.DUMMYFUNCTION("""COMPUTED_VALUE"""),"VVV-2024-004")</f>
        <v>VVV-2024-004</v>
      </c>
      <c r="B6" s="48">
        <v>45295.0</v>
      </c>
      <c r="C6" s="39" t="s">
        <v>89</v>
      </c>
      <c r="D6" s="39">
        <f>IFERROR(__xludf.DUMMYFUNCTION("""COMPUTED_VALUE"""),6000.0)</f>
        <v>6000</v>
      </c>
      <c r="E6" s="58" t="str">
        <f>IFERROR(__xludf.DUMMYFUNCTION("""COMPUTED_VALUE"""),"Security Deposit")</f>
        <v>Security Deposit</v>
      </c>
      <c r="F6" s="59" t="str">
        <f>IFERROR(__xludf.DUMMYFUNCTION("""COMPUTED_VALUE"""),"Cash")</f>
        <v>Cash</v>
      </c>
      <c r="G6" s="58" t="s">
        <v>488</v>
      </c>
      <c r="H6" s="60" t="str">
        <f t="shared" si="1"/>
        <v>OK</v>
      </c>
      <c r="J6" s="65" t="s">
        <v>491</v>
      </c>
    </row>
    <row r="7">
      <c r="A7" s="19" t="str">
        <f>IFERROR(__xludf.DUMMYFUNCTION("""COMPUTED_VALUE"""),"VVV-2024-005")</f>
        <v>VVV-2024-005</v>
      </c>
      <c r="B7" s="48">
        <v>45297.0</v>
      </c>
      <c r="C7" s="39" t="s">
        <v>101</v>
      </c>
      <c r="D7" s="39">
        <f>IFERROR(__xludf.DUMMYFUNCTION("""COMPUTED_VALUE"""),50000.0)</f>
        <v>50000</v>
      </c>
      <c r="E7" s="58" t="str">
        <f>IFERROR(__xludf.DUMMYFUNCTION("""COMPUTED_VALUE"""),"Cash")</f>
        <v>Cash</v>
      </c>
      <c r="F7" s="58" t="str">
        <f>IFERROR(__xludf.DUMMYFUNCTION("""COMPUTED_VALUE"""),"Notes Payable")</f>
        <v>Notes Payable</v>
      </c>
      <c r="G7" s="58" t="s">
        <v>103</v>
      </c>
      <c r="H7" s="60" t="str">
        <f t="shared" si="1"/>
        <v>OK</v>
      </c>
      <c r="J7" s="66" t="str">
        <f>IF(J3=J5,"BALANCED","NOT BALANCED")</f>
        <v>BALANCED</v>
      </c>
    </row>
    <row r="8">
      <c r="A8" s="19" t="str">
        <f>IFERROR(__xludf.DUMMYFUNCTION("""COMPUTED_VALUE"""),"VVV-2024-006")</f>
        <v>VVV-2024-006</v>
      </c>
      <c r="B8" s="48">
        <v>45297.0</v>
      </c>
      <c r="C8" s="39" t="s">
        <v>117</v>
      </c>
      <c r="D8" s="39">
        <f>IFERROR(__xludf.DUMMYFUNCTION("""COMPUTED_VALUE"""),600.0)</f>
        <v>600</v>
      </c>
      <c r="E8" s="58" t="str">
        <f>IFERROR(__xludf.DUMMYFUNCTION("""COMPUTED_VALUE"""),"Insurance Expense")</f>
        <v>Insurance Expense</v>
      </c>
      <c r="F8" s="59" t="str">
        <f>IFERROR(__xludf.DUMMYFUNCTION("""COMPUTED_VALUE"""),"Cash")</f>
        <v>Cash</v>
      </c>
      <c r="G8" s="58"/>
      <c r="H8" s="60" t="str">
        <f t="shared" si="1"/>
        <v>OK</v>
      </c>
    </row>
    <row r="9">
      <c r="A9" s="19" t="str">
        <f>IFERROR(__xludf.DUMMYFUNCTION("""COMPUTED_VALUE"""),"VVV-2024-007")</f>
        <v>VVV-2024-007</v>
      </c>
      <c r="B9" s="48">
        <v>45299.0</v>
      </c>
      <c r="C9" s="39" t="s">
        <v>134</v>
      </c>
      <c r="D9" s="39">
        <f>IFERROR(__xludf.DUMMYFUNCTION("""COMPUTED_VALUE"""),10000.0)</f>
        <v>10000</v>
      </c>
      <c r="E9" s="58" t="str">
        <f>IFERROR(__xludf.DUMMYFUNCTION("""COMPUTED_VALUE"""),"Equipment")</f>
        <v>Equipment</v>
      </c>
      <c r="F9" s="58" t="str">
        <f>IFERROR(__xludf.DUMMYFUNCTION("""COMPUTED_VALUE"""),"Cash")</f>
        <v>Cash</v>
      </c>
      <c r="G9" s="58" t="s">
        <v>514</v>
      </c>
      <c r="H9" s="60" t="str">
        <f t="shared" si="1"/>
        <v>OK</v>
      </c>
    </row>
    <row r="10">
      <c r="A10" s="19" t="str">
        <f>IFERROR(__xludf.DUMMYFUNCTION("""COMPUTED_VALUE"""),"VVV-2024-007")</f>
        <v>VVV-2024-007</v>
      </c>
      <c r="B10" s="48">
        <v>45299.0</v>
      </c>
      <c r="C10" s="39" t="s">
        <v>134</v>
      </c>
      <c r="D10" s="39">
        <f>IFERROR(__xludf.DUMMYFUNCTION("""COMPUTED_VALUE"""),20000.0)</f>
        <v>20000</v>
      </c>
      <c r="E10" s="58" t="str">
        <f>IFERROR(__xludf.DUMMYFUNCTION("""COMPUTED_VALUE"""),"Equipment")</f>
        <v>Equipment</v>
      </c>
      <c r="F10" s="59" t="str">
        <f>IFERROR(__xludf.DUMMYFUNCTION("""COMPUTED_VALUE"""),"Notes Payable")</f>
        <v>Notes Payable</v>
      </c>
      <c r="G10" s="58"/>
      <c r="H10" s="60" t="str">
        <f t="shared" si="1"/>
        <v>OK</v>
      </c>
    </row>
    <row r="11">
      <c r="A11" s="19" t="str">
        <f>IFERROR(__xludf.DUMMYFUNCTION("""COMPUTED_VALUE"""),"VVV-2024-008")</f>
        <v>VVV-2024-008</v>
      </c>
      <c r="B11" s="48">
        <v>45301.0</v>
      </c>
      <c r="C11" s="39" t="s">
        <v>152</v>
      </c>
      <c r="D11" s="39">
        <f>IFERROR(__xludf.DUMMYFUNCTION("""COMPUTED_VALUE"""),18000.0)</f>
        <v>18000</v>
      </c>
      <c r="E11" s="58" t="str">
        <f>IFERROR(__xludf.DUMMYFUNCTION("""COMPUTED_VALUE"""),"Equipment")</f>
        <v>Equipment</v>
      </c>
      <c r="F11" s="58" t="str">
        <f>IFERROR(__xludf.DUMMYFUNCTION("""COMPUTED_VALUE"""),"Cash")</f>
        <v>Cash</v>
      </c>
      <c r="G11" s="59"/>
      <c r="H11" s="60" t="str">
        <f t="shared" si="1"/>
        <v>OK</v>
      </c>
    </row>
    <row r="12">
      <c r="A12" s="19" t="str">
        <f>IFERROR(__xludf.DUMMYFUNCTION("""COMPUTED_VALUE"""),"VVV-2024-009")</f>
        <v>VVV-2024-009</v>
      </c>
      <c r="B12" s="48">
        <v>45303.0</v>
      </c>
      <c r="C12" s="39" t="s">
        <v>166</v>
      </c>
      <c r="D12" s="39">
        <f>IFERROR(__xludf.DUMMYFUNCTION("""COMPUTED_VALUE"""),5000.0)</f>
        <v>5000</v>
      </c>
      <c r="E12" s="58" t="str">
        <f>IFERROR(__xludf.DUMMYFUNCTION("""COMPUTED_VALUE"""),"Equipment")</f>
        <v>Equipment</v>
      </c>
      <c r="F12" s="59" t="str">
        <f>IFERROR(__xludf.DUMMYFUNCTION("""COMPUTED_VALUE"""),"Accounts Payable")</f>
        <v>Accounts Payable</v>
      </c>
      <c r="G12" s="58" t="s">
        <v>536</v>
      </c>
      <c r="H12" s="60" t="str">
        <f t="shared" si="1"/>
        <v>OK</v>
      </c>
    </row>
    <row r="13">
      <c r="A13" s="19" t="str">
        <f>IFERROR(__xludf.DUMMYFUNCTION("""COMPUTED_VALUE"""),"VVV-2024-010")</f>
        <v>VVV-2024-010</v>
      </c>
      <c r="B13" s="48">
        <v>45303.0</v>
      </c>
      <c r="C13" s="39" t="s">
        <v>180</v>
      </c>
      <c r="D13" s="39">
        <f>IFERROR(__xludf.DUMMYFUNCTION("""COMPUTED_VALUE"""),4500.0)</f>
        <v>4500</v>
      </c>
      <c r="E13" s="58" t="str">
        <f>IFERROR(__xludf.DUMMYFUNCTION("""COMPUTED_VALUE"""),"Cash")</f>
        <v>Cash</v>
      </c>
      <c r="F13" s="58" t="str">
        <f>IFERROR(__xludf.DUMMYFUNCTION("""COMPUTED_VALUE"""),"Equipment Rental Revenue")</f>
        <v>Equipment Rental Revenue</v>
      </c>
      <c r="G13" s="59"/>
      <c r="H13" s="60" t="str">
        <f t="shared" si="1"/>
        <v>OK</v>
      </c>
    </row>
    <row r="14">
      <c r="A14" s="19" t="str">
        <f>IFERROR(__xludf.DUMMYFUNCTION("""COMPUTED_VALUE"""),"VVV-2024-011")</f>
        <v>VVV-2024-011</v>
      </c>
      <c r="B14" s="48">
        <v>45305.0</v>
      </c>
      <c r="C14" s="39" t="s">
        <v>190</v>
      </c>
      <c r="D14" s="39">
        <f>IFERROR(__xludf.DUMMYFUNCTION("""COMPUTED_VALUE"""),1800.0)</f>
        <v>1800</v>
      </c>
      <c r="E14" s="58" t="str">
        <f>IFERROR(__xludf.DUMMYFUNCTION("""COMPUTED_VALUE"""),"Office and Admin Expense")</f>
        <v>Office and Admin Expense</v>
      </c>
      <c r="F14" s="59" t="str">
        <f>IFERROR(__xludf.DUMMYFUNCTION("""COMPUTED_VALUE"""),"Cash")</f>
        <v>Cash</v>
      </c>
      <c r="G14" s="58" t="s">
        <v>122</v>
      </c>
      <c r="H14" s="60" t="str">
        <f t="shared" si="1"/>
        <v>OK</v>
      </c>
    </row>
    <row r="15">
      <c r="A15" s="19" t="str">
        <f>IFERROR(__xludf.DUMMYFUNCTION("""COMPUTED_VALUE"""),"VVV-2024-012")</f>
        <v>VVV-2024-012</v>
      </c>
      <c r="B15" s="48">
        <v>45307.0</v>
      </c>
      <c r="C15" s="39" t="s">
        <v>195</v>
      </c>
      <c r="D15" s="39">
        <f>IFERROR(__xludf.DUMMYFUNCTION("""COMPUTED_VALUE"""),12000.0)</f>
        <v>12000</v>
      </c>
      <c r="E15" s="58" t="str">
        <f>IFERROR(__xludf.DUMMYFUNCTION("""COMPUTED_VALUE"""),"Inventory")</f>
        <v>Inventory</v>
      </c>
      <c r="F15" s="58" t="str">
        <f>IFERROR(__xludf.DUMMYFUNCTION("""COMPUTED_VALUE"""),"Cash")</f>
        <v>Cash</v>
      </c>
      <c r="G15" s="59"/>
      <c r="H15" s="60" t="str">
        <f t="shared" si="1"/>
        <v>OK</v>
      </c>
    </row>
    <row r="16">
      <c r="A16" s="19" t="str">
        <f>IFERROR(__xludf.DUMMYFUNCTION("""COMPUTED_VALUE"""),"VVV-2024-013")</f>
        <v>VVV-2024-013</v>
      </c>
      <c r="B16" s="48">
        <v>45309.0</v>
      </c>
      <c r="C16" s="39" t="s">
        <v>204</v>
      </c>
      <c r="D16" s="39">
        <f>IFERROR(__xludf.DUMMYFUNCTION("""COMPUTED_VALUE"""),2200.0)</f>
        <v>2200</v>
      </c>
      <c r="E16" s="58" t="str">
        <f>IFERROR(__xludf.DUMMYFUNCTION("""COMPUTED_VALUE"""),"Marketing Expense")</f>
        <v>Marketing Expense</v>
      </c>
      <c r="F16" s="59" t="str">
        <f>IFERROR(__xludf.DUMMYFUNCTION("""COMPUTED_VALUE"""),"Cash")</f>
        <v>Cash</v>
      </c>
      <c r="G16" s="58"/>
      <c r="H16" s="60" t="str">
        <f t="shared" si="1"/>
        <v>OK</v>
      </c>
    </row>
    <row r="17">
      <c r="A17" s="19" t="str">
        <f>IFERROR(__xludf.DUMMYFUNCTION("""COMPUTED_VALUE"""),"VVV-2024-014")</f>
        <v>VVV-2024-014</v>
      </c>
      <c r="B17" s="48">
        <v>45310.0</v>
      </c>
      <c r="C17" s="39" t="s">
        <v>210</v>
      </c>
      <c r="D17" s="39">
        <f>IFERROR(__xludf.DUMMYFUNCTION("""COMPUTED_VALUE"""),3000.0)</f>
        <v>3000</v>
      </c>
      <c r="E17" s="58" t="str">
        <f>IFERROR(__xludf.DUMMYFUNCTION("""COMPUTED_VALUE"""),"Cash")</f>
        <v>Cash</v>
      </c>
      <c r="F17" s="59" t="str">
        <f>IFERROR(__xludf.DUMMYFUNCTION("""COMPUTED_VALUE"""),"Retail Sales Revenue")</f>
        <v>Retail Sales Revenue</v>
      </c>
      <c r="G17" s="58" t="s">
        <v>584</v>
      </c>
      <c r="H17" s="60" t="str">
        <f t="shared" si="1"/>
        <v>OK</v>
      </c>
    </row>
    <row r="18">
      <c r="A18" s="19" t="str">
        <f>IFERROR(__xludf.DUMMYFUNCTION("""COMPUTED_VALUE"""),"VVV-2024-014")</f>
        <v>VVV-2024-014</v>
      </c>
      <c r="B18" s="48">
        <v>45310.0</v>
      </c>
      <c r="C18" s="39" t="s">
        <v>210</v>
      </c>
      <c r="D18" s="39">
        <f>IFERROR(__xludf.DUMMYFUNCTION("""COMPUTED_VALUE"""),1800.0)</f>
        <v>1800</v>
      </c>
      <c r="E18" s="58" t="str">
        <f>IFERROR(__xludf.DUMMYFUNCTION("""COMPUTED_VALUE"""),"Cost of Goods Sold")</f>
        <v>Cost of Goods Sold</v>
      </c>
      <c r="F18" s="58" t="str">
        <f>IFERROR(__xludf.DUMMYFUNCTION("""COMPUTED_VALUE"""),"Inventory")</f>
        <v>Inventory</v>
      </c>
      <c r="G18" s="59"/>
      <c r="H18" s="60" t="str">
        <f t="shared" si="1"/>
        <v>OK</v>
      </c>
    </row>
    <row r="19">
      <c r="A19" s="19" t="str">
        <f>IFERROR(__xludf.DUMMYFUNCTION("""COMPUTED_VALUE"""),"VVV-2024-015")</f>
        <v>VVV-2024-015</v>
      </c>
      <c r="B19" s="48">
        <v>45315.0</v>
      </c>
      <c r="C19" s="39" t="s">
        <v>215</v>
      </c>
      <c r="D19" s="39">
        <f>IFERROR(__xludf.DUMMYFUNCTION("""COMPUTED_VALUE"""),7200.0)</f>
        <v>7200</v>
      </c>
      <c r="E19" s="58" t="str">
        <f>IFERROR(__xludf.DUMMYFUNCTION("""COMPUTED_VALUE"""),"Wages Expense")</f>
        <v>Wages Expense</v>
      </c>
      <c r="F19" s="59" t="str">
        <f>IFERROR(__xludf.DUMMYFUNCTION("""COMPUTED_VALUE"""),"Cash")</f>
        <v>Cash</v>
      </c>
      <c r="G19" s="58" t="s">
        <v>607</v>
      </c>
      <c r="H19" s="60" t="str">
        <f t="shared" si="1"/>
        <v>OK</v>
      </c>
    </row>
    <row r="20">
      <c r="A20" s="19" t="str">
        <f>IFERROR(__xludf.DUMMYFUNCTION("""COMPUTED_VALUE"""),"VVV-2024-016")</f>
        <v>VVV-2024-016</v>
      </c>
      <c r="B20" s="48">
        <v>45322.0</v>
      </c>
      <c r="C20" s="39" t="s">
        <v>221</v>
      </c>
      <c r="D20" s="39">
        <f>IFERROR(__xludf.DUMMYFUNCTION("""COMPUTED_VALUE"""),694.0)</f>
        <v>694</v>
      </c>
      <c r="E20" s="58" t="str">
        <f>IFERROR(__xludf.DUMMYFUNCTION("""COMPUTED_VALUE"""),"Utilities Expense")</f>
        <v>Utilities Expense</v>
      </c>
      <c r="F20" s="58" t="str">
        <f>IFERROR(__xludf.DUMMYFUNCTION("""COMPUTED_VALUE"""),"Cash")</f>
        <v>Cash</v>
      </c>
      <c r="G20" s="59"/>
      <c r="H20" s="60" t="str">
        <f t="shared" si="1"/>
        <v>OK</v>
      </c>
    </row>
    <row r="21">
      <c r="A21" s="19" t="str">
        <f>IFERROR(__xludf.DUMMYFUNCTION("""COMPUTED_VALUE"""),"VVV-2024-017")</f>
        <v>VVV-2024-017</v>
      </c>
      <c r="B21" s="48">
        <v>45323.0</v>
      </c>
      <c r="C21" s="39" t="s">
        <v>59</v>
      </c>
      <c r="D21" s="39">
        <f>IFERROR(__xludf.DUMMYFUNCTION("""COMPUTED_VALUE"""),5400.0)</f>
        <v>5400</v>
      </c>
      <c r="E21" s="58" t="str">
        <f>IFERROR(__xludf.DUMMYFUNCTION("""COMPUTED_VALUE"""),"Rent Expense")</f>
        <v>Rent Expense</v>
      </c>
      <c r="F21" s="59" t="str">
        <f>IFERROR(__xludf.DUMMYFUNCTION("""COMPUTED_VALUE"""),"Cash")</f>
        <v>Cash</v>
      </c>
      <c r="G21" s="58" t="s">
        <v>632</v>
      </c>
      <c r="H21" s="60" t="str">
        <f t="shared" si="1"/>
        <v>OK</v>
      </c>
    </row>
    <row r="22">
      <c r="A22" s="19" t="str">
        <f>IFERROR(__xludf.DUMMYFUNCTION("""COMPUTED_VALUE"""),"VVV-2024-018")</f>
        <v>VVV-2024-018</v>
      </c>
      <c r="B22" s="48">
        <v>45327.0</v>
      </c>
      <c r="C22" s="39" t="s">
        <v>232</v>
      </c>
      <c r="D22" s="39">
        <f>IFERROR(__xludf.DUMMYFUNCTION("""COMPUTED_VALUE"""),5000.0)</f>
        <v>5000</v>
      </c>
      <c r="E22" s="58" t="str">
        <f>IFERROR(__xludf.DUMMYFUNCTION("""COMPUTED_VALUE"""),"Accounts Payable")</f>
        <v>Accounts Payable</v>
      </c>
      <c r="F22" s="58" t="str">
        <f>IFERROR(__xludf.DUMMYFUNCTION("""COMPUTED_VALUE"""),"Cash")</f>
        <v>Cash</v>
      </c>
      <c r="G22" s="58" t="s">
        <v>639</v>
      </c>
      <c r="H22" s="60" t="str">
        <f t="shared" si="1"/>
        <v>OK</v>
      </c>
    </row>
    <row r="23">
      <c r="A23" s="19" t="str">
        <f>IFERROR(__xludf.DUMMYFUNCTION("""COMPUTED_VALUE"""),"VVV-2024-019")</f>
        <v>VVV-2024-019</v>
      </c>
      <c r="B23" s="48">
        <v>45328.0</v>
      </c>
      <c r="C23" s="39" t="s">
        <v>117</v>
      </c>
      <c r="D23" s="39">
        <f>IFERROR(__xludf.DUMMYFUNCTION("""COMPUTED_VALUE"""),600.0)</f>
        <v>600</v>
      </c>
      <c r="E23" s="58" t="str">
        <f>IFERROR(__xludf.DUMMYFUNCTION("""COMPUTED_VALUE"""),"Insurance Expense")</f>
        <v>Insurance Expense</v>
      </c>
      <c r="F23" s="59" t="str">
        <f>IFERROR(__xludf.DUMMYFUNCTION("""COMPUTED_VALUE"""),"Cash")</f>
        <v>Cash</v>
      </c>
      <c r="G23" s="58"/>
      <c r="H23" s="60" t="str">
        <f t="shared" si="1"/>
        <v>OK</v>
      </c>
    </row>
    <row r="24">
      <c r="A24" s="19" t="str">
        <f>IFERROR(__xludf.DUMMYFUNCTION("""COMPUTED_VALUE"""),"VVV-2024-020")</f>
        <v>VVV-2024-020</v>
      </c>
      <c r="B24" s="48">
        <v>45334.0</v>
      </c>
      <c r="C24" s="39" t="s">
        <v>180</v>
      </c>
      <c r="D24" s="39">
        <f>IFERROR(__xludf.DUMMYFUNCTION("""COMPUTED_VALUE"""),5500.0)</f>
        <v>5500</v>
      </c>
      <c r="E24" s="58" t="str">
        <f>IFERROR(__xludf.DUMMYFUNCTION("""COMPUTED_VALUE"""),"Cash")</f>
        <v>Cash</v>
      </c>
      <c r="F24" s="58" t="str">
        <f>IFERROR(__xludf.DUMMYFUNCTION("""COMPUTED_VALUE"""),"Equipment Rental Revenue")</f>
        <v>Equipment Rental Revenue</v>
      </c>
      <c r="G24" s="59"/>
      <c r="H24" s="60" t="str">
        <f t="shared" si="1"/>
        <v>OK</v>
      </c>
    </row>
    <row r="25">
      <c r="A25" s="19" t="str">
        <f>IFERROR(__xludf.DUMMYFUNCTION("""COMPUTED_VALUE"""),"VVV-2024-021")</f>
        <v>VVV-2024-021</v>
      </c>
      <c r="B25" s="48">
        <v>45335.0</v>
      </c>
      <c r="C25" s="39" t="s">
        <v>246</v>
      </c>
      <c r="D25" s="39">
        <f>IFERROR(__xludf.DUMMYFUNCTION("""COMPUTED_VALUE"""),4000.0)</f>
        <v>4000</v>
      </c>
      <c r="E25" s="58" t="str">
        <f>IFERROR(__xludf.DUMMYFUNCTION("""COMPUTED_VALUE"""),"Cash")</f>
        <v>Cash</v>
      </c>
      <c r="F25" s="59" t="str">
        <f>IFERROR(__xludf.DUMMYFUNCTION("""COMPUTED_VALUE"""),"Unearned Revenue")</f>
        <v>Unearned Revenue</v>
      </c>
      <c r="G25" s="58" t="s">
        <v>640</v>
      </c>
      <c r="H25" s="60" t="str">
        <f t="shared" si="1"/>
        <v>OK</v>
      </c>
    </row>
    <row r="26">
      <c r="A26" s="19" t="str">
        <f>IFERROR(__xludf.DUMMYFUNCTION("""COMPUTED_VALUE"""),"VVV-2024-022")</f>
        <v>VVV-2024-022</v>
      </c>
      <c r="B26" s="48">
        <v>45337.0</v>
      </c>
      <c r="C26" s="39" t="s">
        <v>252</v>
      </c>
      <c r="D26" s="39">
        <f>IFERROR(__xludf.DUMMYFUNCTION("""COMPUTED_VALUE"""),6000.0)</f>
        <v>6000</v>
      </c>
      <c r="E26" s="58" t="str">
        <f>IFERROR(__xludf.DUMMYFUNCTION("""COMPUTED_VALUE"""),"Inventory")</f>
        <v>Inventory</v>
      </c>
      <c r="F26" s="58" t="str">
        <f>IFERROR(__xludf.DUMMYFUNCTION("""COMPUTED_VALUE"""),"Accounts Payable")</f>
        <v>Accounts Payable</v>
      </c>
      <c r="G26" s="58" t="s">
        <v>641</v>
      </c>
      <c r="H26" s="60" t="str">
        <f t="shared" si="1"/>
        <v>OK</v>
      </c>
    </row>
    <row r="27">
      <c r="A27" s="19" t="str">
        <f>IFERROR(__xludf.DUMMYFUNCTION("""COMPUTED_VALUE"""),"VVV-2024-023")</f>
        <v>VVV-2024-023</v>
      </c>
      <c r="B27" s="48">
        <v>45340.0</v>
      </c>
      <c r="C27" s="39" t="s">
        <v>210</v>
      </c>
      <c r="D27" s="39">
        <f>IFERROR(__xludf.DUMMYFUNCTION("""COMPUTED_VALUE"""),4000.0)</f>
        <v>4000</v>
      </c>
      <c r="E27" s="58" t="str">
        <f>IFERROR(__xludf.DUMMYFUNCTION("""COMPUTED_VALUE"""),"Cash")</f>
        <v>Cash</v>
      </c>
      <c r="F27" s="59" t="str">
        <f>IFERROR(__xludf.DUMMYFUNCTION("""COMPUTED_VALUE"""),"Retail Sales Revenue")</f>
        <v>Retail Sales Revenue</v>
      </c>
      <c r="G27" s="58"/>
      <c r="H27" s="60" t="str">
        <f t="shared" si="1"/>
        <v>OK</v>
      </c>
    </row>
    <row r="28">
      <c r="A28" s="19" t="str">
        <f>IFERROR(__xludf.DUMMYFUNCTION("""COMPUTED_VALUE"""),"VVV-2024-023")</f>
        <v>VVV-2024-023</v>
      </c>
      <c r="B28" s="48">
        <v>45340.0</v>
      </c>
      <c r="C28" s="39" t="s">
        <v>210</v>
      </c>
      <c r="D28" s="39">
        <f>IFERROR(__xludf.DUMMYFUNCTION("""COMPUTED_VALUE"""),2400.0)</f>
        <v>2400</v>
      </c>
      <c r="E28" s="58" t="str">
        <f>IFERROR(__xludf.DUMMYFUNCTION("""COMPUTED_VALUE"""),"Cost of Goods Sold")</f>
        <v>Cost of Goods Sold</v>
      </c>
      <c r="F28" s="58" t="str">
        <f>IFERROR(__xludf.DUMMYFUNCTION("""COMPUTED_VALUE"""),"Inventory")</f>
        <v>Inventory</v>
      </c>
      <c r="G28" s="59"/>
      <c r="H28" s="60" t="str">
        <f t="shared" si="1"/>
        <v>OK</v>
      </c>
    </row>
    <row r="29">
      <c r="A29" s="19" t="str">
        <f>IFERROR(__xludf.DUMMYFUNCTION("""COMPUTED_VALUE"""),"VVV-2024-024")</f>
        <v>VVV-2024-024</v>
      </c>
      <c r="B29" s="48">
        <v>45342.0</v>
      </c>
      <c r="C29" s="39" t="s">
        <v>262</v>
      </c>
      <c r="D29" s="39">
        <f>IFERROR(__xludf.DUMMYFUNCTION("""COMPUTED_VALUE"""),3500.0)</f>
        <v>3500</v>
      </c>
      <c r="E29" s="58" t="str">
        <f>IFERROR(__xludf.DUMMYFUNCTION("""COMPUTED_VALUE"""),"Cash")</f>
        <v>Cash</v>
      </c>
      <c r="F29" s="59" t="str">
        <f>IFERROR(__xludf.DUMMYFUNCTION("""COMPUTED_VALUE"""),"Tour Revenue")</f>
        <v>Tour Revenue</v>
      </c>
      <c r="G29" s="58"/>
      <c r="H29" s="60" t="str">
        <f t="shared" si="1"/>
        <v>OK</v>
      </c>
    </row>
    <row r="30">
      <c r="A30" s="19" t="str">
        <f>IFERROR(__xludf.DUMMYFUNCTION("""COMPUTED_VALUE"""),"VVV-2024-025")</f>
        <v>VVV-2024-025</v>
      </c>
      <c r="B30" s="48">
        <v>45346.0</v>
      </c>
      <c r="C30" s="39" t="s">
        <v>215</v>
      </c>
      <c r="D30" s="39">
        <f>IFERROR(__xludf.DUMMYFUNCTION("""COMPUTED_VALUE"""),8200.0)</f>
        <v>8200</v>
      </c>
      <c r="E30" s="58" t="str">
        <f>IFERROR(__xludf.DUMMYFUNCTION("""COMPUTED_VALUE"""),"Wages Expense")</f>
        <v>Wages Expense</v>
      </c>
      <c r="F30" s="58" t="str">
        <f>IFERROR(__xludf.DUMMYFUNCTION("""COMPUTED_VALUE"""),"Cash")</f>
        <v>Cash</v>
      </c>
      <c r="G30" s="58" t="s">
        <v>607</v>
      </c>
      <c r="H30" s="60" t="str">
        <f t="shared" si="1"/>
        <v>OK</v>
      </c>
    </row>
    <row r="31">
      <c r="A31" s="19" t="str">
        <f>IFERROR(__xludf.DUMMYFUNCTION("""COMPUTED_VALUE"""),"VVV-2024-026")</f>
        <v>VVV-2024-026</v>
      </c>
      <c r="B31" s="48">
        <v>45351.0</v>
      </c>
      <c r="C31" s="39" t="s">
        <v>221</v>
      </c>
      <c r="D31" s="39">
        <f>IFERROR(__xludf.DUMMYFUNCTION("""COMPUTED_VALUE"""),754.0)</f>
        <v>754</v>
      </c>
      <c r="E31" s="58" t="str">
        <f>IFERROR(__xludf.DUMMYFUNCTION("""COMPUTED_VALUE"""),"Utilities Expense")</f>
        <v>Utilities Expense</v>
      </c>
      <c r="F31" s="58" t="str">
        <f>IFERROR(__xludf.DUMMYFUNCTION("""COMPUTED_VALUE"""),"Cash")</f>
        <v>Cash</v>
      </c>
      <c r="G31" s="58" t="s">
        <v>646</v>
      </c>
      <c r="H31" s="60" t="str">
        <f t="shared" si="1"/>
        <v>OK</v>
      </c>
    </row>
    <row r="32">
      <c r="A32" s="19" t="str">
        <f>IFERROR(__xludf.DUMMYFUNCTION("""COMPUTED_VALUE"""),"VVV-2024-027")</f>
        <v>VVV-2024-027</v>
      </c>
      <c r="B32" s="48">
        <v>45352.0</v>
      </c>
      <c r="C32" s="39" t="s">
        <v>59</v>
      </c>
      <c r="D32" s="39">
        <f>IFERROR(__xludf.DUMMYFUNCTION("""COMPUTED_VALUE"""),5400.0)</f>
        <v>5400</v>
      </c>
      <c r="E32" s="58" t="str">
        <f>IFERROR(__xludf.DUMMYFUNCTION("""COMPUTED_VALUE"""),"Rent Expense")</f>
        <v>Rent Expense</v>
      </c>
      <c r="F32" s="59" t="str">
        <f>IFERROR(__xludf.DUMMYFUNCTION("""COMPUTED_VALUE"""),"Cash")</f>
        <v>Cash</v>
      </c>
      <c r="G32" s="58"/>
      <c r="H32" s="60" t="str">
        <f t="shared" si="1"/>
        <v>OK</v>
      </c>
    </row>
    <row r="33">
      <c r="A33" s="19" t="str">
        <f>IFERROR(__xludf.DUMMYFUNCTION("""COMPUTED_VALUE"""),"VVV-2024-028")</f>
        <v>VVV-2024-028</v>
      </c>
      <c r="B33" s="48">
        <v>45357.0</v>
      </c>
      <c r="C33" s="39" t="s">
        <v>117</v>
      </c>
      <c r="D33" s="39">
        <f>IFERROR(__xludf.DUMMYFUNCTION("""COMPUTED_VALUE"""),600.0)</f>
        <v>600</v>
      </c>
      <c r="E33" s="58" t="str">
        <f>IFERROR(__xludf.DUMMYFUNCTION("""COMPUTED_VALUE"""),"Insurance Expense")</f>
        <v>Insurance Expense</v>
      </c>
      <c r="F33" s="59" t="str">
        <f>IFERROR(__xludf.DUMMYFUNCTION("""COMPUTED_VALUE"""),"Cash")</f>
        <v>Cash</v>
      </c>
      <c r="G33" s="58"/>
      <c r="H33" s="60" t="str">
        <f t="shared" si="1"/>
        <v>OK</v>
      </c>
    </row>
    <row r="34">
      <c r="A34" s="19" t="str">
        <f>IFERROR(__xludf.DUMMYFUNCTION("""COMPUTED_VALUE"""),"VVV-2024-029")</f>
        <v>VVV-2024-029</v>
      </c>
      <c r="B34" s="48">
        <v>45357.0</v>
      </c>
      <c r="C34" s="39" t="s">
        <v>281</v>
      </c>
      <c r="D34" s="39">
        <f>IFERROR(__xludf.DUMMYFUNCTION("""COMPUTED_VALUE"""),4000.0)</f>
        <v>4000</v>
      </c>
      <c r="E34" s="58" t="str">
        <f>IFERROR(__xludf.DUMMYFUNCTION("""COMPUTED_VALUE"""),"Accounts Payable")</f>
        <v>Accounts Payable</v>
      </c>
      <c r="F34" s="58" t="str">
        <f>IFERROR(__xludf.DUMMYFUNCTION("""COMPUTED_VALUE"""),"Cash")</f>
        <v>Cash</v>
      </c>
      <c r="G34" s="59"/>
      <c r="H34" s="60" t="str">
        <f t="shared" si="1"/>
        <v>OK</v>
      </c>
    </row>
    <row r="35">
      <c r="A35" s="19" t="str">
        <f>IFERROR(__xludf.DUMMYFUNCTION("""COMPUTED_VALUE"""),"VVV-2024-030")</f>
        <v>VVV-2024-030</v>
      </c>
      <c r="B35" s="48">
        <v>45363.0</v>
      </c>
      <c r="C35" s="39" t="s">
        <v>180</v>
      </c>
      <c r="D35" s="39">
        <f>IFERROR(__xludf.DUMMYFUNCTION("""COMPUTED_VALUE"""),7500.0)</f>
        <v>7500</v>
      </c>
      <c r="E35" s="58" t="str">
        <f>IFERROR(__xludf.DUMMYFUNCTION("""COMPUTED_VALUE"""),"Cash")</f>
        <v>Cash</v>
      </c>
      <c r="F35" s="58" t="str">
        <f>IFERROR(__xludf.DUMMYFUNCTION("""COMPUTED_VALUE"""),"Equipment Rental Revenue")</f>
        <v>Equipment Rental Revenue</v>
      </c>
      <c r="G35" s="58"/>
      <c r="H35" s="60" t="str">
        <f t="shared" si="1"/>
        <v>OK</v>
      </c>
    </row>
    <row r="36">
      <c r="A36" s="19" t="str">
        <f>IFERROR(__xludf.DUMMYFUNCTION("""COMPUTED_VALUE"""),"VVV-2024-031")</f>
        <v>VVV-2024-031</v>
      </c>
      <c r="B36" s="48">
        <v>45369.0</v>
      </c>
      <c r="C36" s="39" t="s">
        <v>210</v>
      </c>
      <c r="D36" s="39">
        <f>IFERROR(__xludf.DUMMYFUNCTION("""COMPUTED_VALUE"""),5000.0)</f>
        <v>5000</v>
      </c>
      <c r="E36" s="58" t="str">
        <f>IFERROR(__xludf.DUMMYFUNCTION("""COMPUTED_VALUE"""),"Cash")</f>
        <v>Cash</v>
      </c>
      <c r="F36" s="58" t="str">
        <f>IFERROR(__xludf.DUMMYFUNCTION("""COMPUTED_VALUE"""),"Retail Sales Revenue")</f>
        <v>Retail Sales Revenue</v>
      </c>
      <c r="G36" s="58"/>
      <c r="H36" s="60" t="str">
        <f t="shared" si="1"/>
        <v>OK</v>
      </c>
    </row>
    <row r="37">
      <c r="A37" s="19" t="str">
        <f>IFERROR(__xludf.DUMMYFUNCTION("""COMPUTED_VALUE"""),"VVV-2024-031")</f>
        <v>VVV-2024-031</v>
      </c>
      <c r="B37" s="48">
        <v>45369.0</v>
      </c>
      <c r="C37" s="39" t="s">
        <v>210</v>
      </c>
      <c r="D37" s="39">
        <f>IFERROR(__xludf.DUMMYFUNCTION("""COMPUTED_VALUE"""),3000.0)</f>
        <v>3000</v>
      </c>
      <c r="E37" s="58" t="str">
        <f>IFERROR(__xludf.DUMMYFUNCTION("""COMPUTED_VALUE"""),"Cost of Goods Sold")</f>
        <v>Cost of Goods Sold</v>
      </c>
      <c r="F37" s="58" t="str">
        <f>IFERROR(__xludf.DUMMYFUNCTION("""COMPUTED_VALUE"""),"Inventory")</f>
        <v>Inventory</v>
      </c>
      <c r="G37" s="58"/>
      <c r="H37" s="60" t="str">
        <f t="shared" si="1"/>
        <v>OK</v>
      </c>
    </row>
    <row r="38">
      <c r="A38" s="19" t="str">
        <f>IFERROR(__xludf.DUMMYFUNCTION("""COMPUTED_VALUE"""),"VVV-2024-032")</f>
        <v>VVV-2024-032</v>
      </c>
      <c r="B38" s="48">
        <v>45369.0</v>
      </c>
      <c r="C38" s="39" t="s">
        <v>292</v>
      </c>
      <c r="D38" s="39">
        <f>IFERROR(__xludf.DUMMYFUNCTION("""COMPUTED_VALUE"""),2800.0)</f>
        <v>2800</v>
      </c>
      <c r="E38" s="58" t="str">
        <f>IFERROR(__xludf.DUMMYFUNCTION("""COMPUTED_VALUE"""),"Repairs and Maintenance Expense")</f>
        <v>Repairs and Maintenance Expense</v>
      </c>
      <c r="F38" s="58" t="str">
        <f>IFERROR(__xludf.DUMMYFUNCTION("""COMPUTED_VALUE"""),"Cash")</f>
        <v>Cash</v>
      </c>
      <c r="G38" s="58" t="s">
        <v>647</v>
      </c>
      <c r="H38" s="60" t="str">
        <f t="shared" si="1"/>
        <v>OK</v>
      </c>
    </row>
    <row r="39">
      <c r="A39" s="19" t="str">
        <f>IFERROR(__xludf.DUMMYFUNCTION("""COMPUTED_VALUE"""),"VVV-2024-032")</f>
        <v>VVV-2024-032</v>
      </c>
      <c r="B39" s="48">
        <v>45369.0</v>
      </c>
      <c r="C39" s="39" t="s">
        <v>292</v>
      </c>
      <c r="D39" s="39">
        <f>IFERROR(__xludf.DUMMYFUNCTION("""COMPUTED_VALUE"""),600.0)</f>
        <v>600</v>
      </c>
      <c r="E39" s="58" t="str">
        <f>IFERROR(__xludf.DUMMYFUNCTION("""COMPUTED_VALUE"""),"School Group Expense")</f>
        <v>School Group Expense</v>
      </c>
      <c r="F39" s="58" t="str">
        <f>IFERROR(__xludf.DUMMYFUNCTION("""COMPUTED_VALUE"""),"Cash")</f>
        <v>Cash</v>
      </c>
      <c r="G39" s="58"/>
      <c r="H39" s="60" t="str">
        <f t="shared" si="1"/>
        <v>OK</v>
      </c>
    </row>
    <row r="40">
      <c r="A40" s="19" t="str">
        <f>IFERROR(__xludf.DUMMYFUNCTION("""COMPUTED_VALUE"""),"VVV-2024-033")</f>
        <v>VVV-2024-033</v>
      </c>
      <c r="B40" s="48">
        <v>45369.0</v>
      </c>
      <c r="C40" s="39" t="s">
        <v>292</v>
      </c>
      <c r="D40" s="39">
        <f>IFERROR(__xludf.DUMMYFUNCTION("""COMPUTED_VALUE"""),1800.0)</f>
        <v>1800</v>
      </c>
      <c r="E40" s="58" t="str">
        <f>IFERROR(__xludf.DUMMYFUNCTION("""COMPUTED_VALUE"""),"Repairs and Maintenance Expense")</f>
        <v>Repairs and Maintenance Expense</v>
      </c>
      <c r="F40" s="58" t="str">
        <f>IFERROR(__xludf.DUMMYFUNCTION("""COMPUTED_VALUE"""),"Cash")</f>
        <v>Cash</v>
      </c>
      <c r="G40" s="58" t="s">
        <v>648</v>
      </c>
      <c r="H40" s="60" t="str">
        <f t="shared" si="1"/>
        <v>OK</v>
      </c>
    </row>
    <row r="41">
      <c r="A41" s="19" t="str">
        <f>IFERROR(__xludf.DUMMYFUNCTION("""COMPUTED_VALUE"""),"VVV-2024-033")</f>
        <v>VVV-2024-033</v>
      </c>
      <c r="B41" s="48">
        <v>45369.0</v>
      </c>
      <c r="C41" s="39" t="s">
        <v>292</v>
      </c>
      <c r="D41" s="39">
        <f>IFERROR(__xludf.DUMMYFUNCTION("""COMPUTED_VALUE"""),650.0)</f>
        <v>650</v>
      </c>
      <c r="E41" s="58" t="str">
        <f>IFERROR(__xludf.DUMMYFUNCTION("""COMPUTED_VALUE"""),"School Group Expense")</f>
        <v>School Group Expense</v>
      </c>
      <c r="F41" s="58" t="str">
        <f>IFERROR(__xludf.DUMMYFUNCTION("""COMPUTED_VALUE"""),"Cash")</f>
        <v>Cash</v>
      </c>
      <c r="G41" s="58"/>
      <c r="H41" s="60" t="str">
        <f t="shared" si="1"/>
        <v>OK</v>
      </c>
    </row>
    <row r="42">
      <c r="A42" s="19" t="str">
        <f>IFERROR(__xludf.DUMMYFUNCTION("""COMPUTED_VALUE"""),"VVV-2024-034")</f>
        <v>VVV-2024-034</v>
      </c>
      <c r="B42" s="48">
        <v>45371.0</v>
      </c>
      <c r="C42" s="39" t="s">
        <v>303</v>
      </c>
      <c r="D42" s="39">
        <f>IFERROR(__xludf.DUMMYFUNCTION("""COMPUTED_VALUE"""),6000.0)</f>
        <v>6000</v>
      </c>
      <c r="E42" s="58" t="str">
        <f>IFERROR(__xludf.DUMMYFUNCTION("""COMPUTED_VALUE"""),"Accounts Receivable")</f>
        <v>Accounts Receivable</v>
      </c>
      <c r="F42" s="58" t="str">
        <f>IFERROR(__xludf.DUMMYFUNCTION("""COMPUTED_VALUE"""),"Tour Revenue")</f>
        <v>Tour Revenue</v>
      </c>
      <c r="G42" s="58" t="s">
        <v>649</v>
      </c>
      <c r="H42" s="60" t="str">
        <f t="shared" si="1"/>
        <v>OK</v>
      </c>
    </row>
    <row r="43">
      <c r="A43" s="19" t="str">
        <f>IFERROR(__xludf.DUMMYFUNCTION("""COMPUTED_VALUE"""),"VVV-2024-035")</f>
        <v>VVV-2024-035</v>
      </c>
      <c r="B43" s="48">
        <v>45375.0</v>
      </c>
      <c r="C43" s="39" t="s">
        <v>215</v>
      </c>
      <c r="D43" s="39">
        <f>IFERROR(__xludf.DUMMYFUNCTION("""COMPUTED_VALUE"""),9200.0)</f>
        <v>9200</v>
      </c>
      <c r="E43" s="58" t="str">
        <f>IFERROR(__xludf.DUMMYFUNCTION("""COMPUTED_VALUE"""),"Wages Expense")</f>
        <v>Wages Expense</v>
      </c>
      <c r="F43" s="58" t="str">
        <f>IFERROR(__xludf.DUMMYFUNCTION("""COMPUTED_VALUE"""),"Cash")</f>
        <v>Cash</v>
      </c>
      <c r="G43" s="58" t="s">
        <v>607</v>
      </c>
      <c r="H43" s="60" t="str">
        <f t="shared" si="1"/>
        <v>OK</v>
      </c>
    </row>
    <row r="44">
      <c r="A44" s="19" t="str">
        <f>IFERROR(__xludf.DUMMYFUNCTION("""COMPUTED_VALUE"""),"VVV-2024-036")</f>
        <v>VVV-2024-036</v>
      </c>
      <c r="B44" s="48">
        <v>45382.0</v>
      </c>
      <c r="C44" s="39" t="s">
        <v>221</v>
      </c>
      <c r="D44" s="39">
        <f>IFERROR(__xludf.DUMMYFUNCTION("""COMPUTED_VALUE"""),833.0)</f>
        <v>833</v>
      </c>
      <c r="E44" s="58" t="str">
        <f>IFERROR(__xludf.DUMMYFUNCTION("""COMPUTED_VALUE"""),"Utilities Expense")</f>
        <v>Utilities Expense</v>
      </c>
      <c r="F44" s="58" t="str">
        <f>IFERROR(__xludf.DUMMYFUNCTION("""COMPUTED_VALUE"""),"Cash")</f>
        <v>Cash</v>
      </c>
      <c r="G44" s="58"/>
      <c r="H44" s="60" t="str">
        <f t="shared" si="1"/>
        <v>OK</v>
      </c>
    </row>
    <row r="45">
      <c r="A45" s="19" t="str">
        <f>IFERROR(__xludf.DUMMYFUNCTION("""COMPUTED_VALUE"""),"VVV-2024-037")</f>
        <v>VVV-2024-037</v>
      </c>
      <c r="B45" s="48">
        <v>45383.0</v>
      </c>
      <c r="C45" s="39" t="s">
        <v>59</v>
      </c>
      <c r="D45" s="39">
        <f>IFERROR(__xludf.DUMMYFUNCTION("""COMPUTED_VALUE"""),5400.0)</f>
        <v>5400</v>
      </c>
      <c r="E45" s="58" t="str">
        <f>IFERROR(__xludf.DUMMYFUNCTION("""COMPUTED_VALUE"""),"Rent Expense")</f>
        <v>Rent Expense</v>
      </c>
      <c r="F45" s="58" t="str">
        <f>IFERROR(__xludf.DUMMYFUNCTION("""COMPUTED_VALUE"""),"Cash")</f>
        <v>Cash</v>
      </c>
      <c r="G45" s="58"/>
      <c r="H45" s="60" t="str">
        <f t="shared" si="1"/>
        <v>OK</v>
      </c>
    </row>
    <row r="46">
      <c r="A46" s="19" t="str">
        <f>IFERROR(__xludf.DUMMYFUNCTION("""COMPUTED_VALUE"""),"VVV-2024-038")</f>
        <v>VVV-2024-038</v>
      </c>
      <c r="B46" s="48">
        <v>45387.0</v>
      </c>
      <c r="C46" s="39" t="s">
        <v>326</v>
      </c>
      <c r="D46" s="39">
        <f>IFERROR(__xludf.DUMMYFUNCTION("""COMPUTED_VALUE"""),2000.0)</f>
        <v>2000</v>
      </c>
      <c r="E46" s="58" t="str">
        <f>IFERROR(__xludf.DUMMYFUNCTION("""COMPUTED_VALUE"""),"Repairs and Maintenance Expense")</f>
        <v>Repairs and Maintenance Expense</v>
      </c>
      <c r="F46" s="58" t="str">
        <f>IFERROR(__xludf.DUMMYFUNCTION("""COMPUTED_VALUE"""),"Cash")</f>
        <v>Cash</v>
      </c>
      <c r="G46" s="58"/>
      <c r="H46" s="60" t="str">
        <f t="shared" si="1"/>
        <v>OK</v>
      </c>
    </row>
    <row r="47">
      <c r="A47" s="19" t="str">
        <f>IFERROR(__xludf.DUMMYFUNCTION("""COMPUTED_VALUE"""),"VVV-2024-039")</f>
        <v>VVV-2024-039</v>
      </c>
      <c r="B47" s="48">
        <v>45388.0</v>
      </c>
      <c r="C47" s="39" t="s">
        <v>117</v>
      </c>
      <c r="D47" s="39">
        <f>IFERROR(__xludf.DUMMYFUNCTION("""COMPUTED_VALUE"""),600.0)</f>
        <v>600</v>
      </c>
      <c r="E47" s="58" t="str">
        <f>IFERROR(__xludf.DUMMYFUNCTION("""COMPUTED_VALUE"""),"Insurance Expense")</f>
        <v>Insurance Expense</v>
      </c>
      <c r="F47" s="58" t="str">
        <f>IFERROR(__xludf.DUMMYFUNCTION("""COMPUTED_VALUE"""),"Cash")</f>
        <v>Cash</v>
      </c>
      <c r="G47" s="58"/>
      <c r="H47" s="60" t="str">
        <f t="shared" si="1"/>
        <v>OK</v>
      </c>
    </row>
    <row r="48">
      <c r="A48" s="19" t="str">
        <f>IFERROR(__xludf.DUMMYFUNCTION("""COMPUTED_VALUE"""),"VVV-2024-040")</f>
        <v>VVV-2024-040</v>
      </c>
      <c r="B48" s="48">
        <v>45394.0</v>
      </c>
      <c r="C48" s="39" t="s">
        <v>180</v>
      </c>
      <c r="D48" s="39">
        <f>IFERROR(__xludf.DUMMYFUNCTION("""COMPUTED_VALUE"""),10000.0)</f>
        <v>10000</v>
      </c>
      <c r="E48" s="58" t="str">
        <f>IFERROR(__xludf.DUMMYFUNCTION("""COMPUTED_VALUE"""),"Cash")</f>
        <v>Cash</v>
      </c>
      <c r="F48" s="58" t="str">
        <f>IFERROR(__xludf.DUMMYFUNCTION("""COMPUTED_VALUE"""),"Equipment Rental Revenue")</f>
        <v>Equipment Rental Revenue</v>
      </c>
      <c r="G48" s="58"/>
      <c r="H48" s="60" t="str">
        <f t="shared" si="1"/>
        <v>OK</v>
      </c>
    </row>
    <row r="49">
      <c r="A49" s="19" t="str">
        <f>IFERROR(__xludf.DUMMYFUNCTION("""COMPUTED_VALUE"""),"VVV-2024-041")</f>
        <v>VVV-2024-041</v>
      </c>
      <c r="B49" s="48">
        <v>45397.0</v>
      </c>
      <c r="C49" s="39" t="s">
        <v>343</v>
      </c>
      <c r="D49" s="39">
        <f>IFERROR(__xludf.DUMMYFUNCTION("""COMPUTED_VALUE"""),8000.0)</f>
        <v>8000</v>
      </c>
      <c r="E49" s="58" t="str">
        <f>IFERROR(__xludf.DUMMYFUNCTION("""COMPUTED_VALUE"""),"Inventory")</f>
        <v>Inventory</v>
      </c>
      <c r="F49" s="58" t="str">
        <f>IFERROR(__xludf.DUMMYFUNCTION("""COMPUTED_VALUE"""),"Cash")</f>
        <v>Cash</v>
      </c>
      <c r="G49" s="58"/>
      <c r="H49" s="60" t="str">
        <f t="shared" si="1"/>
        <v>OK</v>
      </c>
    </row>
    <row r="50">
      <c r="A50" s="19" t="str">
        <f>IFERROR(__xludf.DUMMYFUNCTION("""COMPUTED_VALUE"""),"VVV-2024-042")</f>
        <v>VVV-2024-042</v>
      </c>
      <c r="B50" s="48">
        <v>45400.0</v>
      </c>
      <c r="C50" s="39" t="s">
        <v>210</v>
      </c>
      <c r="D50" s="39">
        <f>IFERROR(__xludf.DUMMYFUNCTION("""COMPUTED_VALUE"""),6500.0)</f>
        <v>6500</v>
      </c>
      <c r="E50" s="58" t="str">
        <f>IFERROR(__xludf.DUMMYFUNCTION("""COMPUTED_VALUE"""),"Cash")</f>
        <v>Cash</v>
      </c>
      <c r="F50" s="58" t="str">
        <f>IFERROR(__xludf.DUMMYFUNCTION("""COMPUTED_VALUE"""),"Retail Sales Revenue")</f>
        <v>Retail Sales Revenue</v>
      </c>
      <c r="G50" s="58"/>
      <c r="H50" s="60" t="str">
        <f t="shared" si="1"/>
        <v>OK</v>
      </c>
    </row>
    <row r="51">
      <c r="A51" s="19" t="str">
        <f>IFERROR(__xludf.DUMMYFUNCTION("""COMPUTED_VALUE"""),"VVV-2024-042")</f>
        <v>VVV-2024-042</v>
      </c>
      <c r="B51" s="48">
        <v>45400.0</v>
      </c>
      <c r="C51" s="39" t="s">
        <v>210</v>
      </c>
      <c r="D51" s="39">
        <f>IFERROR(__xludf.DUMMYFUNCTION("""COMPUTED_VALUE"""),3900.0)</f>
        <v>3900</v>
      </c>
      <c r="E51" s="58" t="str">
        <f>IFERROR(__xludf.DUMMYFUNCTION("""COMPUTED_VALUE"""),"Cost of Goods Sold")</f>
        <v>Cost of Goods Sold</v>
      </c>
      <c r="F51" s="58" t="str">
        <f>IFERROR(__xludf.DUMMYFUNCTION("""COMPUTED_VALUE"""),"Inventory")</f>
        <v>Inventory</v>
      </c>
      <c r="G51" s="59"/>
      <c r="H51" s="60" t="str">
        <f t="shared" si="1"/>
        <v>OK</v>
      </c>
    </row>
    <row r="52">
      <c r="A52" s="19" t="str">
        <f>IFERROR(__xludf.DUMMYFUNCTION("""COMPUTED_VALUE"""),"VVV-2024-043")</f>
        <v>VVV-2024-043</v>
      </c>
      <c r="B52" s="48">
        <v>45402.0</v>
      </c>
      <c r="C52" s="39" t="s">
        <v>262</v>
      </c>
      <c r="D52" s="39">
        <f>IFERROR(__xludf.DUMMYFUNCTION("""COMPUTED_VALUE"""),7000.0)</f>
        <v>7000</v>
      </c>
      <c r="E52" s="58" t="str">
        <f>IFERROR(__xludf.DUMMYFUNCTION("""COMPUTED_VALUE"""),"Cash")</f>
        <v>Cash</v>
      </c>
      <c r="F52" s="58" t="str">
        <f>IFERROR(__xludf.DUMMYFUNCTION("""COMPUTED_VALUE"""),"Tour Revenue")</f>
        <v>Tour Revenue</v>
      </c>
      <c r="G52" s="58"/>
      <c r="H52" s="60" t="str">
        <f t="shared" si="1"/>
        <v>OK</v>
      </c>
    </row>
    <row r="53">
      <c r="A53" s="19" t="str">
        <f>IFERROR(__xludf.DUMMYFUNCTION("""COMPUTED_VALUE"""),"VVV-2024-044")</f>
        <v>VVV-2024-044</v>
      </c>
      <c r="B53" s="48">
        <v>45404.0</v>
      </c>
      <c r="C53" s="39" t="s">
        <v>358</v>
      </c>
      <c r="D53" s="39">
        <f>IFERROR(__xludf.DUMMYFUNCTION("""COMPUTED_VALUE"""),1800.0)</f>
        <v>1800</v>
      </c>
      <c r="E53" s="58" t="str">
        <f>IFERROR(__xludf.DUMMYFUNCTION("""COMPUTED_VALUE"""),"Training Expense")</f>
        <v>Training Expense</v>
      </c>
      <c r="F53" s="59" t="str">
        <f>IFERROR(__xludf.DUMMYFUNCTION("""COMPUTED_VALUE"""),"Cash")</f>
        <v>Cash</v>
      </c>
      <c r="G53" s="58"/>
      <c r="H53" s="60" t="str">
        <f t="shared" si="1"/>
        <v>OK</v>
      </c>
    </row>
    <row r="54">
      <c r="A54" s="19" t="str">
        <f>IFERROR(__xludf.DUMMYFUNCTION("""COMPUTED_VALUE"""),"VVV-2024-045")</f>
        <v>VVV-2024-045</v>
      </c>
      <c r="B54" s="48">
        <v>45406.0</v>
      </c>
      <c r="C54" s="39" t="s">
        <v>215</v>
      </c>
      <c r="D54" s="39">
        <f>IFERROR(__xludf.DUMMYFUNCTION("""COMPUTED_VALUE"""),10200.0)</f>
        <v>10200</v>
      </c>
      <c r="E54" s="58" t="str">
        <f>IFERROR(__xludf.DUMMYFUNCTION("""COMPUTED_VALUE"""),"Wages Expense")</f>
        <v>Wages Expense</v>
      </c>
      <c r="F54" s="58" t="str">
        <f>IFERROR(__xludf.DUMMYFUNCTION("""COMPUTED_VALUE"""),"Cash")</f>
        <v>Cash</v>
      </c>
      <c r="G54" s="58" t="s">
        <v>607</v>
      </c>
      <c r="H54" s="60" t="str">
        <f t="shared" si="1"/>
        <v>OK</v>
      </c>
    </row>
    <row r="55">
      <c r="A55" s="19" t="str">
        <f>IFERROR(__xludf.DUMMYFUNCTION("""COMPUTED_VALUE"""),"VVV-2024-046")</f>
        <v>VVV-2024-046</v>
      </c>
      <c r="B55" s="48">
        <v>45407.0</v>
      </c>
      <c r="C55" s="39" t="s">
        <v>370</v>
      </c>
      <c r="D55" s="39">
        <f>IFERROR(__xludf.DUMMYFUNCTION("""COMPUTED_VALUE"""),3000.0)</f>
        <v>3000</v>
      </c>
      <c r="E55" s="58" t="str">
        <f>IFERROR(__xludf.DUMMYFUNCTION("""COMPUTED_VALUE"""),"Cash")</f>
        <v>Cash</v>
      </c>
      <c r="F55" s="58" t="str">
        <f>IFERROR(__xludf.DUMMYFUNCTION("""COMPUTED_VALUE"""),"Unearned Revenue")</f>
        <v>Unearned Revenue</v>
      </c>
      <c r="G55" s="58"/>
      <c r="H55" s="60" t="str">
        <f t="shared" si="1"/>
        <v>OK</v>
      </c>
    </row>
    <row r="56">
      <c r="A56" s="19" t="str">
        <f>IFERROR(__xludf.DUMMYFUNCTION("""COMPUTED_VALUE"""),"VVV-2024-047")</f>
        <v>VVV-2024-047</v>
      </c>
      <c r="B56" s="48">
        <v>45412.0</v>
      </c>
      <c r="C56" s="39" t="s">
        <v>221</v>
      </c>
      <c r="D56" s="39">
        <f>IFERROR(__xludf.DUMMYFUNCTION("""COMPUTED_VALUE"""),898.0)</f>
        <v>898</v>
      </c>
      <c r="E56" s="58" t="str">
        <f>IFERROR(__xludf.DUMMYFUNCTION("""COMPUTED_VALUE"""),"Utilities Expense")</f>
        <v>Utilities Expense</v>
      </c>
      <c r="F56" s="58" t="str">
        <f>IFERROR(__xludf.DUMMYFUNCTION("""COMPUTED_VALUE"""),"Cash")</f>
        <v>Cash</v>
      </c>
      <c r="G56" s="58"/>
      <c r="H56" s="60" t="str">
        <f t="shared" si="1"/>
        <v>OK</v>
      </c>
    </row>
    <row r="57">
      <c r="A57" s="19" t="str">
        <f>IFERROR(__xludf.DUMMYFUNCTION("""COMPUTED_VALUE"""),"VVV-2024-048")</f>
        <v>VVV-2024-048</v>
      </c>
      <c r="B57" s="48">
        <v>45413.0</v>
      </c>
      <c r="C57" s="39" t="s">
        <v>59</v>
      </c>
      <c r="D57" s="39">
        <f>IFERROR(__xludf.DUMMYFUNCTION("""COMPUTED_VALUE"""),5400.0)</f>
        <v>5400</v>
      </c>
      <c r="E57" s="58" t="str">
        <f>IFERROR(__xludf.DUMMYFUNCTION("""COMPUTED_VALUE"""),"Rent Expense")</f>
        <v>Rent Expense</v>
      </c>
      <c r="F57" s="58" t="str">
        <f>IFERROR(__xludf.DUMMYFUNCTION("""COMPUTED_VALUE"""),"Cash")</f>
        <v>Cash</v>
      </c>
      <c r="G57" s="58"/>
      <c r="H57" s="60" t="str">
        <f t="shared" si="1"/>
        <v>OK</v>
      </c>
    </row>
    <row r="58">
      <c r="A58" s="19" t="str">
        <f>IFERROR(__xludf.DUMMYFUNCTION("""COMPUTED_VALUE"""),"VVV-2024-049")</f>
        <v>VVV-2024-049</v>
      </c>
      <c r="B58" s="48">
        <v>45417.0</v>
      </c>
      <c r="C58" s="39" t="s">
        <v>386</v>
      </c>
      <c r="D58" s="39">
        <f>IFERROR(__xludf.DUMMYFUNCTION("""COMPUTED_VALUE"""),4000.0)</f>
        <v>4000</v>
      </c>
      <c r="E58" s="58" t="str">
        <f>IFERROR(__xludf.DUMMYFUNCTION("""COMPUTED_VALUE"""),"Cash")</f>
        <v>Cash</v>
      </c>
      <c r="F58" s="58" t="str">
        <f>IFERROR(__xludf.DUMMYFUNCTION("""COMPUTED_VALUE"""),"Accounts Receivable")</f>
        <v>Accounts Receivable</v>
      </c>
      <c r="G58" s="59"/>
      <c r="H58" s="60" t="str">
        <f t="shared" si="1"/>
        <v>OK</v>
      </c>
    </row>
    <row r="59">
      <c r="A59" s="19" t="str">
        <f>IFERROR(__xludf.DUMMYFUNCTION("""COMPUTED_VALUE"""),"VVV-2024-050")</f>
        <v>VVV-2024-050</v>
      </c>
      <c r="B59" s="48">
        <v>45418.0</v>
      </c>
      <c r="C59" s="39" t="s">
        <v>117</v>
      </c>
      <c r="D59" s="39">
        <f>IFERROR(__xludf.DUMMYFUNCTION("""COMPUTED_VALUE"""),600.0)</f>
        <v>600</v>
      </c>
      <c r="E59" s="58" t="str">
        <f>IFERROR(__xludf.DUMMYFUNCTION("""COMPUTED_VALUE"""),"Insurance Expense")</f>
        <v>Insurance Expense</v>
      </c>
      <c r="F59" s="59" t="str">
        <f>IFERROR(__xludf.DUMMYFUNCTION("""COMPUTED_VALUE"""),"Cash")</f>
        <v>Cash</v>
      </c>
      <c r="G59" s="58"/>
      <c r="H59" s="60" t="str">
        <f t="shared" si="1"/>
        <v>OK</v>
      </c>
    </row>
    <row r="60">
      <c r="A60" s="19" t="str">
        <f>IFERROR(__xludf.DUMMYFUNCTION("""COMPUTED_VALUE"""),"VVV-2024-051")</f>
        <v>VVV-2024-051</v>
      </c>
      <c r="B60" s="48">
        <v>45424.0</v>
      </c>
      <c r="C60" s="39" t="s">
        <v>180</v>
      </c>
      <c r="D60" s="39">
        <f>IFERROR(__xludf.DUMMYFUNCTION("""COMPUTED_VALUE"""),13000.0)</f>
        <v>13000</v>
      </c>
      <c r="E60" s="58" t="str">
        <f>IFERROR(__xludf.DUMMYFUNCTION("""COMPUTED_VALUE"""),"Cash")</f>
        <v>Cash</v>
      </c>
      <c r="F60" s="58" t="str">
        <f>IFERROR(__xludf.DUMMYFUNCTION("""COMPUTED_VALUE"""),"Equipment Rental Revenue")</f>
        <v>Equipment Rental Revenue</v>
      </c>
      <c r="G60" s="59"/>
      <c r="H60" s="60" t="str">
        <f t="shared" si="1"/>
        <v>OK</v>
      </c>
    </row>
    <row r="61">
      <c r="A61" s="19" t="str">
        <f>IFERROR(__xludf.DUMMYFUNCTION("""COMPUTED_VALUE"""),"VVV-2024-052")</f>
        <v>VVV-2024-052</v>
      </c>
      <c r="B61" s="48">
        <v>45430.0</v>
      </c>
      <c r="C61" s="39" t="s">
        <v>210</v>
      </c>
      <c r="D61" s="39">
        <f>IFERROR(__xludf.DUMMYFUNCTION("""COMPUTED_VALUE"""),7760.0)</f>
        <v>7760</v>
      </c>
      <c r="E61" s="58" t="str">
        <f>IFERROR(__xludf.DUMMYFUNCTION("""COMPUTED_VALUE"""),"Cash")</f>
        <v>Cash</v>
      </c>
      <c r="F61" s="59" t="str">
        <f>IFERROR(__xludf.DUMMYFUNCTION("""COMPUTED_VALUE"""),"Retail Sales Revenue")</f>
        <v>Retail Sales Revenue</v>
      </c>
      <c r="G61" s="58" t="s">
        <v>650</v>
      </c>
      <c r="H61" s="60" t="str">
        <f t="shared" si="1"/>
        <v>OK</v>
      </c>
    </row>
    <row r="62">
      <c r="A62" s="19" t="str">
        <f>IFERROR(__xludf.DUMMYFUNCTION("""COMPUTED_VALUE"""),"VVV-2024-052")</f>
        <v>VVV-2024-052</v>
      </c>
      <c r="B62" s="48">
        <v>45430.0</v>
      </c>
      <c r="C62" s="39" t="s">
        <v>210</v>
      </c>
      <c r="D62" s="39">
        <f>IFERROR(__xludf.DUMMYFUNCTION("""COMPUTED_VALUE"""),240.0)</f>
        <v>240</v>
      </c>
      <c r="E62" s="58" t="str">
        <f>IFERROR(__xludf.DUMMYFUNCTION("""COMPUTED_VALUE"""),"Office and Admin Expense")</f>
        <v>Office and Admin Expense</v>
      </c>
      <c r="F62" s="58" t="str">
        <f>IFERROR(__xludf.DUMMYFUNCTION("""COMPUTED_VALUE"""),"Retail Sales Revenue")</f>
        <v>Retail Sales Revenue</v>
      </c>
      <c r="G62" s="59"/>
      <c r="H62" s="60" t="str">
        <f t="shared" si="1"/>
        <v>OK</v>
      </c>
    </row>
    <row r="63">
      <c r="A63" s="19" t="str">
        <f>IFERROR(__xludf.DUMMYFUNCTION("""COMPUTED_VALUE"""),"VVV-2024-052")</f>
        <v>VVV-2024-052</v>
      </c>
      <c r="B63" s="48">
        <v>45430.0</v>
      </c>
      <c r="C63" s="39" t="s">
        <v>210</v>
      </c>
      <c r="D63" s="39">
        <f>IFERROR(__xludf.DUMMYFUNCTION("""COMPUTED_VALUE"""),4800.0)</f>
        <v>4800</v>
      </c>
      <c r="E63" s="58" t="str">
        <f>IFERROR(__xludf.DUMMYFUNCTION("""COMPUTED_VALUE"""),"Cost of Goods Sold")</f>
        <v>Cost of Goods Sold</v>
      </c>
      <c r="F63" s="59" t="str">
        <f>IFERROR(__xludf.DUMMYFUNCTION("""COMPUTED_VALUE"""),"Inventory")</f>
        <v>Inventory</v>
      </c>
      <c r="G63" s="58"/>
      <c r="H63" s="60" t="str">
        <f t="shared" si="1"/>
        <v>OK</v>
      </c>
    </row>
    <row r="64">
      <c r="A64" s="19" t="str">
        <f>IFERROR(__xludf.DUMMYFUNCTION("""COMPUTED_VALUE"""),"VVV-2024-053")</f>
        <v>VVV-2024-053</v>
      </c>
      <c r="B64" s="48">
        <v>45432.0</v>
      </c>
      <c r="C64" s="39" t="s">
        <v>406</v>
      </c>
      <c r="D64" s="39">
        <f>IFERROR(__xludf.DUMMYFUNCTION("""COMPUTED_VALUE"""),4000.0)</f>
        <v>4000</v>
      </c>
      <c r="E64" s="58" t="str">
        <f>IFERROR(__xludf.DUMMYFUNCTION("""COMPUTED_VALUE"""),"Unearned Revenue")</f>
        <v>Unearned Revenue</v>
      </c>
      <c r="F64" s="58" t="str">
        <f>IFERROR(__xludf.DUMMYFUNCTION("""COMPUTED_VALUE"""),"Tour Revenue")</f>
        <v>Tour Revenue</v>
      </c>
      <c r="G64" s="58" t="s">
        <v>651</v>
      </c>
      <c r="H64" s="60" t="str">
        <f t="shared" si="1"/>
        <v>OK</v>
      </c>
    </row>
    <row r="65">
      <c r="A65" s="19" t="str">
        <f>IFERROR(__xludf.DUMMYFUNCTION("""COMPUTED_VALUE"""),"VVV-2024-053")</f>
        <v>VVV-2024-053</v>
      </c>
      <c r="B65" s="48">
        <v>45432.0</v>
      </c>
      <c r="C65" s="39" t="s">
        <v>406</v>
      </c>
      <c r="D65" s="39">
        <f>IFERROR(__xludf.DUMMYFUNCTION("""COMPUTED_VALUE"""),5000.0)</f>
        <v>5000</v>
      </c>
      <c r="E65" s="58" t="str">
        <f>IFERROR(__xludf.DUMMYFUNCTION("""COMPUTED_VALUE"""),"Accounts Receivable")</f>
        <v>Accounts Receivable</v>
      </c>
      <c r="F65" s="59" t="str">
        <f>IFERROR(__xludf.DUMMYFUNCTION("""COMPUTED_VALUE"""),"Tour Revenue")</f>
        <v>Tour Revenue</v>
      </c>
      <c r="G65" s="58"/>
      <c r="H65" s="60" t="str">
        <f t="shared" si="1"/>
        <v>OK</v>
      </c>
    </row>
    <row r="66">
      <c r="A66" s="19" t="str">
        <f>IFERROR(__xludf.DUMMYFUNCTION("""COMPUTED_VALUE"""),"VVV-2024-054")</f>
        <v>VVV-2024-054</v>
      </c>
      <c r="B66" s="48">
        <v>45436.0</v>
      </c>
      <c r="C66" s="39" t="s">
        <v>215</v>
      </c>
      <c r="D66" s="39">
        <f>IFERROR(__xludf.DUMMYFUNCTION("""COMPUTED_VALUE"""),11240.0)</f>
        <v>11240</v>
      </c>
      <c r="E66" s="58" t="str">
        <f>IFERROR(__xludf.DUMMYFUNCTION("""COMPUTED_VALUE"""),"Wages Expense")</f>
        <v>Wages Expense</v>
      </c>
      <c r="F66" s="58" t="str">
        <f>IFERROR(__xludf.DUMMYFUNCTION("""COMPUTED_VALUE"""),"Cash")</f>
        <v>Cash</v>
      </c>
      <c r="G66" s="58" t="s">
        <v>607</v>
      </c>
      <c r="H66" s="60" t="str">
        <f t="shared" si="1"/>
        <v>OK</v>
      </c>
    </row>
    <row r="67">
      <c r="A67" s="19" t="str">
        <f>IFERROR(__xludf.DUMMYFUNCTION("""COMPUTED_VALUE"""),"VVV-2024-055")</f>
        <v>VVV-2024-055</v>
      </c>
      <c r="B67" s="48">
        <v>45437.0</v>
      </c>
      <c r="C67" s="39" t="s">
        <v>252</v>
      </c>
      <c r="D67" s="39">
        <f>IFERROR(__xludf.DUMMYFUNCTION("""COMPUTED_VALUE"""),9000.0)</f>
        <v>9000</v>
      </c>
      <c r="E67" s="58" t="str">
        <f>IFERROR(__xludf.DUMMYFUNCTION("""COMPUTED_VALUE"""),"Inventory")</f>
        <v>Inventory</v>
      </c>
      <c r="F67" s="59" t="str">
        <f>IFERROR(__xludf.DUMMYFUNCTION("""COMPUTED_VALUE"""),"Accounts Payable")</f>
        <v>Accounts Payable</v>
      </c>
      <c r="G67" s="58" t="s">
        <v>652</v>
      </c>
      <c r="H67" s="60" t="str">
        <f t="shared" si="1"/>
        <v>OK</v>
      </c>
    </row>
    <row r="68">
      <c r="A68" s="19" t="str">
        <f>IFERROR(__xludf.DUMMYFUNCTION("""COMPUTED_VALUE"""),"VVV-2024-056")</f>
        <v>VVV-2024-056</v>
      </c>
      <c r="B68" s="48">
        <v>45443.0</v>
      </c>
      <c r="C68" s="39" t="s">
        <v>221</v>
      </c>
      <c r="D68" s="39">
        <f>IFERROR(__xludf.DUMMYFUNCTION("""COMPUTED_VALUE"""),1048.0)</f>
        <v>1048</v>
      </c>
      <c r="E68" s="58" t="str">
        <f>IFERROR(__xludf.DUMMYFUNCTION("""COMPUTED_VALUE"""),"Utilities Expense")</f>
        <v>Utilities Expense</v>
      </c>
      <c r="F68" s="58" t="str">
        <f>IFERROR(__xludf.DUMMYFUNCTION("""COMPUTED_VALUE"""),"Cash")</f>
        <v>Cash</v>
      </c>
      <c r="G68" s="59"/>
      <c r="H68" s="60" t="str">
        <f t="shared" si="1"/>
        <v>OK</v>
      </c>
    </row>
    <row r="69">
      <c r="A69" s="19" t="str">
        <f>IFERROR(__xludf.DUMMYFUNCTION("""COMPUTED_VALUE"""),"VVV-2024-057")</f>
        <v>VVV-2024-057</v>
      </c>
      <c r="B69" s="48">
        <v>45443.0</v>
      </c>
      <c r="C69" s="39" t="s">
        <v>424</v>
      </c>
      <c r="D69" s="39">
        <f>IFERROR(__xludf.DUMMYFUNCTION("""COMPUTED_VALUE"""),2200.0)</f>
        <v>2200</v>
      </c>
      <c r="E69" s="58" t="str">
        <f>IFERROR(__xludf.DUMMYFUNCTION("""COMPUTED_VALUE"""),"Equipment")</f>
        <v>Equipment</v>
      </c>
      <c r="F69" s="58" t="str">
        <f>IFERROR(__xludf.DUMMYFUNCTION("""COMPUTED_VALUE"""),"Cash")</f>
        <v>Cash</v>
      </c>
      <c r="G69" s="58" t="s">
        <v>653</v>
      </c>
      <c r="H69" s="60" t="str">
        <f t="shared" si="1"/>
        <v>OK</v>
      </c>
    </row>
    <row r="70">
      <c r="A70" s="19" t="str">
        <f>IFERROR(__xludf.DUMMYFUNCTION("""COMPUTED_VALUE"""),"VVV-2024-058")</f>
        <v>VVV-2024-058</v>
      </c>
      <c r="B70" s="48">
        <v>45444.0</v>
      </c>
      <c r="C70" s="39" t="s">
        <v>59</v>
      </c>
      <c r="D70" s="39">
        <f>IFERROR(__xludf.DUMMYFUNCTION("""COMPUTED_VALUE"""),5400.0)</f>
        <v>5400</v>
      </c>
      <c r="E70" s="58" t="str">
        <f>IFERROR(__xludf.DUMMYFUNCTION("""COMPUTED_VALUE"""),"Rent Expense")</f>
        <v>Rent Expense</v>
      </c>
      <c r="F70" s="58" t="str">
        <f>IFERROR(__xludf.DUMMYFUNCTION("""COMPUTED_VALUE"""),"Cash")</f>
        <v>Cash</v>
      </c>
      <c r="G70" s="58"/>
      <c r="H70" s="60" t="str">
        <f t="shared" si="1"/>
        <v>OK</v>
      </c>
    </row>
    <row r="71">
      <c r="A71" s="19" t="str">
        <f>IFERROR(__xludf.DUMMYFUNCTION("""COMPUTED_VALUE"""),"VVV-2024-059")</f>
        <v>VVV-2024-059</v>
      </c>
      <c r="B71" s="48">
        <v>45448.0</v>
      </c>
      <c r="C71" s="39" t="s">
        <v>434</v>
      </c>
      <c r="D71" s="39">
        <f>IFERROR(__xludf.DUMMYFUNCTION("""COMPUTED_VALUE"""),3000.0)</f>
        <v>3000</v>
      </c>
      <c r="E71" s="58" t="str">
        <f>IFERROR(__xludf.DUMMYFUNCTION("""COMPUTED_VALUE"""),"Cash")</f>
        <v>Cash</v>
      </c>
      <c r="F71" s="58" t="str">
        <f>IFERROR(__xludf.DUMMYFUNCTION("""COMPUTED_VALUE"""),"Accounts Receivable")</f>
        <v>Accounts Receivable</v>
      </c>
      <c r="G71" s="58"/>
      <c r="H71" s="60" t="str">
        <f t="shared" si="1"/>
        <v>OK</v>
      </c>
    </row>
    <row r="72">
      <c r="A72" s="19" t="str">
        <f>IFERROR(__xludf.DUMMYFUNCTION("""COMPUTED_VALUE"""),"VVV-2024-060")</f>
        <v>VVV-2024-060</v>
      </c>
      <c r="B72" s="48">
        <v>45449.0</v>
      </c>
      <c r="C72" s="39" t="s">
        <v>117</v>
      </c>
      <c r="D72" s="39">
        <f>IFERROR(__xludf.DUMMYFUNCTION("""COMPUTED_VALUE"""),600.0)</f>
        <v>600</v>
      </c>
      <c r="E72" s="58" t="str">
        <f>IFERROR(__xludf.DUMMYFUNCTION("""COMPUTED_VALUE"""),"Insurance Expense")</f>
        <v>Insurance Expense</v>
      </c>
      <c r="F72" s="58" t="str">
        <f>IFERROR(__xludf.DUMMYFUNCTION("""COMPUTED_VALUE"""),"Cash")</f>
        <v>Cash</v>
      </c>
      <c r="G72" s="58"/>
      <c r="H72" s="60" t="str">
        <f t="shared" si="1"/>
        <v>OK</v>
      </c>
    </row>
    <row r="73">
      <c r="A73" s="19" t="str">
        <f>IFERROR(__xludf.DUMMYFUNCTION("""COMPUTED_VALUE"""),"VVV-2024-061")</f>
        <v>VVV-2024-061</v>
      </c>
      <c r="B73" s="48">
        <v>45449.0</v>
      </c>
      <c r="C73" s="39" t="s">
        <v>281</v>
      </c>
      <c r="D73" s="39">
        <f>IFERROR(__xludf.DUMMYFUNCTION("""COMPUTED_VALUE"""),3000.0)</f>
        <v>3000</v>
      </c>
      <c r="E73" s="58" t="str">
        <f>IFERROR(__xludf.DUMMYFUNCTION("""COMPUTED_VALUE"""),"Accounts Payable")</f>
        <v>Accounts Payable</v>
      </c>
      <c r="F73" s="58" t="str">
        <f>IFERROR(__xludf.DUMMYFUNCTION("""COMPUTED_VALUE"""),"Cash")</f>
        <v>Cash</v>
      </c>
      <c r="G73" s="58"/>
      <c r="H73" s="60" t="str">
        <f t="shared" si="1"/>
        <v>OK</v>
      </c>
    </row>
    <row r="74">
      <c r="A74" s="19" t="str">
        <f>IFERROR(__xludf.DUMMYFUNCTION("""COMPUTED_VALUE"""),"VVV-2024-062")</f>
        <v>VVV-2024-062</v>
      </c>
      <c r="B74" s="48">
        <v>45455.0</v>
      </c>
      <c r="C74" s="39" t="s">
        <v>180</v>
      </c>
      <c r="D74" s="39">
        <f>IFERROR(__xludf.DUMMYFUNCTION("""COMPUTED_VALUE"""),16000.0)</f>
        <v>16000</v>
      </c>
      <c r="E74" s="58" t="str">
        <f>IFERROR(__xludf.DUMMYFUNCTION("""COMPUTED_VALUE"""),"Cash")</f>
        <v>Cash</v>
      </c>
      <c r="F74" s="58" t="str">
        <f>IFERROR(__xludf.DUMMYFUNCTION("""COMPUTED_VALUE"""),"Equipment Rental Revenue")</f>
        <v>Equipment Rental Revenue</v>
      </c>
      <c r="G74" s="58"/>
      <c r="H74" s="60" t="str">
        <f t="shared" si="1"/>
        <v>OK</v>
      </c>
    </row>
    <row r="75">
      <c r="A75" s="19" t="str">
        <f>IFERROR(__xludf.DUMMYFUNCTION("""COMPUTED_VALUE"""),"VVV-2024-063")</f>
        <v>VVV-2024-063</v>
      </c>
      <c r="B75" s="48">
        <v>45460.0</v>
      </c>
      <c r="C75" s="39" t="s">
        <v>292</v>
      </c>
      <c r="D75" s="39">
        <f>IFERROR(__xludf.DUMMYFUNCTION("""COMPUTED_VALUE"""),3200.0)</f>
        <v>3200</v>
      </c>
      <c r="E75" s="58" t="str">
        <f>IFERROR(__xludf.DUMMYFUNCTION("""COMPUTED_VALUE"""),"Repairs and Maintenance Expense")</f>
        <v>Repairs and Maintenance Expense</v>
      </c>
      <c r="F75" s="58" t="str">
        <f>IFERROR(__xludf.DUMMYFUNCTION("""COMPUTED_VALUE"""),"Cash")</f>
        <v>Cash</v>
      </c>
      <c r="G75" s="58" t="s">
        <v>654</v>
      </c>
      <c r="H75" s="60" t="str">
        <f t="shared" si="1"/>
        <v>OK</v>
      </c>
    </row>
    <row r="76">
      <c r="A76" s="19" t="str">
        <f>IFERROR(__xludf.DUMMYFUNCTION("""COMPUTED_VALUE"""),"VVV-2024-063")</f>
        <v>VVV-2024-063</v>
      </c>
      <c r="B76" s="48">
        <v>45460.0</v>
      </c>
      <c r="C76" s="39" t="s">
        <v>292</v>
      </c>
      <c r="D76" s="39">
        <f>IFERROR(__xludf.DUMMYFUNCTION("""COMPUTED_VALUE"""),720.0)</f>
        <v>720</v>
      </c>
      <c r="E76" s="58" t="str">
        <f>IFERROR(__xludf.DUMMYFUNCTION("""COMPUTED_VALUE"""),"School Group Expense")</f>
        <v>School Group Expense</v>
      </c>
      <c r="F76" s="58" t="str">
        <f>IFERROR(__xludf.DUMMYFUNCTION("""COMPUTED_VALUE"""),"Cash")</f>
        <v>Cash</v>
      </c>
      <c r="G76" s="58"/>
      <c r="H76" s="60" t="str">
        <f t="shared" si="1"/>
        <v>OK</v>
      </c>
    </row>
    <row r="77">
      <c r="A77" s="19" t="str">
        <f>IFERROR(__xludf.DUMMYFUNCTION("""COMPUTED_VALUE"""),"VVV-2024-064")</f>
        <v>VVV-2024-064</v>
      </c>
      <c r="B77" s="48">
        <v>45460.0</v>
      </c>
      <c r="C77" s="39" t="s">
        <v>292</v>
      </c>
      <c r="D77" s="39">
        <f>IFERROR(__xludf.DUMMYFUNCTION("""COMPUTED_VALUE"""),2200.0)</f>
        <v>2200</v>
      </c>
      <c r="E77" s="58" t="str">
        <f>IFERROR(__xludf.DUMMYFUNCTION("""COMPUTED_VALUE"""),"Repairs and Maintenance Expense")</f>
        <v>Repairs and Maintenance Expense</v>
      </c>
      <c r="F77" s="58" t="str">
        <f>IFERROR(__xludf.DUMMYFUNCTION("""COMPUTED_VALUE"""),"Cash")</f>
        <v>Cash</v>
      </c>
      <c r="G77" s="58" t="s">
        <v>655</v>
      </c>
      <c r="H77" s="60" t="str">
        <f t="shared" si="1"/>
        <v>OK</v>
      </c>
    </row>
    <row r="78">
      <c r="A78" s="19" t="str">
        <f>IFERROR(__xludf.DUMMYFUNCTION("""COMPUTED_VALUE"""),"VVV-2024-064")</f>
        <v>VVV-2024-064</v>
      </c>
      <c r="B78" s="48">
        <v>45460.0</v>
      </c>
      <c r="C78" s="39" t="s">
        <v>292</v>
      </c>
      <c r="D78" s="39">
        <f>IFERROR(__xludf.DUMMYFUNCTION("""COMPUTED_VALUE"""),680.0)</f>
        <v>680</v>
      </c>
      <c r="E78" s="58" t="str">
        <f>IFERROR(__xludf.DUMMYFUNCTION("""COMPUTED_VALUE"""),"School Group Expense")</f>
        <v>School Group Expense</v>
      </c>
      <c r="F78" s="58" t="str">
        <f>IFERROR(__xludf.DUMMYFUNCTION("""COMPUTED_VALUE"""),"Cash")</f>
        <v>Cash</v>
      </c>
      <c r="G78" s="59"/>
      <c r="H78" s="60" t="str">
        <f t="shared" si="1"/>
        <v>OK</v>
      </c>
    </row>
    <row r="79">
      <c r="A79" s="19" t="str">
        <f>IFERROR(__xludf.DUMMYFUNCTION("""COMPUTED_VALUE"""),"VVV-2024-065")</f>
        <v>VVV-2024-065</v>
      </c>
      <c r="B79" s="48">
        <v>45461.0</v>
      </c>
      <c r="C79" s="39" t="s">
        <v>210</v>
      </c>
      <c r="D79" s="39">
        <f>IFERROR(__xludf.DUMMYFUNCTION("""COMPUTED_VALUE"""),9000.0)</f>
        <v>9000</v>
      </c>
      <c r="E79" s="58" t="str">
        <f>IFERROR(__xludf.DUMMYFUNCTION("""COMPUTED_VALUE"""),"Cash")</f>
        <v>Cash</v>
      </c>
      <c r="F79" s="59" t="str">
        <f>IFERROR(__xludf.DUMMYFUNCTION("""COMPUTED_VALUE"""),"Retail Sales Revenue")</f>
        <v>Retail Sales Revenue</v>
      </c>
      <c r="G79" s="58"/>
      <c r="H79" s="60" t="str">
        <f t="shared" si="1"/>
        <v>OK</v>
      </c>
    </row>
    <row r="80">
      <c r="A80" s="19" t="str">
        <f>IFERROR(__xludf.DUMMYFUNCTION("""COMPUTED_VALUE"""),"VVV-2024-065")</f>
        <v>VVV-2024-065</v>
      </c>
      <c r="B80" s="48">
        <v>45461.0</v>
      </c>
      <c r="C80" s="39" t="s">
        <v>210</v>
      </c>
      <c r="D80" s="39">
        <f>IFERROR(__xludf.DUMMYFUNCTION("""COMPUTED_VALUE"""),5400.0)</f>
        <v>5400</v>
      </c>
      <c r="E80" s="58" t="str">
        <f>IFERROR(__xludf.DUMMYFUNCTION("""COMPUTED_VALUE"""),"Cost of Goods Sold")</f>
        <v>Cost of Goods Sold</v>
      </c>
      <c r="F80" s="58" t="str">
        <f>IFERROR(__xludf.DUMMYFUNCTION("""COMPUTED_VALUE"""),"Inventory")</f>
        <v>Inventory</v>
      </c>
      <c r="G80" s="59"/>
      <c r="H80" s="60" t="str">
        <f t="shared" si="1"/>
        <v>OK</v>
      </c>
    </row>
    <row r="81">
      <c r="A81" s="19" t="str">
        <f>IFERROR(__xludf.DUMMYFUNCTION("""COMPUTED_VALUE"""),"VVV-2024-066")</f>
        <v>VVV-2024-066</v>
      </c>
      <c r="B81" s="48">
        <v>45463.0</v>
      </c>
      <c r="C81" s="39" t="s">
        <v>262</v>
      </c>
      <c r="D81" s="39">
        <f>IFERROR(__xludf.DUMMYFUNCTION("""COMPUTED_VALUE"""),12000.0)</f>
        <v>12000</v>
      </c>
      <c r="E81" s="58" t="str">
        <f>IFERROR(__xludf.DUMMYFUNCTION("""COMPUTED_VALUE"""),"Cash")</f>
        <v>Cash</v>
      </c>
      <c r="F81" s="59" t="str">
        <f>IFERROR(__xludf.DUMMYFUNCTION("""COMPUTED_VALUE"""),"Tour Revenue")</f>
        <v>Tour Revenue</v>
      </c>
      <c r="G81" s="58"/>
      <c r="H81" s="60" t="str">
        <f t="shared" si="1"/>
        <v>OK</v>
      </c>
    </row>
    <row r="82">
      <c r="A82" s="19" t="str">
        <f>IFERROR(__xludf.DUMMYFUNCTION("""COMPUTED_VALUE"""),"VVV-2024-067")</f>
        <v>VVV-2024-067</v>
      </c>
      <c r="B82" s="48">
        <v>45465.0</v>
      </c>
      <c r="C82" s="39" t="s">
        <v>466</v>
      </c>
      <c r="D82" s="39">
        <f>IFERROR(__xludf.DUMMYFUNCTION("""COMPUTED_VALUE"""),3000.0)</f>
        <v>3000</v>
      </c>
      <c r="E82" s="58" t="str">
        <f>IFERROR(__xludf.DUMMYFUNCTION("""COMPUTED_VALUE"""),"Unearned Revenue")</f>
        <v>Unearned Revenue</v>
      </c>
      <c r="F82" s="58" t="str">
        <f>IFERROR(__xludf.DUMMYFUNCTION("""COMPUTED_VALUE"""),"Event Revenue")</f>
        <v>Event Revenue</v>
      </c>
      <c r="G82" s="58" t="s">
        <v>656</v>
      </c>
      <c r="H82" s="60" t="str">
        <f t="shared" si="1"/>
        <v>OK</v>
      </c>
    </row>
    <row r="83">
      <c r="A83" s="19" t="str">
        <f>IFERROR(__xludf.DUMMYFUNCTION("""COMPUTED_VALUE"""),"VVV-2024-067")</f>
        <v>VVV-2024-067</v>
      </c>
      <c r="B83" s="48">
        <v>45465.0</v>
      </c>
      <c r="C83" s="39" t="s">
        <v>466</v>
      </c>
      <c r="D83" s="39">
        <f>IFERROR(__xludf.DUMMYFUNCTION("""COMPUTED_VALUE"""),4500.0)</f>
        <v>4500</v>
      </c>
      <c r="E83" s="58" t="str">
        <f>IFERROR(__xludf.DUMMYFUNCTION("""COMPUTED_VALUE"""),"Cash")</f>
        <v>Cash</v>
      </c>
      <c r="F83" s="58" t="str">
        <f>IFERROR(__xludf.DUMMYFUNCTION("""COMPUTED_VALUE"""),"Event Revenue")</f>
        <v>Event Revenue</v>
      </c>
      <c r="G83" s="58"/>
      <c r="H83" s="60" t="str">
        <f t="shared" si="1"/>
        <v>OK</v>
      </c>
    </row>
    <row r="84">
      <c r="A84" s="19" t="str">
        <f>IFERROR(__xludf.DUMMYFUNCTION("""COMPUTED_VALUE"""),"VVV-2024-068")</f>
        <v>VVV-2024-068</v>
      </c>
      <c r="B84" s="48">
        <v>45467.0</v>
      </c>
      <c r="C84" s="39" t="s">
        <v>215</v>
      </c>
      <c r="D84" s="39">
        <f>IFERROR(__xludf.DUMMYFUNCTION("""COMPUTED_VALUE"""),12160.0)</f>
        <v>12160</v>
      </c>
      <c r="E84" s="58" t="str">
        <f>IFERROR(__xludf.DUMMYFUNCTION("""COMPUTED_VALUE"""),"Wages Expense")</f>
        <v>Wages Expense</v>
      </c>
      <c r="F84" s="58" t="str">
        <f>IFERROR(__xludf.DUMMYFUNCTION("""COMPUTED_VALUE"""),"Cash")</f>
        <v>Cash</v>
      </c>
      <c r="G84" s="58" t="s">
        <v>607</v>
      </c>
      <c r="H84" s="60" t="str">
        <f t="shared" si="1"/>
        <v>OK</v>
      </c>
    </row>
    <row r="85">
      <c r="A85" s="19" t="str">
        <f>IFERROR(__xludf.DUMMYFUNCTION("""COMPUTED_VALUE"""),"VVV-2024-069")</f>
        <v>VVV-2024-069</v>
      </c>
      <c r="B85" s="48">
        <v>45468.0</v>
      </c>
      <c r="C85" s="39" t="s">
        <v>474</v>
      </c>
      <c r="D85" s="39">
        <f>IFERROR(__xludf.DUMMYFUNCTION("""COMPUTED_VALUE"""),3600.0)</f>
        <v>3600</v>
      </c>
      <c r="E85" s="58" t="str">
        <f>IFERROR(__xludf.DUMMYFUNCTION("""COMPUTED_VALUE"""),"Equipment")</f>
        <v>Equipment</v>
      </c>
      <c r="F85" s="58" t="str">
        <f>IFERROR(__xludf.DUMMYFUNCTION("""COMPUTED_VALUE"""),"Cash")</f>
        <v>Cash</v>
      </c>
      <c r="G85" s="58" t="s">
        <v>657</v>
      </c>
      <c r="H85" s="60" t="str">
        <f t="shared" si="1"/>
        <v>OK</v>
      </c>
    </row>
    <row r="86">
      <c r="A86" s="19" t="str">
        <f>IFERROR(__xludf.DUMMYFUNCTION("""COMPUTED_VALUE"""),"VVV-2024-070")</f>
        <v>VVV-2024-070</v>
      </c>
      <c r="B86" s="48">
        <v>45473.0</v>
      </c>
      <c r="C86" s="39" t="s">
        <v>221</v>
      </c>
      <c r="D86" s="39">
        <f>IFERROR(__xludf.DUMMYFUNCTION("""COMPUTED_VALUE"""),1173.0)</f>
        <v>1173</v>
      </c>
      <c r="E86" s="58" t="str">
        <f>IFERROR(__xludf.DUMMYFUNCTION("""COMPUTED_VALUE"""),"Utilities Expense")</f>
        <v>Utilities Expense</v>
      </c>
      <c r="F86" s="58" t="str">
        <f>IFERROR(__xludf.DUMMYFUNCTION("""COMPUTED_VALUE"""),"Cash")</f>
        <v>Cash</v>
      </c>
      <c r="G86" s="58" t="s">
        <v>658</v>
      </c>
      <c r="H86" s="60" t="str">
        <f t="shared" si="1"/>
        <v>OK</v>
      </c>
    </row>
    <row r="87">
      <c r="A87" s="19" t="str">
        <f>IFERROR(__xludf.DUMMYFUNCTION("""COMPUTED_VALUE"""),"VVV-2024-071")</f>
        <v>VVV-2024-071</v>
      </c>
      <c r="B87" s="48">
        <v>45474.0</v>
      </c>
      <c r="C87" s="39" t="s">
        <v>59</v>
      </c>
      <c r="D87" s="39">
        <f>IFERROR(__xludf.DUMMYFUNCTION("""COMPUTED_VALUE"""),5400.0)</f>
        <v>5400</v>
      </c>
      <c r="E87" s="58" t="str">
        <f>IFERROR(__xludf.DUMMYFUNCTION("""COMPUTED_VALUE"""),"Rent Expense")</f>
        <v>Rent Expense</v>
      </c>
      <c r="F87" s="58" t="str">
        <f>IFERROR(__xludf.DUMMYFUNCTION("""COMPUTED_VALUE"""),"Cash")</f>
        <v>Cash</v>
      </c>
      <c r="G87" s="58"/>
      <c r="H87" s="60" t="str">
        <f t="shared" si="1"/>
        <v>OK</v>
      </c>
    </row>
    <row r="88">
      <c r="A88" s="19" t="str">
        <f>IFERROR(__xludf.DUMMYFUNCTION("""COMPUTED_VALUE"""),"VVV-2024-072")</f>
        <v>VVV-2024-072</v>
      </c>
      <c r="B88" s="48">
        <v>45478.0</v>
      </c>
      <c r="C88" s="39" t="s">
        <v>326</v>
      </c>
      <c r="D88" s="39">
        <f>IFERROR(__xludf.DUMMYFUNCTION("""COMPUTED_VALUE"""),1800.0)</f>
        <v>1800</v>
      </c>
      <c r="E88" s="58" t="str">
        <f>IFERROR(__xludf.DUMMYFUNCTION("""COMPUTED_VALUE"""),"Repairs and Maintenance Expense")</f>
        <v>Repairs and Maintenance Expense</v>
      </c>
      <c r="F88" s="58" t="str">
        <f>IFERROR(__xludf.DUMMYFUNCTION("""COMPUTED_VALUE"""),"Cash")</f>
        <v>Cash</v>
      </c>
      <c r="G88" s="58"/>
      <c r="H88" s="60" t="str">
        <f t="shared" si="1"/>
        <v>OK</v>
      </c>
    </row>
    <row r="89">
      <c r="A89" s="19" t="str">
        <f>IFERROR(__xludf.DUMMYFUNCTION("""COMPUTED_VALUE"""),"VVV-2024-073")</f>
        <v>VVV-2024-073</v>
      </c>
      <c r="B89" s="48">
        <v>45479.0</v>
      </c>
      <c r="C89" s="39" t="s">
        <v>117</v>
      </c>
      <c r="D89" s="39">
        <f>IFERROR(__xludf.DUMMYFUNCTION("""COMPUTED_VALUE"""),600.0)</f>
        <v>600</v>
      </c>
      <c r="E89" s="58" t="str">
        <f>IFERROR(__xludf.DUMMYFUNCTION("""COMPUTED_VALUE"""),"Insurance Expense")</f>
        <v>Insurance Expense</v>
      </c>
      <c r="F89" s="58" t="str">
        <f>IFERROR(__xludf.DUMMYFUNCTION("""COMPUTED_VALUE"""),"Cash")</f>
        <v>Cash</v>
      </c>
      <c r="G89" s="58"/>
      <c r="H89" s="60" t="str">
        <f t="shared" si="1"/>
        <v>OK</v>
      </c>
    </row>
    <row r="90">
      <c r="A90" s="19" t="str">
        <f>IFERROR(__xludf.DUMMYFUNCTION("""COMPUTED_VALUE"""),"VVV-2024-074")</f>
        <v>VVV-2024-074</v>
      </c>
      <c r="B90" s="48">
        <v>45485.0</v>
      </c>
      <c r="C90" s="39" t="s">
        <v>180</v>
      </c>
      <c r="D90" s="39">
        <f>IFERROR(__xludf.DUMMYFUNCTION("""COMPUTED_VALUE"""),18000.0)</f>
        <v>18000</v>
      </c>
      <c r="E90" s="58" t="str">
        <f>IFERROR(__xludf.DUMMYFUNCTION("""COMPUTED_VALUE"""),"Cash")</f>
        <v>Cash</v>
      </c>
      <c r="F90" s="58" t="str">
        <f>IFERROR(__xludf.DUMMYFUNCTION("""COMPUTED_VALUE"""),"Equipment Rental Revenue")</f>
        <v>Equipment Rental Revenue</v>
      </c>
      <c r="G90" s="58"/>
      <c r="H90" s="60" t="str">
        <f t="shared" si="1"/>
        <v>OK</v>
      </c>
    </row>
    <row r="91">
      <c r="A91" s="19" t="str">
        <f>IFERROR(__xludf.DUMMYFUNCTION("""COMPUTED_VALUE"""),"VVV-2024-075")</f>
        <v>VVV-2024-075</v>
      </c>
      <c r="B91" s="48">
        <v>45491.0</v>
      </c>
      <c r="C91" s="39" t="s">
        <v>210</v>
      </c>
      <c r="D91" s="39">
        <f>IFERROR(__xludf.DUMMYFUNCTION("""COMPUTED_VALUE"""),10000.0)</f>
        <v>10000</v>
      </c>
      <c r="E91" s="58" t="str">
        <f>IFERROR(__xludf.DUMMYFUNCTION("""COMPUTED_VALUE"""),"Cash")</f>
        <v>Cash</v>
      </c>
      <c r="F91" s="58" t="str">
        <f>IFERROR(__xludf.DUMMYFUNCTION("""COMPUTED_VALUE"""),"Retail Sales Revenue")</f>
        <v>Retail Sales Revenue</v>
      </c>
      <c r="G91" s="58"/>
      <c r="H91" s="60" t="str">
        <f t="shared" si="1"/>
        <v>OK</v>
      </c>
    </row>
    <row r="92">
      <c r="A92" s="19" t="str">
        <f>IFERROR(__xludf.DUMMYFUNCTION("""COMPUTED_VALUE"""),"VVV-2024-075")</f>
        <v>VVV-2024-075</v>
      </c>
      <c r="B92" s="48">
        <v>45491.0</v>
      </c>
      <c r="C92" s="39" t="s">
        <v>210</v>
      </c>
      <c r="D92" s="39">
        <f>IFERROR(__xludf.DUMMYFUNCTION("""COMPUTED_VALUE"""),6000.0)</f>
        <v>6000</v>
      </c>
      <c r="E92" s="58" t="str">
        <f>IFERROR(__xludf.DUMMYFUNCTION("""COMPUTED_VALUE"""),"Cost of Goods Sold")</f>
        <v>Cost of Goods Sold</v>
      </c>
      <c r="F92" s="58" t="str">
        <f>IFERROR(__xludf.DUMMYFUNCTION("""COMPUTED_VALUE"""),"Inventory")</f>
        <v>Inventory</v>
      </c>
      <c r="G92" s="58"/>
      <c r="H92" s="60" t="str">
        <f t="shared" si="1"/>
        <v>OK</v>
      </c>
    </row>
    <row r="93">
      <c r="A93" s="19" t="str">
        <f>IFERROR(__xludf.DUMMYFUNCTION("""COMPUTED_VALUE"""),"VVV-2024-076")</f>
        <v>VVV-2024-076</v>
      </c>
      <c r="B93" s="48">
        <v>45493.0</v>
      </c>
      <c r="C93" s="39" t="s">
        <v>262</v>
      </c>
      <c r="D93" s="39">
        <f>IFERROR(__xludf.DUMMYFUNCTION("""COMPUTED_VALUE"""),14000.0)</f>
        <v>14000</v>
      </c>
      <c r="E93" s="58" t="str">
        <f>IFERROR(__xludf.DUMMYFUNCTION("""COMPUTED_VALUE"""),"Cash")</f>
        <v>Cash</v>
      </c>
      <c r="F93" s="58" t="str">
        <f>IFERROR(__xludf.DUMMYFUNCTION("""COMPUTED_VALUE"""),"Tour Revenue")</f>
        <v>Tour Revenue</v>
      </c>
      <c r="G93" s="58"/>
      <c r="H93" s="60" t="str">
        <f t="shared" si="1"/>
        <v>OK</v>
      </c>
    </row>
    <row r="94">
      <c r="A94" s="19" t="str">
        <f>IFERROR(__xludf.DUMMYFUNCTION("""COMPUTED_VALUE"""),"VVV-2024-077")</f>
        <v>VVV-2024-077</v>
      </c>
      <c r="B94" s="48">
        <v>45495.0</v>
      </c>
      <c r="C94" s="39" t="s">
        <v>501</v>
      </c>
      <c r="D94" s="39">
        <f>IFERROR(__xludf.DUMMYFUNCTION("""COMPUTED_VALUE"""),9000.0)</f>
        <v>9000</v>
      </c>
      <c r="E94" s="58" t="str">
        <f>IFERROR(__xludf.DUMMYFUNCTION("""COMPUTED_VALUE"""),"Cash")</f>
        <v>Cash</v>
      </c>
      <c r="F94" s="58" t="str">
        <f>IFERROR(__xludf.DUMMYFUNCTION("""COMPUTED_VALUE"""),"Event Revenue")</f>
        <v>Event Revenue</v>
      </c>
      <c r="G94" s="58"/>
      <c r="H94" s="60" t="str">
        <f t="shared" si="1"/>
        <v>OK</v>
      </c>
    </row>
    <row r="95">
      <c r="A95" s="19" t="str">
        <f>IFERROR(__xludf.DUMMYFUNCTION("""COMPUTED_VALUE"""),"VVV-2024-078")</f>
        <v>VVV-2024-078</v>
      </c>
      <c r="B95" s="48">
        <v>45495.0</v>
      </c>
      <c r="C95" s="39" t="s">
        <v>343</v>
      </c>
      <c r="D95" s="39">
        <f>IFERROR(__xludf.DUMMYFUNCTION("""COMPUTED_VALUE"""),10000.0)</f>
        <v>10000</v>
      </c>
      <c r="E95" s="58" t="str">
        <f>IFERROR(__xludf.DUMMYFUNCTION("""COMPUTED_VALUE"""),"Inventory")</f>
        <v>Inventory</v>
      </c>
      <c r="F95" s="58" t="str">
        <f>IFERROR(__xludf.DUMMYFUNCTION("""COMPUTED_VALUE"""),"Cash")</f>
        <v>Cash</v>
      </c>
      <c r="G95" s="59"/>
      <c r="H95" s="60" t="str">
        <f t="shared" si="1"/>
        <v>OK</v>
      </c>
    </row>
    <row r="96">
      <c r="A96" s="19" t="str">
        <f>IFERROR(__xludf.DUMMYFUNCTION("""COMPUTED_VALUE"""),"VVV-2024-079")</f>
        <v>VVV-2024-079</v>
      </c>
      <c r="B96" s="48">
        <v>45497.0</v>
      </c>
      <c r="C96" s="39" t="s">
        <v>215</v>
      </c>
      <c r="D96" s="39">
        <f>IFERROR(__xludf.DUMMYFUNCTION("""COMPUTED_VALUE"""),13280.0)</f>
        <v>13280</v>
      </c>
      <c r="E96" s="58" t="str">
        <f>IFERROR(__xludf.DUMMYFUNCTION("""COMPUTED_VALUE"""),"Wages Expense")</f>
        <v>Wages Expense</v>
      </c>
      <c r="F96" s="59" t="str">
        <f>IFERROR(__xludf.DUMMYFUNCTION("""COMPUTED_VALUE"""),"Cash")</f>
        <v>Cash</v>
      </c>
      <c r="G96" s="58" t="s">
        <v>607</v>
      </c>
      <c r="H96" s="60" t="str">
        <f t="shared" si="1"/>
        <v>OK</v>
      </c>
    </row>
    <row r="97">
      <c r="A97" s="19" t="str">
        <f>IFERROR(__xludf.DUMMYFUNCTION("""COMPUTED_VALUE"""),"VVV-2024-080")</f>
        <v>VVV-2024-080</v>
      </c>
      <c r="B97" s="48">
        <v>45498.0</v>
      </c>
      <c r="C97" s="39" t="s">
        <v>509</v>
      </c>
      <c r="D97" s="39">
        <f>IFERROR(__xludf.DUMMYFUNCTION("""COMPUTED_VALUE"""),7500.0)</f>
        <v>7500</v>
      </c>
      <c r="E97" s="58" t="str">
        <f>IFERROR(__xludf.DUMMYFUNCTION("""COMPUTED_VALUE"""),"Notes Payable")</f>
        <v>Notes Payable</v>
      </c>
      <c r="F97" s="58" t="str">
        <f>IFERROR(__xludf.DUMMYFUNCTION("""COMPUTED_VALUE"""),"Cash")</f>
        <v>Cash</v>
      </c>
      <c r="G97" s="58" t="s">
        <v>659</v>
      </c>
      <c r="H97" s="60" t="str">
        <f t="shared" si="1"/>
        <v>OK</v>
      </c>
    </row>
    <row r="98">
      <c r="A98" s="19" t="str">
        <f>IFERROR(__xludf.DUMMYFUNCTION("""COMPUTED_VALUE"""),"VVV-2024-080")</f>
        <v>VVV-2024-080</v>
      </c>
      <c r="B98" s="48">
        <v>45498.0</v>
      </c>
      <c r="C98" s="39" t="s">
        <v>509</v>
      </c>
      <c r="D98" s="39">
        <f>IFERROR(__xludf.DUMMYFUNCTION("""COMPUTED_VALUE"""),1500.0)</f>
        <v>1500</v>
      </c>
      <c r="E98" s="58" t="str">
        <f>IFERROR(__xludf.DUMMYFUNCTION("""COMPUTED_VALUE"""),"Interest Expense")</f>
        <v>Interest Expense</v>
      </c>
      <c r="F98" s="58" t="str">
        <f>IFERROR(__xludf.DUMMYFUNCTION("""COMPUTED_VALUE"""),"Cash")</f>
        <v>Cash</v>
      </c>
      <c r="G98" s="59"/>
      <c r="H98" s="60" t="str">
        <f t="shared" si="1"/>
        <v>OK</v>
      </c>
    </row>
    <row r="99">
      <c r="A99" s="19" t="str">
        <f>IFERROR(__xludf.DUMMYFUNCTION("""COMPUTED_VALUE"""),"VVV-2024-081")</f>
        <v>VVV-2024-081</v>
      </c>
      <c r="B99" s="48">
        <v>45504.0</v>
      </c>
      <c r="C99" s="39" t="s">
        <v>221</v>
      </c>
      <c r="D99" s="39">
        <f>IFERROR(__xludf.DUMMYFUNCTION("""COMPUTED_VALUE"""),1354.0)</f>
        <v>1354</v>
      </c>
      <c r="E99" s="58" t="str">
        <f>IFERROR(__xludf.DUMMYFUNCTION("""COMPUTED_VALUE"""),"Utilities Expense")</f>
        <v>Utilities Expense</v>
      </c>
      <c r="F99" s="59" t="str">
        <f>IFERROR(__xludf.DUMMYFUNCTION("""COMPUTED_VALUE"""),"Cash")</f>
        <v>Cash</v>
      </c>
      <c r="G99" s="58"/>
      <c r="H99" s="60" t="str">
        <f t="shared" si="1"/>
        <v>OK</v>
      </c>
    </row>
    <row r="100">
      <c r="A100" s="19" t="str">
        <f>IFERROR(__xludf.DUMMYFUNCTION("""COMPUTED_VALUE"""),"VVV-2024-082")</f>
        <v>VVV-2024-082</v>
      </c>
      <c r="B100" s="48">
        <v>45505.0</v>
      </c>
      <c r="C100" s="39" t="s">
        <v>59</v>
      </c>
      <c r="D100" s="39">
        <f>IFERROR(__xludf.DUMMYFUNCTION("""COMPUTED_VALUE"""),5400.0)</f>
        <v>5400</v>
      </c>
      <c r="E100" s="58" t="str">
        <f>IFERROR(__xludf.DUMMYFUNCTION("""COMPUTED_VALUE"""),"Rent Expense")</f>
        <v>Rent Expense</v>
      </c>
      <c r="F100" s="58" t="str">
        <f>IFERROR(__xludf.DUMMYFUNCTION("""COMPUTED_VALUE"""),"Cash")</f>
        <v>Cash</v>
      </c>
      <c r="G100" s="58"/>
      <c r="H100" s="60" t="str">
        <f t="shared" si="1"/>
        <v>OK</v>
      </c>
    </row>
    <row r="101">
      <c r="A101" s="19" t="str">
        <f>IFERROR(__xludf.DUMMYFUNCTION("""COMPUTED_VALUE"""),"VVV-2024-083")</f>
        <v>VVV-2024-083</v>
      </c>
      <c r="B101" s="48">
        <v>45510.0</v>
      </c>
      <c r="C101" s="39" t="s">
        <v>117</v>
      </c>
      <c r="D101" s="39">
        <f>IFERROR(__xludf.DUMMYFUNCTION("""COMPUTED_VALUE"""),600.0)</f>
        <v>600</v>
      </c>
      <c r="E101" s="58" t="str">
        <f>IFERROR(__xludf.DUMMYFUNCTION("""COMPUTED_VALUE"""),"Insurance Expense")</f>
        <v>Insurance Expense</v>
      </c>
      <c r="F101" s="58" t="str">
        <f>IFERROR(__xludf.DUMMYFUNCTION("""COMPUTED_VALUE"""),"Cash")</f>
        <v>Cash</v>
      </c>
      <c r="G101" s="58"/>
      <c r="H101" s="60" t="str">
        <f t="shared" si="1"/>
        <v>OK</v>
      </c>
    </row>
    <row r="102">
      <c r="A102" s="19" t="str">
        <f>IFERROR(__xludf.DUMMYFUNCTION("""COMPUTED_VALUE"""),"VVV-2024-084")</f>
        <v>VVV-2024-084</v>
      </c>
      <c r="B102" s="48">
        <v>45516.0</v>
      </c>
      <c r="C102" s="39" t="s">
        <v>180</v>
      </c>
      <c r="D102" s="39">
        <f>IFERROR(__xludf.DUMMYFUNCTION("""COMPUTED_VALUE"""),15000.0)</f>
        <v>15000</v>
      </c>
      <c r="E102" s="58" t="str">
        <f>IFERROR(__xludf.DUMMYFUNCTION("""COMPUTED_VALUE"""),"Cash")</f>
        <v>Cash</v>
      </c>
      <c r="F102" s="58" t="str">
        <f>IFERROR(__xludf.DUMMYFUNCTION("""COMPUTED_VALUE"""),"Equipment Rental Revenue")</f>
        <v>Equipment Rental Revenue</v>
      </c>
      <c r="G102" s="58"/>
      <c r="H102" s="60" t="str">
        <f t="shared" si="1"/>
        <v>OK</v>
      </c>
    </row>
    <row r="103">
      <c r="A103" s="19" t="str">
        <f>IFERROR(__xludf.DUMMYFUNCTION("""COMPUTED_VALUE"""),"VVV-2024-085")</f>
        <v>VVV-2024-085</v>
      </c>
      <c r="B103" s="48">
        <v>45522.0</v>
      </c>
      <c r="C103" s="39" t="s">
        <v>210</v>
      </c>
      <c r="D103" s="39">
        <f>IFERROR(__xludf.DUMMYFUNCTION("""COMPUTED_VALUE"""),9000.0)</f>
        <v>9000</v>
      </c>
      <c r="E103" s="58" t="str">
        <f>IFERROR(__xludf.DUMMYFUNCTION("""COMPUTED_VALUE"""),"Cash")</f>
        <v>Cash</v>
      </c>
      <c r="F103" s="58" t="str">
        <f>IFERROR(__xludf.DUMMYFUNCTION("""COMPUTED_VALUE"""),"Retail Sales Revenue")</f>
        <v>Retail Sales Revenue</v>
      </c>
      <c r="G103" s="58"/>
      <c r="H103" s="60" t="str">
        <f t="shared" si="1"/>
        <v>OK</v>
      </c>
    </row>
    <row r="104">
      <c r="A104" s="19" t="str">
        <f>IFERROR(__xludf.DUMMYFUNCTION("""COMPUTED_VALUE"""),"VVV-2024-085")</f>
        <v>VVV-2024-085</v>
      </c>
      <c r="B104" s="48">
        <v>45522.0</v>
      </c>
      <c r="C104" s="39" t="s">
        <v>210</v>
      </c>
      <c r="D104" s="39">
        <f>IFERROR(__xludf.DUMMYFUNCTION("""COMPUTED_VALUE"""),5400.0)</f>
        <v>5400</v>
      </c>
      <c r="E104" s="58" t="str">
        <f>IFERROR(__xludf.DUMMYFUNCTION("""COMPUTED_VALUE"""),"Cost of Goods Sold")</f>
        <v>Cost of Goods Sold</v>
      </c>
      <c r="F104" s="58" t="str">
        <f>IFERROR(__xludf.DUMMYFUNCTION("""COMPUTED_VALUE"""),"Inventory")</f>
        <v>Inventory</v>
      </c>
      <c r="G104" s="58"/>
      <c r="H104" s="60" t="str">
        <f t="shared" si="1"/>
        <v>OK</v>
      </c>
    </row>
    <row r="105">
      <c r="A105" s="19" t="str">
        <f>IFERROR(__xludf.DUMMYFUNCTION("""COMPUTED_VALUE"""),"VVV-2024-086")</f>
        <v>VVV-2024-086</v>
      </c>
      <c r="B105" s="48">
        <v>45524.0</v>
      </c>
      <c r="C105" s="39" t="s">
        <v>262</v>
      </c>
      <c r="D105" s="39">
        <f>IFERROR(__xludf.DUMMYFUNCTION("""COMPUTED_VALUE"""),12000.0)</f>
        <v>12000</v>
      </c>
      <c r="E105" s="58" t="str">
        <f>IFERROR(__xludf.DUMMYFUNCTION("""COMPUTED_VALUE"""),"Cash")</f>
        <v>Cash</v>
      </c>
      <c r="F105" s="58" t="str">
        <f>IFERROR(__xludf.DUMMYFUNCTION("""COMPUTED_VALUE"""),"Tour Revenue")</f>
        <v>Tour Revenue</v>
      </c>
      <c r="G105" s="58"/>
      <c r="H105" s="60" t="str">
        <f t="shared" si="1"/>
        <v>OK</v>
      </c>
    </row>
    <row r="106">
      <c r="A106" s="19" t="str">
        <f>IFERROR(__xludf.DUMMYFUNCTION("""COMPUTED_VALUE"""),"VVV-2024-087")</f>
        <v>VVV-2024-087</v>
      </c>
      <c r="B106" s="48">
        <v>45526.0</v>
      </c>
      <c r="C106" s="39" t="s">
        <v>530</v>
      </c>
      <c r="D106" s="39">
        <f>IFERROR(__xludf.DUMMYFUNCTION("""COMPUTED_VALUE"""),4000.0)</f>
        <v>4000</v>
      </c>
      <c r="E106" s="58" t="str">
        <f>IFERROR(__xludf.DUMMYFUNCTION("""COMPUTED_VALUE"""),"Cash")</f>
        <v>Cash</v>
      </c>
      <c r="F106" s="58" t="str">
        <f>IFERROR(__xludf.DUMMYFUNCTION("""COMPUTED_VALUE"""),"Accounts Receivable")</f>
        <v>Accounts Receivable</v>
      </c>
      <c r="G106" s="59"/>
      <c r="H106" s="60" t="str">
        <f t="shared" si="1"/>
        <v>OK</v>
      </c>
    </row>
    <row r="107">
      <c r="A107" s="19" t="str">
        <f>IFERROR(__xludf.DUMMYFUNCTION("""COMPUTED_VALUE"""),"VVV-2024-088")</f>
        <v>VVV-2024-088</v>
      </c>
      <c r="B107" s="48">
        <v>45527.0</v>
      </c>
      <c r="C107" s="39" t="s">
        <v>501</v>
      </c>
      <c r="D107" s="39">
        <f>IFERROR(__xludf.DUMMYFUNCTION("""COMPUTED_VALUE"""),7000.0)</f>
        <v>7000</v>
      </c>
      <c r="E107" s="58" t="str">
        <f>IFERROR(__xludf.DUMMYFUNCTION("""COMPUTED_VALUE"""),"Cash")</f>
        <v>Cash</v>
      </c>
      <c r="F107" s="59" t="str">
        <f>IFERROR(__xludf.DUMMYFUNCTION("""COMPUTED_VALUE"""),"Event Revenue")</f>
        <v>Event Revenue</v>
      </c>
      <c r="G107" s="58"/>
      <c r="H107" s="60" t="str">
        <f t="shared" si="1"/>
        <v>OK</v>
      </c>
    </row>
    <row r="108">
      <c r="A108" s="19" t="str">
        <f>IFERROR(__xludf.DUMMYFUNCTION("""COMPUTED_VALUE"""),"VVV-2024-089")</f>
        <v>VVV-2024-089</v>
      </c>
      <c r="B108" s="48">
        <v>45528.0</v>
      </c>
      <c r="C108" s="39" t="s">
        <v>215</v>
      </c>
      <c r="D108" s="39">
        <f>IFERROR(__xludf.DUMMYFUNCTION("""COMPUTED_VALUE"""),12120.0)</f>
        <v>12120</v>
      </c>
      <c r="E108" s="58" t="str">
        <f>IFERROR(__xludf.DUMMYFUNCTION("""COMPUTED_VALUE"""),"Wages Expense")</f>
        <v>Wages Expense</v>
      </c>
      <c r="F108" s="58" t="str">
        <f>IFERROR(__xludf.DUMMYFUNCTION("""COMPUTED_VALUE"""),"Cash")</f>
        <v>Cash</v>
      </c>
      <c r="G108" s="58" t="s">
        <v>607</v>
      </c>
      <c r="H108" s="60" t="str">
        <f t="shared" si="1"/>
        <v>OK</v>
      </c>
    </row>
    <row r="109">
      <c r="A109" s="19" t="str">
        <f>IFERROR(__xludf.DUMMYFUNCTION("""COMPUTED_VALUE"""),"VVV-2024-090")</f>
        <v>VVV-2024-090</v>
      </c>
      <c r="B109" s="48">
        <v>45535.0</v>
      </c>
      <c r="C109" s="39" t="s">
        <v>221</v>
      </c>
      <c r="D109" s="39">
        <f>IFERROR(__xludf.DUMMYFUNCTION("""COMPUTED_VALUE"""),1227.0)</f>
        <v>1227</v>
      </c>
      <c r="E109" s="58" t="str">
        <f>IFERROR(__xludf.DUMMYFUNCTION("""COMPUTED_VALUE"""),"Utilities Expense")</f>
        <v>Utilities Expense</v>
      </c>
      <c r="F109" s="59" t="str">
        <f>IFERROR(__xludf.DUMMYFUNCTION("""COMPUTED_VALUE"""),"Cash")</f>
        <v>Cash</v>
      </c>
      <c r="G109" s="58"/>
      <c r="H109" s="60" t="str">
        <f t="shared" si="1"/>
        <v>OK</v>
      </c>
    </row>
    <row r="110">
      <c r="A110" s="19" t="str">
        <f>IFERROR(__xludf.DUMMYFUNCTION("""COMPUTED_VALUE"""),"VVV-2024-091")</f>
        <v>VVV-2024-091</v>
      </c>
      <c r="B110" s="48">
        <v>45536.0</v>
      </c>
      <c r="C110" s="39" t="s">
        <v>59</v>
      </c>
      <c r="D110" s="39">
        <f>IFERROR(__xludf.DUMMYFUNCTION("""COMPUTED_VALUE"""),5400.0)</f>
        <v>5400</v>
      </c>
      <c r="E110" s="58" t="str">
        <f>IFERROR(__xludf.DUMMYFUNCTION("""COMPUTED_VALUE"""),"Rent Expense")</f>
        <v>Rent Expense</v>
      </c>
      <c r="F110" s="58" t="str">
        <f>IFERROR(__xludf.DUMMYFUNCTION("""COMPUTED_VALUE"""),"Cash")</f>
        <v>Cash</v>
      </c>
      <c r="G110" s="59"/>
      <c r="H110" s="60" t="str">
        <f t="shared" si="1"/>
        <v>OK</v>
      </c>
    </row>
    <row r="111">
      <c r="A111" s="19" t="str">
        <f>IFERROR(__xludf.DUMMYFUNCTION("""COMPUTED_VALUE"""),"VVV-2024-092")</f>
        <v>VVV-2024-092</v>
      </c>
      <c r="B111" s="48">
        <v>45540.0</v>
      </c>
      <c r="C111" s="39" t="s">
        <v>281</v>
      </c>
      <c r="D111" s="39">
        <f>IFERROR(__xludf.DUMMYFUNCTION("""COMPUTED_VALUE"""),2000.0)</f>
        <v>2000</v>
      </c>
      <c r="E111" s="58" t="str">
        <f>IFERROR(__xludf.DUMMYFUNCTION("""COMPUTED_VALUE"""),"Accounts Payable")</f>
        <v>Accounts Payable</v>
      </c>
      <c r="F111" s="59" t="str">
        <f>IFERROR(__xludf.DUMMYFUNCTION("""COMPUTED_VALUE"""),"Cash")</f>
        <v>Cash</v>
      </c>
      <c r="G111" s="58"/>
      <c r="H111" s="60" t="str">
        <f t="shared" si="1"/>
        <v>OK</v>
      </c>
    </row>
    <row r="112">
      <c r="A112" s="19" t="str">
        <f>IFERROR(__xludf.DUMMYFUNCTION("""COMPUTED_VALUE"""),"VVV-2024-093")</f>
        <v>VVV-2024-093</v>
      </c>
      <c r="B112" s="48">
        <v>45541.0</v>
      </c>
      <c r="C112" s="39" t="s">
        <v>117</v>
      </c>
      <c r="D112" s="39">
        <f>IFERROR(__xludf.DUMMYFUNCTION("""COMPUTED_VALUE"""),600.0)</f>
        <v>600</v>
      </c>
      <c r="E112" s="58" t="str">
        <f>IFERROR(__xludf.DUMMYFUNCTION("""COMPUTED_VALUE"""),"Insurance Expense")</f>
        <v>Insurance Expense</v>
      </c>
      <c r="F112" s="58" t="str">
        <f>IFERROR(__xludf.DUMMYFUNCTION("""COMPUTED_VALUE"""),"Cash")</f>
        <v>Cash</v>
      </c>
      <c r="G112" s="59"/>
      <c r="H112" s="60" t="str">
        <f t="shared" si="1"/>
        <v>OK</v>
      </c>
    </row>
    <row r="113">
      <c r="A113" s="19" t="str">
        <f>IFERROR(__xludf.DUMMYFUNCTION("""COMPUTED_VALUE"""),"VVV-2024-094")</f>
        <v>VVV-2024-094</v>
      </c>
      <c r="B113" s="48">
        <v>45547.0</v>
      </c>
      <c r="C113" s="39" t="s">
        <v>180</v>
      </c>
      <c r="D113" s="39">
        <f>IFERROR(__xludf.DUMMYFUNCTION("""COMPUTED_VALUE"""),11000.0)</f>
        <v>11000</v>
      </c>
      <c r="E113" s="58" t="str">
        <f>IFERROR(__xludf.DUMMYFUNCTION("""COMPUTED_VALUE"""),"Cash")</f>
        <v>Cash</v>
      </c>
      <c r="F113" s="59" t="str">
        <f>IFERROR(__xludf.DUMMYFUNCTION("""COMPUTED_VALUE"""),"Equipment Rental Revenue")</f>
        <v>Equipment Rental Revenue</v>
      </c>
      <c r="G113" s="58"/>
      <c r="H113" s="60" t="str">
        <f t="shared" si="1"/>
        <v>OK</v>
      </c>
    </row>
    <row r="114">
      <c r="A114" s="19" t="str">
        <f>IFERROR(__xludf.DUMMYFUNCTION("""COMPUTED_VALUE"""),"VVV-2024-095")</f>
        <v>VVV-2024-095</v>
      </c>
      <c r="B114" s="48">
        <v>45551.0</v>
      </c>
      <c r="C114" s="39" t="s">
        <v>292</v>
      </c>
      <c r="D114" s="39">
        <f>IFERROR(__xludf.DUMMYFUNCTION("""COMPUTED_VALUE"""),3400.0)</f>
        <v>3400</v>
      </c>
      <c r="E114" s="58" t="str">
        <f>IFERROR(__xludf.DUMMYFUNCTION("""COMPUTED_VALUE"""),"Repairs and Maintenance Expense")</f>
        <v>Repairs and Maintenance Expense</v>
      </c>
      <c r="F114" s="58" t="str">
        <f>IFERROR(__xludf.DUMMYFUNCTION("""COMPUTED_VALUE"""),"Cash")</f>
        <v>Cash</v>
      </c>
      <c r="G114" s="58" t="s">
        <v>662</v>
      </c>
      <c r="H114" s="60" t="str">
        <f t="shared" si="1"/>
        <v>OK</v>
      </c>
    </row>
    <row r="115">
      <c r="A115" s="19" t="str">
        <f>IFERROR(__xludf.DUMMYFUNCTION("""COMPUTED_VALUE"""),"VVV-2024-095")</f>
        <v>VVV-2024-095</v>
      </c>
      <c r="B115" s="48">
        <v>45551.0</v>
      </c>
      <c r="C115" s="39" t="s">
        <v>292</v>
      </c>
      <c r="D115" s="39">
        <f>IFERROR(__xludf.DUMMYFUNCTION("""COMPUTED_VALUE"""),800.0)</f>
        <v>800</v>
      </c>
      <c r="E115" s="58" t="str">
        <f>IFERROR(__xludf.DUMMYFUNCTION("""COMPUTED_VALUE"""),"School Group Expense")</f>
        <v>School Group Expense</v>
      </c>
      <c r="F115" s="59" t="str">
        <f>IFERROR(__xludf.DUMMYFUNCTION("""COMPUTED_VALUE"""),"Cash")</f>
        <v>Cash</v>
      </c>
      <c r="G115" s="58"/>
      <c r="H115" s="60" t="str">
        <f t="shared" si="1"/>
        <v>OK</v>
      </c>
    </row>
    <row r="116">
      <c r="A116" s="19" t="str">
        <f>IFERROR(__xludf.DUMMYFUNCTION("""COMPUTED_VALUE"""),"VVV-2024-096")</f>
        <v>VVV-2024-096</v>
      </c>
      <c r="B116" s="48">
        <v>45551.0</v>
      </c>
      <c r="C116" s="39" t="s">
        <v>292</v>
      </c>
      <c r="D116" s="39">
        <f>IFERROR(__xludf.DUMMYFUNCTION("""COMPUTED_VALUE"""),2400.0)</f>
        <v>2400</v>
      </c>
      <c r="E116" s="58" t="str">
        <f>IFERROR(__xludf.DUMMYFUNCTION("""COMPUTED_VALUE"""),"Repairs and Maintenance Expense")</f>
        <v>Repairs and Maintenance Expense</v>
      </c>
      <c r="F116" s="58" t="str">
        <f>IFERROR(__xludf.DUMMYFUNCTION("""COMPUTED_VALUE"""),"Cash")</f>
        <v>Cash</v>
      </c>
      <c r="G116" s="58" t="s">
        <v>663</v>
      </c>
      <c r="H116" s="60" t="str">
        <f t="shared" si="1"/>
        <v>OK</v>
      </c>
    </row>
    <row r="117">
      <c r="A117" s="19" t="str">
        <f>IFERROR(__xludf.DUMMYFUNCTION("""COMPUTED_VALUE"""),"VVV-2024-096")</f>
        <v>VVV-2024-096</v>
      </c>
      <c r="B117" s="48">
        <v>45551.0</v>
      </c>
      <c r="C117" s="39" t="s">
        <v>292</v>
      </c>
      <c r="D117" s="39">
        <f>IFERROR(__xludf.DUMMYFUNCTION("""COMPUTED_VALUE"""),720.0)</f>
        <v>720</v>
      </c>
      <c r="E117" s="58" t="str">
        <f>IFERROR(__xludf.DUMMYFUNCTION("""COMPUTED_VALUE"""),"School Group Expense")</f>
        <v>School Group Expense</v>
      </c>
      <c r="F117" s="58" t="str">
        <f>IFERROR(__xludf.DUMMYFUNCTION("""COMPUTED_VALUE"""),"Cash")</f>
        <v>Cash</v>
      </c>
      <c r="G117" s="58"/>
      <c r="H117" s="60" t="str">
        <f t="shared" si="1"/>
        <v>OK</v>
      </c>
    </row>
    <row r="118">
      <c r="A118" s="19" t="str">
        <f>IFERROR(__xludf.DUMMYFUNCTION("""COMPUTED_VALUE"""),"VVV-2024-097")</f>
        <v>VVV-2024-097</v>
      </c>
      <c r="B118" s="48">
        <v>45553.0</v>
      </c>
      <c r="C118" s="39" t="s">
        <v>210</v>
      </c>
      <c r="D118" s="39">
        <f>IFERROR(__xludf.DUMMYFUNCTION("""COMPUTED_VALUE"""),7000.0)</f>
        <v>7000</v>
      </c>
      <c r="E118" s="58" t="str">
        <f>IFERROR(__xludf.DUMMYFUNCTION("""COMPUTED_VALUE"""),"Cash")</f>
        <v>Cash</v>
      </c>
      <c r="F118" s="58" t="str">
        <f>IFERROR(__xludf.DUMMYFUNCTION("""COMPUTED_VALUE"""),"Retail Sales Revenue")</f>
        <v>Retail Sales Revenue</v>
      </c>
      <c r="G118" s="59"/>
      <c r="H118" s="60" t="str">
        <f t="shared" si="1"/>
        <v>OK</v>
      </c>
    </row>
    <row r="119">
      <c r="A119" s="19" t="str">
        <f>IFERROR(__xludf.DUMMYFUNCTION("""COMPUTED_VALUE"""),"VVV-2024-097")</f>
        <v>VVV-2024-097</v>
      </c>
      <c r="B119" s="48">
        <v>45553.0</v>
      </c>
      <c r="C119" s="39" t="s">
        <v>210</v>
      </c>
      <c r="D119" s="39">
        <f>IFERROR(__xludf.DUMMYFUNCTION("""COMPUTED_VALUE"""),4200.0)</f>
        <v>4200</v>
      </c>
      <c r="E119" s="58" t="str">
        <f>IFERROR(__xludf.DUMMYFUNCTION("""COMPUTED_VALUE"""),"Cost of Goods Sold")</f>
        <v>Cost of Goods Sold</v>
      </c>
      <c r="F119" s="59" t="str">
        <f>IFERROR(__xludf.DUMMYFUNCTION("""COMPUTED_VALUE"""),"Inventory")</f>
        <v>Inventory</v>
      </c>
      <c r="G119" s="58"/>
      <c r="H119" s="60" t="str">
        <f t="shared" si="1"/>
        <v>OK</v>
      </c>
    </row>
    <row r="120">
      <c r="A120" s="19" t="str">
        <f>IFERROR(__xludf.DUMMYFUNCTION("""COMPUTED_VALUE"""),"VVV-2024-098")</f>
        <v>VVV-2024-098</v>
      </c>
      <c r="B120" s="48">
        <v>45555.0</v>
      </c>
      <c r="C120" s="39" t="s">
        <v>262</v>
      </c>
      <c r="D120" s="39">
        <f>IFERROR(__xludf.DUMMYFUNCTION("""COMPUTED_VALUE"""),8000.0)</f>
        <v>8000</v>
      </c>
      <c r="E120" s="58" t="str">
        <f>IFERROR(__xludf.DUMMYFUNCTION("""COMPUTED_VALUE"""),"Cash")</f>
        <v>Cash</v>
      </c>
      <c r="F120" s="58" t="str">
        <f>IFERROR(__xludf.DUMMYFUNCTION("""COMPUTED_VALUE"""),"Tour Revenue")</f>
        <v>Tour Revenue</v>
      </c>
      <c r="G120" s="58"/>
      <c r="H120" s="60" t="str">
        <f t="shared" si="1"/>
        <v>OK</v>
      </c>
    </row>
    <row r="121">
      <c r="A121" s="19" t="str">
        <f>IFERROR(__xludf.DUMMYFUNCTION("""COMPUTED_VALUE"""),"VVV-2024-099")</f>
        <v>VVV-2024-099</v>
      </c>
      <c r="B121" s="48">
        <v>45559.0</v>
      </c>
      <c r="C121" s="39" t="s">
        <v>215</v>
      </c>
      <c r="D121" s="39">
        <f>IFERROR(__xludf.DUMMYFUNCTION("""COMPUTED_VALUE"""),10240.0)</f>
        <v>10240</v>
      </c>
      <c r="E121" s="58" t="str">
        <f>IFERROR(__xludf.DUMMYFUNCTION("""COMPUTED_VALUE"""),"Wages Expense")</f>
        <v>Wages Expense</v>
      </c>
      <c r="F121" s="58" t="str">
        <f>IFERROR(__xludf.DUMMYFUNCTION("""COMPUTED_VALUE"""),"Cash")</f>
        <v>Cash</v>
      </c>
      <c r="G121" s="58" t="s">
        <v>607</v>
      </c>
      <c r="H121" s="60" t="str">
        <f t="shared" si="1"/>
        <v>OK</v>
      </c>
    </row>
    <row r="122">
      <c r="A122" s="19" t="str">
        <f>IFERROR(__xludf.DUMMYFUNCTION("""COMPUTED_VALUE"""),"VVV-2024-100")</f>
        <v>VVV-2024-100</v>
      </c>
      <c r="B122" s="48">
        <v>45565.0</v>
      </c>
      <c r="C122" s="39" t="s">
        <v>221</v>
      </c>
      <c r="D122" s="39">
        <f>IFERROR(__xludf.DUMMYFUNCTION("""COMPUTED_VALUE"""),1054.0)</f>
        <v>1054</v>
      </c>
      <c r="E122" s="58" t="str">
        <f>IFERROR(__xludf.DUMMYFUNCTION("""COMPUTED_VALUE"""),"Utilities Expense")</f>
        <v>Utilities Expense</v>
      </c>
      <c r="F122" s="58" t="str">
        <f>IFERROR(__xludf.DUMMYFUNCTION("""COMPUTED_VALUE"""),"Cash")</f>
        <v>Cash</v>
      </c>
      <c r="G122" s="59"/>
      <c r="H122" s="60" t="str">
        <f t="shared" si="1"/>
        <v>OK</v>
      </c>
    </row>
    <row r="123">
      <c r="A123" s="19" t="str">
        <f>IFERROR(__xludf.DUMMYFUNCTION("""COMPUTED_VALUE"""),"VVV-2024-101")</f>
        <v>VVV-2024-101</v>
      </c>
      <c r="B123" s="48">
        <v>45566.0</v>
      </c>
      <c r="C123" s="39" t="s">
        <v>59</v>
      </c>
      <c r="D123" s="39">
        <f>IFERROR(__xludf.DUMMYFUNCTION("""COMPUTED_VALUE"""),5400.0)</f>
        <v>5400</v>
      </c>
      <c r="E123" s="58" t="str">
        <f>IFERROR(__xludf.DUMMYFUNCTION("""COMPUTED_VALUE"""),"Rent Expense")</f>
        <v>Rent Expense</v>
      </c>
      <c r="F123" s="59" t="str">
        <f>IFERROR(__xludf.DUMMYFUNCTION("""COMPUTED_VALUE"""),"Cash")</f>
        <v>Cash</v>
      </c>
      <c r="G123" s="58"/>
      <c r="H123" s="60" t="str">
        <f t="shared" si="1"/>
        <v>OK</v>
      </c>
    </row>
    <row r="124">
      <c r="A124" s="19" t="str">
        <f>IFERROR(__xludf.DUMMYFUNCTION("""COMPUTED_VALUE"""),"VVV-2024-102")</f>
        <v>VVV-2024-102</v>
      </c>
      <c r="B124" s="48">
        <v>45570.0</v>
      </c>
      <c r="C124" s="39" t="s">
        <v>326</v>
      </c>
      <c r="D124" s="39">
        <f>IFERROR(__xludf.DUMMYFUNCTION("""COMPUTED_VALUE"""),1000.0)</f>
        <v>1000</v>
      </c>
      <c r="E124" s="58" t="str">
        <f>IFERROR(__xludf.DUMMYFUNCTION("""COMPUTED_VALUE"""),"Repairs and Maintenance Expense")</f>
        <v>Repairs and Maintenance Expense</v>
      </c>
      <c r="F124" s="58" t="str">
        <f>IFERROR(__xludf.DUMMYFUNCTION("""COMPUTED_VALUE"""),"Cash")</f>
        <v>Cash</v>
      </c>
      <c r="G124" s="58" t="s">
        <v>664</v>
      </c>
      <c r="H124" s="60" t="str">
        <f t="shared" si="1"/>
        <v>OK</v>
      </c>
    </row>
    <row r="125">
      <c r="A125" s="19" t="str">
        <f>IFERROR(__xludf.DUMMYFUNCTION("""COMPUTED_VALUE"""),"VVV-2024-103")</f>
        <v>VVV-2024-103</v>
      </c>
      <c r="B125" s="48">
        <v>45571.0</v>
      </c>
      <c r="C125" s="39" t="s">
        <v>117</v>
      </c>
      <c r="D125" s="39">
        <f>IFERROR(__xludf.DUMMYFUNCTION("""COMPUTED_VALUE"""),600.0)</f>
        <v>600</v>
      </c>
      <c r="E125" s="58" t="str">
        <f>IFERROR(__xludf.DUMMYFUNCTION("""COMPUTED_VALUE"""),"Insurance Expense")</f>
        <v>Insurance Expense</v>
      </c>
      <c r="F125" s="58" t="str">
        <f>IFERROR(__xludf.DUMMYFUNCTION("""COMPUTED_VALUE"""),"Cash")</f>
        <v>Cash</v>
      </c>
      <c r="G125" s="58"/>
      <c r="H125" s="60" t="str">
        <f t="shared" si="1"/>
        <v>OK</v>
      </c>
    </row>
    <row r="126">
      <c r="A126" s="19" t="str">
        <f>IFERROR(__xludf.DUMMYFUNCTION("""COMPUTED_VALUE"""),"VVV-2024-104")</f>
        <v>VVV-2024-104</v>
      </c>
      <c r="B126" s="48">
        <v>45577.0</v>
      </c>
      <c r="C126" s="39" t="s">
        <v>180</v>
      </c>
      <c r="D126" s="39">
        <f>IFERROR(__xludf.DUMMYFUNCTION("""COMPUTED_VALUE"""),7000.0)</f>
        <v>7000</v>
      </c>
      <c r="E126" s="58" t="str">
        <f>IFERROR(__xludf.DUMMYFUNCTION("""COMPUTED_VALUE"""),"Cash")</f>
        <v>Cash</v>
      </c>
      <c r="F126" s="58" t="str">
        <f>IFERROR(__xludf.DUMMYFUNCTION("""COMPUTED_VALUE"""),"Equipment Rental Revenue")</f>
        <v>Equipment Rental Revenue</v>
      </c>
      <c r="G126" s="59"/>
      <c r="H126" s="60" t="str">
        <f t="shared" si="1"/>
        <v>OK</v>
      </c>
    </row>
    <row r="127">
      <c r="A127" s="19" t="str">
        <f>IFERROR(__xludf.DUMMYFUNCTION("""COMPUTED_VALUE"""),"VVV-2024-105")</f>
        <v>VVV-2024-105</v>
      </c>
      <c r="B127" s="48">
        <v>45585.0</v>
      </c>
      <c r="C127" s="39" t="s">
        <v>303</v>
      </c>
      <c r="D127" s="39">
        <f>IFERROR(__xludf.DUMMYFUNCTION("""COMPUTED_VALUE"""),5000.0)</f>
        <v>5000</v>
      </c>
      <c r="E127" s="58" t="str">
        <f>IFERROR(__xludf.DUMMYFUNCTION("""COMPUTED_VALUE"""),"Accounts Receivable")</f>
        <v>Accounts Receivable</v>
      </c>
      <c r="F127" s="59" t="str">
        <f>IFERROR(__xludf.DUMMYFUNCTION("""COMPUTED_VALUE"""),"Tour Revenue")</f>
        <v>Tour Revenue</v>
      </c>
      <c r="G127" s="58" t="s">
        <v>669</v>
      </c>
      <c r="H127" s="60" t="str">
        <f t="shared" si="1"/>
        <v>OK</v>
      </c>
    </row>
    <row r="128">
      <c r="A128" s="19" t="str">
        <f>IFERROR(__xludf.DUMMYFUNCTION("""COMPUTED_VALUE"""),"VVV-2024-106")</f>
        <v>VVV-2024-106</v>
      </c>
      <c r="B128" s="48">
        <v>45589.0</v>
      </c>
      <c r="C128" s="39" t="s">
        <v>215</v>
      </c>
      <c r="D128" s="39">
        <f>IFERROR(__xludf.DUMMYFUNCTION("""COMPUTED_VALUE"""),8660.0)</f>
        <v>8660</v>
      </c>
      <c r="E128" s="58" t="str">
        <f>IFERROR(__xludf.DUMMYFUNCTION("""COMPUTED_VALUE"""),"Wages Expense")</f>
        <v>Wages Expense</v>
      </c>
      <c r="F128" s="58" t="str">
        <f>IFERROR(__xludf.DUMMYFUNCTION("""COMPUTED_VALUE"""),"Cash")</f>
        <v>Cash</v>
      </c>
      <c r="G128" s="58" t="s">
        <v>607</v>
      </c>
      <c r="H128" s="60" t="str">
        <f t="shared" si="1"/>
        <v>OK</v>
      </c>
    </row>
    <row r="129">
      <c r="A129" s="19" t="str">
        <f>IFERROR(__xludf.DUMMYFUNCTION("""COMPUTED_VALUE"""),"VVV-2024-107")</f>
        <v>VVV-2024-107</v>
      </c>
      <c r="B129" s="48">
        <v>45596.0</v>
      </c>
      <c r="C129" s="39" t="s">
        <v>221</v>
      </c>
      <c r="D129" s="39">
        <f>IFERROR(__xludf.DUMMYFUNCTION("""COMPUTED_VALUE"""),879.0)</f>
        <v>879</v>
      </c>
      <c r="E129" s="58" t="str">
        <f>IFERROR(__xludf.DUMMYFUNCTION("""COMPUTED_VALUE"""),"Utilities Expense")</f>
        <v>Utilities Expense</v>
      </c>
      <c r="F129" s="58" t="str">
        <f>IFERROR(__xludf.DUMMYFUNCTION("""COMPUTED_VALUE"""),"Cash")</f>
        <v>Cash</v>
      </c>
      <c r="G129" s="58"/>
      <c r="H129" s="60" t="str">
        <f t="shared" si="1"/>
        <v>OK</v>
      </c>
    </row>
    <row r="130">
      <c r="A130" s="19" t="str">
        <f>IFERROR(__xludf.DUMMYFUNCTION("""COMPUTED_VALUE"""),"VVV-2024-108")</f>
        <v>VVV-2024-108</v>
      </c>
      <c r="B130" s="48">
        <v>45597.0</v>
      </c>
      <c r="C130" s="39" t="s">
        <v>59</v>
      </c>
      <c r="D130" s="39">
        <f>IFERROR(__xludf.DUMMYFUNCTION("""COMPUTED_VALUE"""),5400.0)</f>
        <v>5400</v>
      </c>
      <c r="E130" s="58" t="str">
        <f>IFERROR(__xludf.DUMMYFUNCTION("""COMPUTED_VALUE"""),"Rent Expense")</f>
        <v>Rent Expense</v>
      </c>
      <c r="F130" s="58" t="str">
        <f>IFERROR(__xludf.DUMMYFUNCTION("""COMPUTED_VALUE"""),"Cash")</f>
        <v>Cash</v>
      </c>
      <c r="G130" s="58"/>
      <c r="H130" s="60" t="str">
        <f t="shared" si="1"/>
        <v>OK</v>
      </c>
    </row>
    <row r="131">
      <c r="A131" s="19" t="str">
        <f>IFERROR(__xludf.DUMMYFUNCTION("""COMPUTED_VALUE"""),"VVV-2024-109")</f>
        <v>VVV-2024-109</v>
      </c>
      <c r="B131" s="48">
        <v>45602.0</v>
      </c>
      <c r="C131" s="39" t="s">
        <v>117</v>
      </c>
      <c r="D131" s="39">
        <f>IFERROR(__xludf.DUMMYFUNCTION("""COMPUTED_VALUE"""),600.0)</f>
        <v>600</v>
      </c>
      <c r="E131" s="58" t="str">
        <f>IFERROR(__xludf.DUMMYFUNCTION("""COMPUTED_VALUE"""),"Insurance Expense")</f>
        <v>Insurance Expense</v>
      </c>
      <c r="F131" s="58" t="str">
        <f>IFERROR(__xludf.DUMMYFUNCTION("""COMPUTED_VALUE"""),"Cash")</f>
        <v>Cash</v>
      </c>
      <c r="G131" s="58"/>
      <c r="H131" s="60" t="str">
        <f t="shared" si="1"/>
        <v>OK</v>
      </c>
    </row>
    <row r="132">
      <c r="A132" s="19" t="str">
        <f>IFERROR(__xludf.DUMMYFUNCTION("""COMPUTED_VALUE"""),"VVV-2024-110")</f>
        <v>VVV-2024-110</v>
      </c>
      <c r="B132" s="48">
        <v>45608.0</v>
      </c>
      <c r="C132" s="39" t="s">
        <v>180</v>
      </c>
      <c r="D132" s="39">
        <f>IFERROR(__xludf.DUMMYFUNCTION("""COMPUTED_VALUE"""),4000.0)</f>
        <v>4000</v>
      </c>
      <c r="E132" s="58" t="str">
        <f>IFERROR(__xludf.DUMMYFUNCTION("""COMPUTED_VALUE"""),"Cash")</f>
        <v>Cash</v>
      </c>
      <c r="F132" s="58" t="str">
        <f>IFERROR(__xludf.DUMMYFUNCTION("""COMPUTED_VALUE"""),"Equipment Rental Revenue")</f>
        <v>Equipment Rental Revenue</v>
      </c>
      <c r="G132" s="58"/>
      <c r="H132" s="60" t="str">
        <f t="shared" si="1"/>
        <v>OK</v>
      </c>
    </row>
    <row r="133">
      <c r="A133" s="19" t="str">
        <f>IFERROR(__xludf.DUMMYFUNCTION("""COMPUTED_VALUE"""),"VVV-2024-111")</f>
        <v>VVV-2024-111</v>
      </c>
      <c r="B133" s="48">
        <v>45616.0</v>
      </c>
      <c r="C133" s="39" t="s">
        <v>262</v>
      </c>
      <c r="D133" s="39">
        <f>IFERROR(__xludf.DUMMYFUNCTION("""COMPUTED_VALUE"""),3000.0)</f>
        <v>3000</v>
      </c>
      <c r="E133" s="58" t="str">
        <f>IFERROR(__xludf.DUMMYFUNCTION("""COMPUTED_VALUE"""),"Cash")</f>
        <v>Cash</v>
      </c>
      <c r="F133" s="58" t="str">
        <f>IFERROR(__xludf.DUMMYFUNCTION("""COMPUTED_VALUE"""),"Tour Revenue")</f>
        <v>Tour Revenue</v>
      </c>
      <c r="G133" s="58" t="s">
        <v>670</v>
      </c>
      <c r="H133" s="60" t="str">
        <f t="shared" si="1"/>
        <v>OK</v>
      </c>
    </row>
    <row r="134">
      <c r="A134" s="19" t="str">
        <f>IFERROR(__xludf.DUMMYFUNCTION("""COMPUTED_VALUE"""),"VVV-2024-112")</f>
        <v>VVV-2024-112</v>
      </c>
      <c r="B134" s="48">
        <v>45620.0</v>
      </c>
      <c r="C134" s="39" t="s">
        <v>215</v>
      </c>
      <c r="D134" s="39">
        <f>IFERROR(__xludf.DUMMYFUNCTION("""COMPUTED_VALUE"""),7700.0)</f>
        <v>7700</v>
      </c>
      <c r="E134" s="58" t="str">
        <f>IFERROR(__xludf.DUMMYFUNCTION("""COMPUTED_VALUE"""),"Wages Expense")</f>
        <v>Wages Expense</v>
      </c>
      <c r="F134" s="58" t="str">
        <f>IFERROR(__xludf.DUMMYFUNCTION("""COMPUTED_VALUE"""),"Cash")</f>
        <v>Cash</v>
      </c>
      <c r="G134" s="58" t="s">
        <v>607</v>
      </c>
      <c r="H134" s="83" t="str">
        <f t="shared" si="1"/>
        <v>OK</v>
      </c>
    </row>
    <row r="135">
      <c r="A135" s="19" t="str">
        <f>IFERROR(__xludf.DUMMYFUNCTION("""COMPUTED_VALUE"""),"VVV-2024-113")</f>
        <v>VVV-2024-113</v>
      </c>
      <c r="B135" s="48">
        <v>45626.0</v>
      </c>
      <c r="C135" s="39" t="s">
        <v>221</v>
      </c>
      <c r="D135" s="39">
        <f>IFERROR(__xludf.DUMMYFUNCTION("""COMPUTED_VALUE"""),764.0)</f>
        <v>764</v>
      </c>
      <c r="E135" s="58" t="str">
        <f>IFERROR(__xludf.DUMMYFUNCTION("""COMPUTED_VALUE"""),"Utilities Expense")</f>
        <v>Utilities Expense</v>
      </c>
      <c r="F135" s="58" t="str">
        <f>IFERROR(__xludf.DUMMYFUNCTION("""COMPUTED_VALUE"""),"Cash")</f>
        <v>Cash</v>
      </c>
      <c r="G135" s="58"/>
      <c r="H135" s="83" t="str">
        <f t="shared" si="1"/>
        <v>OK</v>
      </c>
    </row>
    <row r="136">
      <c r="A136" s="19" t="str">
        <f>IFERROR(__xludf.DUMMYFUNCTION("""COMPUTED_VALUE"""),"VVV-2024-114")</f>
        <v>VVV-2024-114</v>
      </c>
      <c r="B136" s="48">
        <v>45627.0</v>
      </c>
      <c r="C136" s="39" t="s">
        <v>59</v>
      </c>
      <c r="D136" s="39">
        <f>IFERROR(__xludf.DUMMYFUNCTION("""COMPUTED_VALUE"""),5400.0)</f>
        <v>5400</v>
      </c>
      <c r="E136" s="58" t="str">
        <f>IFERROR(__xludf.DUMMYFUNCTION("""COMPUTED_VALUE"""),"Rent Expense")</f>
        <v>Rent Expense</v>
      </c>
      <c r="F136" s="58" t="str">
        <f>IFERROR(__xludf.DUMMYFUNCTION("""COMPUTED_VALUE"""),"Cash")</f>
        <v>Cash</v>
      </c>
      <c r="G136" s="58"/>
      <c r="H136" s="87" t="str">
        <f t="shared" si="1"/>
        <v>OK</v>
      </c>
    </row>
    <row r="137">
      <c r="A137" s="19" t="str">
        <f>IFERROR(__xludf.DUMMYFUNCTION("""COMPUTED_VALUE"""),"VVV-2024-115")</f>
        <v>VVV-2024-115</v>
      </c>
      <c r="B137" s="48">
        <v>45632.0</v>
      </c>
      <c r="C137" s="39" t="s">
        <v>117</v>
      </c>
      <c r="D137" s="39">
        <f>IFERROR(__xludf.DUMMYFUNCTION("""COMPUTED_VALUE"""),600.0)</f>
        <v>600</v>
      </c>
      <c r="E137" s="58" t="str">
        <f>IFERROR(__xludf.DUMMYFUNCTION("""COMPUTED_VALUE"""),"Insurance Expense")</f>
        <v>Insurance Expense</v>
      </c>
      <c r="F137" s="58" t="str">
        <f>IFERROR(__xludf.DUMMYFUNCTION("""COMPUTED_VALUE"""),"Cash")</f>
        <v>Cash</v>
      </c>
      <c r="G137" s="58"/>
      <c r="H137" s="87" t="str">
        <f t="shared" si="1"/>
        <v>OK</v>
      </c>
    </row>
    <row r="138">
      <c r="A138" s="19" t="str">
        <f>IFERROR(__xludf.DUMMYFUNCTION("""COMPUTED_VALUE"""),"VVV-2024-116")</f>
        <v>VVV-2024-116</v>
      </c>
      <c r="B138" s="48">
        <v>45644.0</v>
      </c>
      <c r="C138" s="39" t="s">
        <v>210</v>
      </c>
      <c r="D138" s="39">
        <f>IFERROR(__xludf.DUMMYFUNCTION("""COMPUTED_VALUE"""),3500.0)</f>
        <v>3500</v>
      </c>
      <c r="E138" s="58" t="str">
        <f>IFERROR(__xludf.DUMMYFUNCTION("""COMPUTED_VALUE"""),"Cash")</f>
        <v>Cash</v>
      </c>
      <c r="F138" s="58" t="str">
        <f>IFERROR(__xludf.DUMMYFUNCTION("""COMPUTED_VALUE"""),"Retail Sales Revenue")</f>
        <v>Retail Sales Revenue</v>
      </c>
      <c r="G138" s="58"/>
      <c r="H138" s="87" t="str">
        <f t="shared" si="1"/>
        <v>OK</v>
      </c>
    </row>
    <row r="139">
      <c r="A139" s="19" t="str">
        <f>IFERROR(__xludf.DUMMYFUNCTION("""COMPUTED_VALUE"""),"VVV-2024-116")</f>
        <v>VVV-2024-116</v>
      </c>
      <c r="B139" s="48">
        <v>45644.0</v>
      </c>
      <c r="C139" s="39" t="s">
        <v>210</v>
      </c>
      <c r="D139" s="39">
        <f>IFERROR(__xludf.DUMMYFUNCTION("""COMPUTED_VALUE"""),2100.0)</f>
        <v>2100</v>
      </c>
      <c r="E139" s="58" t="str">
        <f>IFERROR(__xludf.DUMMYFUNCTION("""COMPUTED_VALUE"""),"Cost of Goods Sold")</f>
        <v>Cost of Goods Sold</v>
      </c>
      <c r="F139" s="58" t="str">
        <f>IFERROR(__xludf.DUMMYFUNCTION("""COMPUTED_VALUE"""),"Inventory")</f>
        <v>Inventory</v>
      </c>
      <c r="G139" s="58"/>
      <c r="H139" s="87" t="str">
        <f t="shared" si="1"/>
        <v>OK</v>
      </c>
    </row>
    <row r="140">
      <c r="A140" s="19" t="str">
        <f>IFERROR(__xludf.DUMMYFUNCTION("""COMPUTED_VALUE"""),"VVV-2024-117")</f>
        <v>VVV-2024-117</v>
      </c>
      <c r="B140" s="48">
        <v>45647.0</v>
      </c>
      <c r="C140" s="39" t="s">
        <v>623</v>
      </c>
      <c r="D140" s="39">
        <f>IFERROR(__xludf.DUMMYFUNCTION("""COMPUTED_VALUE"""),6000.0)</f>
        <v>6000</v>
      </c>
      <c r="E140" s="58" t="str">
        <f>IFERROR(__xludf.DUMMYFUNCTION("""COMPUTED_VALUE"""),"Cash")</f>
        <v>Cash</v>
      </c>
      <c r="F140" s="58" t="str">
        <f>IFERROR(__xludf.DUMMYFUNCTION("""COMPUTED_VALUE"""),"Unearned Revenue")</f>
        <v>Unearned Revenue</v>
      </c>
      <c r="G140" s="58" t="s">
        <v>671</v>
      </c>
      <c r="H140" s="83" t="str">
        <f t="shared" si="1"/>
        <v>OK</v>
      </c>
    </row>
    <row r="141">
      <c r="A141" s="19" t="str">
        <f>IFERROR(__xludf.DUMMYFUNCTION("""COMPUTED_VALUE"""),"VVV-2024-118")</f>
        <v>VVV-2024-118</v>
      </c>
      <c r="B141" s="48">
        <v>45648.0</v>
      </c>
      <c r="C141" s="39" t="s">
        <v>629</v>
      </c>
      <c r="D141" s="39">
        <f>IFERROR(__xludf.DUMMYFUNCTION("""COMPUTED_VALUE"""),1200.0)</f>
        <v>1200</v>
      </c>
      <c r="E141" s="58" t="str">
        <f>IFERROR(__xludf.DUMMYFUNCTION("""COMPUTED_VALUE"""),"Interest Expense")</f>
        <v>Interest Expense</v>
      </c>
      <c r="F141" s="58" t="str">
        <f>IFERROR(__xludf.DUMMYFUNCTION("""COMPUTED_VALUE"""),"Cash")</f>
        <v>Cash</v>
      </c>
      <c r="G141" s="58"/>
      <c r="H141" s="87" t="str">
        <f t="shared" si="1"/>
        <v>OK</v>
      </c>
    </row>
    <row r="142">
      <c r="A142" s="19" t="str">
        <f>IFERROR(__xludf.DUMMYFUNCTION("""COMPUTED_VALUE"""),"VVV-2024-119")</f>
        <v>VVV-2024-119</v>
      </c>
      <c r="B142" s="48">
        <v>45650.0</v>
      </c>
      <c r="C142" s="39" t="s">
        <v>215</v>
      </c>
      <c r="D142" s="39">
        <f>IFERROR(__xludf.DUMMYFUNCTION("""COMPUTED_VALUE"""),7200.0)</f>
        <v>7200</v>
      </c>
      <c r="E142" s="58" t="str">
        <f>IFERROR(__xludf.DUMMYFUNCTION("""COMPUTED_VALUE"""),"Wages Expense")</f>
        <v>Wages Expense</v>
      </c>
      <c r="F142" s="58" t="str">
        <f>IFERROR(__xludf.DUMMYFUNCTION("""COMPUTED_VALUE"""),"Cash")</f>
        <v>Cash</v>
      </c>
      <c r="G142" s="58" t="s">
        <v>607</v>
      </c>
      <c r="H142" s="83" t="str">
        <f t="shared" si="1"/>
        <v>OK</v>
      </c>
    </row>
    <row r="143">
      <c r="A143" s="19" t="str">
        <f>IFERROR(__xludf.DUMMYFUNCTION("""COMPUTED_VALUE"""),"VVV-2024-120")</f>
        <v>VVV-2024-120</v>
      </c>
      <c r="B143" s="48">
        <v>45657.0</v>
      </c>
      <c r="C143" s="39" t="s">
        <v>221</v>
      </c>
      <c r="D143" s="39">
        <f>IFERROR(__xludf.DUMMYFUNCTION("""COMPUTED_VALUE"""),682.0)</f>
        <v>682</v>
      </c>
      <c r="E143" s="58" t="str">
        <f>IFERROR(__xludf.DUMMYFUNCTION("""COMPUTED_VALUE"""),"Utilities Expense")</f>
        <v>Utilities Expense</v>
      </c>
      <c r="F143" s="58" t="str">
        <f>IFERROR(__xludf.DUMMYFUNCTION("""COMPUTED_VALUE"""),"Cash")</f>
        <v>Cash</v>
      </c>
      <c r="G143" s="59"/>
      <c r="H143" s="87" t="str">
        <f t="shared" si="1"/>
        <v>OK</v>
      </c>
    </row>
    <row r="144">
      <c r="A144" s="88"/>
      <c r="B144" s="1"/>
      <c r="C144" s="1"/>
      <c r="D144" s="1"/>
      <c r="E144" s="89"/>
      <c r="F144" s="67"/>
      <c r="G144" s="89"/>
      <c r="H144" s="90"/>
    </row>
    <row r="145">
      <c r="A145" s="88"/>
      <c r="B145" s="1"/>
      <c r="C145" s="1"/>
      <c r="D145" s="1"/>
      <c r="E145" s="89"/>
      <c r="F145" s="89"/>
      <c r="G145" s="67"/>
      <c r="H145" s="91"/>
    </row>
    <row r="146">
      <c r="A146" s="88"/>
      <c r="B146" s="1"/>
      <c r="C146" s="1"/>
      <c r="D146" s="1"/>
      <c r="E146" s="89"/>
      <c r="F146" s="89"/>
      <c r="G146" s="89"/>
      <c r="H146" s="90"/>
    </row>
    <row r="147">
      <c r="A147" s="88"/>
      <c r="B147" s="1"/>
      <c r="C147" s="1"/>
      <c r="D147" s="1"/>
      <c r="E147" s="89"/>
      <c r="F147" s="89"/>
      <c r="G147" s="89"/>
      <c r="H147" s="91"/>
    </row>
    <row r="148">
      <c r="A148" s="88"/>
      <c r="B148" s="1"/>
      <c r="C148" s="1"/>
      <c r="D148" s="1"/>
      <c r="E148" s="89"/>
      <c r="F148" s="89"/>
      <c r="G148" s="67"/>
      <c r="H148" s="90"/>
    </row>
    <row r="149">
      <c r="A149" s="88"/>
      <c r="B149" s="1"/>
      <c r="C149" s="1"/>
      <c r="D149" s="1"/>
      <c r="E149" s="89"/>
      <c r="F149" s="89"/>
      <c r="G149" s="89"/>
      <c r="H149" s="90"/>
    </row>
    <row r="150">
      <c r="A150" s="88"/>
      <c r="B150" s="1"/>
      <c r="C150" s="1"/>
      <c r="D150" s="1"/>
      <c r="E150" s="89"/>
      <c r="F150" s="89"/>
      <c r="G150" s="89"/>
      <c r="H150" s="91"/>
    </row>
    <row r="151">
      <c r="A151" s="88"/>
      <c r="B151" s="1"/>
      <c r="C151" s="1"/>
      <c r="D151" s="1"/>
      <c r="E151" s="89"/>
      <c r="F151" s="89"/>
      <c r="G151" s="89"/>
      <c r="H151" s="90"/>
    </row>
    <row r="152">
      <c r="A152" s="88"/>
      <c r="B152" s="1"/>
      <c r="C152" s="1"/>
      <c r="D152" s="1"/>
      <c r="E152" s="89"/>
      <c r="F152" s="89"/>
      <c r="G152" s="89"/>
      <c r="H152" s="90"/>
    </row>
    <row r="153">
      <c r="A153" s="88"/>
      <c r="B153" s="1"/>
      <c r="C153" s="1"/>
      <c r="D153" s="1"/>
      <c r="E153" s="89"/>
      <c r="F153" s="89"/>
      <c r="G153" s="89"/>
      <c r="H153" s="91"/>
    </row>
    <row r="154">
      <c r="A154" s="88"/>
      <c r="B154" s="1"/>
      <c r="C154" s="1"/>
      <c r="D154" s="1"/>
      <c r="E154" s="89"/>
      <c r="F154" s="89"/>
      <c r="G154" s="67"/>
      <c r="H154" s="91"/>
    </row>
    <row r="155">
      <c r="A155" s="88"/>
      <c r="B155" s="1"/>
      <c r="C155" s="1"/>
      <c r="D155" s="1"/>
      <c r="E155" s="89"/>
      <c r="F155" s="89"/>
      <c r="G155" s="89"/>
      <c r="H155" s="90"/>
    </row>
    <row r="156">
      <c r="A156" s="88"/>
      <c r="B156" s="1"/>
      <c r="C156" s="1"/>
      <c r="D156" s="1"/>
      <c r="E156" s="89"/>
      <c r="F156" s="67"/>
      <c r="G156" s="89"/>
      <c r="H156" s="90"/>
    </row>
    <row r="157">
      <c r="A157" s="88"/>
      <c r="B157" s="1"/>
      <c r="C157" s="1"/>
      <c r="D157" s="1"/>
      <c r="E157" s="89"/>
      <c r="F157" s="89"/>
      <c r="G157" s="67"/>
      <c r="H157" s="91"/>
    </row>
    <row r="158">
      <c r="A158" s="88"/>
      <c r="B158" s="1"/>
      <c r="C158" s="1"/>
      <c r="D158" s="1"/>
      <c r="E158" s="89"/>
      <c r="F158" s="67"/>
      <c r="G158" s="89"/>
      <c r="H158" s="90"/>
    </row>
    <row r="159">
      <c r="A159" s="88"/>
      <c r="B159" s="1"/>
      <c r="C159" s="1"/>
      <c r="D159" s="1"/>
      <c r="E159" s="89"/>
      <c r="F159" s="89"/>
      <c r="G159" s="67"/>
      <c r="H159" s="91"/>
    </row>
    <row r="160">
      <c r="A160" s="88"/>
      <c r="B160" s="1"/>
      <c r="C160" s="1"/>
      <c r="D160" s="1"/>
      <c r="E160" s="89"/>
      <c r="F160" s="89"/>
      <c r="G160" s="89"/>
      <c r="H160" s="90"/>
    </row>
    <row r="161">
      <c r="A161" s="88"/>
      <c r="B161" s="1"/>
      <c r="C161" s="1"/>
      <c r="D161" s="1"/>
      <c r="E161" s="89"/>
      <c r="F161" s="89"/>
      <c r="G161" s="89"/>
      <c r="H161" s="91"/>
    </row>
    <row r="162">
      <c r="A162" s="88"/>
      <c r="B162" s="1"/>
      <c r="C162" s="1"/>
      <c r="D162" s="1"/>
      <c r="E162" s="89"/>
      <c r="F162" s="89"/>
      <c r="G162" s="89"/>
      <c r="H162" s="91"/>
    </row>
    <row r="163">
      <c r="A163" s="88"/>
      <c r="B163" s="1"/>
      <c r="C163" s="1"/>
      <c r="D163" s="1"/>
      <c r="E163" s="89"/>
      <c r="F163" s="89"/>
      <c r="G163" s="67"/>
      <c r="H163" s="90"/>
    </row>
    <row r="164">
      <c r="A164" s="88"/>
      <c r="B164" s="1"/>
      <c r="C164" s="1"/>
      <c r="D164" s="1"/>
      <c r="E164" s="89"/>
      <c r="F164" s="67"/>
      <c r="G164" s="89"/>
      <c r="H164" s="90"/>
    </row>
    <row r="165">
      <c r="A165" s="88"/>
      <c r="B165" s="1"/>
      <c r="C165" s="1"/>
      <c r="D165" s="1"/>
      <c r="E165" s="89"/>
      <c r="F165" s="89"/>
      <c r="G165" s="67"/>
      <c r="H165" s="91"/>
    </row>
    <row r="166">
      <c r="A166" s="88"/>
      <c r="B166" s="1"/>
      <c r="C166" s="1"/>
      <c r="D166" s="1"/>
      <c r="E166" s="89"/>
      <c r="F166" s="67"/>
      <c r="G166" s="89"/>
      <c r="H166" s="90"/>
    </row>
    <row r="167">
      <c r="A167" s="88"/>
      <c r="B167" s="1"/>
      <c r="C167" s="1"/>
      <c r="D167" s="1"/>
      <c r="E167" s="89"/>
      <c r="F167" s="89"/>
      <c r="G167" s="67"/>
      <c r="H167" s="91"/>
    </row>
    <row r="168">
      <c r="A168" s="88"/>
      <c r="B168" s="1"/>
      <c r="C168" s="1"/>
      <c r="D168" s="1"/>
      <c r="E168" s="89"/>
      <c r="F168" s="67"/>
      <c r="G168" s="89"/>
      <c r="H168" s="90"/>
    </row>
    <row r="169">
      <c r="A169" s="88"/>
      <c r="B169" s="1"/>
      <c r="C169" s="1"/>
      <c r="D169" s="1"/>
      <c r="E169" s="89"/>
      <c r="F169" s="89"/>
      <c r="G169" s="67"/>
      <c r="H169" s="90"/>
    </row>
    <row r="170">
      <c r="A170" s="88"/>
      <c r="B170" s="1"/>
      <c r="C170" s="1"/>
      <c r="D170" s="1"/>
      <c r="E170" s="89"/>
      <c r="F170" s="67"/>
      <c r="G170" s="89"/>
      <c r="H170" s="90"/>
    </row>
    <row r="171">
      <c r="A171" s="88"/>
      <c r="B171" s="1"/>
      <c r="C171" s="1"/>
      <c r="D171" s="1"/>
      <c r="E171" s="89"/>
      <c r="F171" s="89"/>
      <c r="G171" s="67"/>
      <c r="H171" s="90"/>
    </row>
    <row r="172">
      <c r="A172" s="88"/>
      <c r="B172" s="1"/>
      <c r="C172" s="1"/>
      <c r="D172" s="1"/>
      <c r="E172" s="89"/>
      <c r="F172" s="89"/>
      <c r="G172" s="89"/>
      <c r="H172" s="90"/>
    </row>
    <row r="173">
      <c r="A173" s="88"/>
      <c r="B173" s="1"/>
      <c r="C173" s="1"/>
      <c r="D173" s="1"/>
      <c r="E173" s="89"/>
      <c r="F173" s="89"/>
      <c r="G173" s="89"/>
      <c r="H173" s="90"/>
    </row>
    <row r="174">
      <c r="A174" s="88"/>
      <c r="B174" s="1"/>
      <c r="C174" s="1"/>
      <c r="D174" s="1"/>
      <c r="E174" s="89"/>
      <c r="F174" s="67"/>
      <c r="G174" s="89"/>
      <c r="H174" s="90"/>
    </row>
    <row r="175">
      <c r="A175" s="88"/>
      <c r="B175" s="1"/>
      <c r="C175" s="1"/>
      <c r="D175" s="1"/>
      <c r="E175" s="89"/>
      <c r="F175" s="89"/>
      <c r="G175" s="67"/>
      <c r="H175" s="90"/>
    </row>
    <row r="176">
      <c r="A176" s="88"/>
      <c r="B176" s="1"/>
      <c r="C176" s="1"/>
      <c r="D176" s="1"/>
      <c r="E176" s="89"/>
      <c r="F176" s="67"/>
      <c r="G176" s="89"/>
      <c r="H176" s="90"/>
    </row>
    <row r="177">
      <c r="A177" s="88"/>
      <c r="B177" s="1"/>
      <c r="C177" s="1"/>
      <c r="D177" s="1"/>
      <c r="E177" s="89"/>
      <c r="F177" s="89"/>
      <c r="G177" s="67"/>
      <c r="H177" s="91"/>
    </row>
    <row r="178">
      <c r="A178" s="88"/>
      <c r="B178" s="1"/>
      <c r="C178" s="1"/>
      <c r="D178" s="1"/>
      <c r="E178" s="89"/>
      <c r="F178" s="89"/>
      <c r="G178" s="89"/>
      <c r="H178" s="90"/>
    </row>
    <row r="179">
      <c r="A179" s="88"/>
      <c r="B179" s="1"/>
      <c r="C179" s="1"/>
      <c r="D179" s="1"/>
      <c r="E179" s="89"/>
      <c r="F179" s="89"/>
      <c r="G179" s="89"/>
      <c r="H179" s="90"/>
    </row>
    <row r="180">
      <c r="A180" s="88"/>
      <c r="B180" s="1"/>
      <c r="C180" s="1"/>
      <c r="D180" s="1"/>
      <c r="E180" s="89"/>
      <c r="F180" s="67"/>
      <c r="G180" s="89"/>
      <c r="H180" s="90"/>
    </row>
    <row r="181">
      <c r="A181" s="88"/>
      <c r="B181" s="1"/>
      <c r="C181" s="1"/>
      <c r="D181" s="1"/>
      <c r="E181" s="89"/>
      <c r="F181" s="89"/>
      <c r="G181" s="67"/>
      <c r="H181" s="91"/>
    </row>
    <row r="182">
      <c r="A182" s="88"/>
      <c r="B182" s="1"/>
      <c r="C182" s="1"/>
      <c r="D182" s="1"/>
      <c r="E182" s="89"/>
      <c r="F182" s="67"/>
      <c r="G182" s="89"/>
      <c r="H182" s="90"/>
    </row>
    <row r="183">
      <c r="A183" s="88"/>
      <c r="B183" s="1"/>
      <c r="C183" s="1"/>
      <c r="D183" s="1"/>
      <c r="E183" s="89"/>
      <c r="F183" s="89"/>
      <c r="G183" s="67"/>
      <c r="H183" s="91"/>
    </row>
    <row r="184">
      <c r="A184" s="88"/>
      <c r="B184" s="1"/>
      <c r="C184" s="1"/>
      <c r="D184" s="1"/>
      <c r="E184" s="89"/>
      <c r="F184" s="89"/>
      <c r="G184" s="89"/>
      <c r="H184" s="90"/>
    </row>
    <row r="185">
      <c r="A185" s="88"/>
      <c r="B185" s="1"/>
      <c r="C185" s="1"/>
      <c r="D185" s="1"/>
      <c r="E185" s="89"/>
      <c r="F185" s="89"/>
      <c r="G185" s="89"/>
      <c r="H185" s="90"/>
    </row>
    <row r="186">
      <c r="A186" s="88"/>
      <c r="B186" s="1"/>
      <c r="C186" s="1"/>
      <c r="D186" s="1"/>
      <c r="E186" s="89"/>
      <c r="F186" s="89"/>
      <c r="G186" s="89"/>
      <c r="H186" s="90"/>
    </row>
    <row r="187">
      <c r="A187" s="88"/>
      <c r="B187" s="1"/>
      <c r="C187" s="1"/>
      <c r="D187" s="1"/>
      <c r="E187" s="89"/>
      <c r="F187" s="89"/>
      <c r="G187" s="89"/>
      <c r="H187" s="91"/>
    </row>
    <row r="188">
      <c r="A188" s="88"/>
      <c r="B188" s="1"/>
      <c r="C188" s="1"/>
      <c r="D188" s="1"/>
      <c r="E188" s="89"/>
      <c r="F188" s="89"/>
      <c r="G188" s="67"/>
      <c r="H188" s="90"/>
    </row>
    <row r="189">
      <c r="A189" s="88"/>
      <c r="B189" s="1"/>
      <c r="C189" s="1"/>
      <c r="D189" s="1"/>
      <c r="E189" s="89"/>
      <c r="F189" s="67"/>
      <c r="G189" s="89"/>
      <c r="H189" s="90"/>
    </row>
    <row r="190">
      <c r="A190" s="88"/>
      <c r="B190" s="1"/>
      <c r="C190" s="1"/>
      <c r="D190" s="1"/>
      <c r="E190" s="89"/>
      <c r="F190" s="89"/>
      <c r="G190" s="67"/>
      <c r="H190" s="91"/>
    </row>
    <row r="191">
      <c r="A191" s="88"/>
      <c r="B191" s="1"/>
      <c r="C191" s="1"/>
      <c r="D191" s="1"/>
      <c r="E191" s="89"/>
      <c r="F191" s="89"/>
      <c r="G191" s="89"/>
      <c r="H191" s="90"/>
    </row>
    <row r="192">
      <c r="A192" s="88"/>
      <c r="B192" s="1"/>
      <c r="C192" s="1"/>
      <c r="D192" s="1"/>
      <c r="E192" s="89"/>
      <c r="F192" s="89"/>
      <c r="G192" s="89"/>
      <c r="H192" s="90"/>
    </row>
    <row r="193">
      <c r="A193" s="88"/>
      <c r="B193" s="1"/>
      <c r="C193" s="1"/>
      <c r="D193" s="1"/>
      <c r="E193" s="89"/>
      <c r="F193" s="89"/>
      <c r="G193" s="89"/>
      <c r="H193" s="90"/>
    </row>
    <row r="194">
      <c r="A194" s="88"/>
      <c r="B194" s="1"/>
      <c r="C194" s="1"/>
      <c r="D194" s="1"/>
      <c r="E194" s="89"/>
      <c r="F194" s="89"/>
      <c r="G194" s="89"/>
      <c r="H194" s="90"/>
    </row>
    <row r="195">
      <c r="A195" s="88"/>
      <c r="B195" s="1"/>
      <c r="C195" s="1"/>
      <c r="D195" s="1"/>
      <c r="E195" s="89"/>
      <c r="F195" s="89"/>
      <c r="G195" s="67"/>
      <c r="H195" s="90"/>
    </row>
    <row r="196">
      <c r="A196" s="88"/>
      <c r="B196" s="1"/>
      <c r="C196" s="1"/>
      <c r="D196" s="1"/>
      <c r="E196" s="89"/>
      <c r="F196" s="67"/>
      <c r="G196" s="89"/>
      <c r="H196" s="90"/>
    </row>
    <row r="197">
      <c r="A197" s="88"/>
      <c r="B197" s="1"/>
      <c r="C197" s="1"/>
      <c r="D197" s="1"/>
      <c r="E197" s="89"/>
      <c r="F197" s="89"/>
      <c r="G197" s="89"/>
      <c r="H197" s="90"/>
    </row>
    <row r="198">
      <c r="A198" s="88"/>
      <c r="B198" s="1"/>
      <c r="C198" s="1"/>
      <c r="D198" s="1"/>
      <c r="E198" s="89"/>
      <c r="F198" s="89"/>
      <c r="G198" s="89"/>
      <c r="H198" s="90"/>
    </row>
    <row r="199">
      <c r="A199" s="88"/>
      <c r="B199" s="1"/>
      <c r="C199" s="1"/>
      <c r="D199" s="1"/>
      <c r="E199" s="89"/>
      <c r="F199" s="89"/>
      <c r="G199" s="89"/>
      <c r="H199" s="90"/>
    </row>
    <row r="200">
      <c r="A200" s="88"/>
      <c r="B200" s="1"/>
      <c r="C200" s="1"/>
      <c r="D200" s="1"/>
      <c r="E200" s="89"/>
      <c r="F200" s="89"/>
      <c r="G200" s="89"/>
      <c r="H200" s="90"/>
    </row>
    <row r="201">
      <c r="A201" s="88"/>
      <c r="B201" s="1"/>
      <c r="C201" s="1"/>
      <c r="D201" s="1"/>
      <c r="E201" s="89"/>
      <c r="F201" s="89"/>
      <c r="G201" s="89"/>
      <c r="H201" s="91"/>
    </row>
    <row r="202">
      <c r="A202" s="88"/>
      <c r="B202" s="1"/>
      <c r="C202" s="1"/>
      <c r="D202" s="1"/>
      <c r="E202" s="89"/>
      <c r="F202" s="89"/>
      <c r="G202" s="67"/>
      <c r="H202" s="90"/>
    </row>
    <row r="203">
      <c r="A203" s="88"/>
      <c r="B203" s="1"/>
      <c r="C203" s="1"/>
      <c r="D203" s="1"/>
      <c r="E203" s="89"/>
      <c r="F203" s="67"/>
      <c r="G203" s="89"/>
      <c r="H203" s="90"/>
    </row>
    <row r="204">
      <c r="A204" s="88"/>
      <c r="B204" s="1"/>
      <c r="C204" s="1"/>
      <c r="D204" s="1"/>
      <c r="E204" s="89"/>
      <c r="F204" s="89"/>
      <c r="G204" s="89"/>
      <c r="H204" s="91"/>
    </row>
    <row r="205">
      <c r="A205" s="88"/>
      <c r="B205" s="1"/>
      <c r="C205" s="1"/>
      <c r="D205" s="1"/>
      <c r="E205" s="89"/>
      <c r="F205" s="89"/>
      <c r="G205" s="89"/>
      <c r="H205" s="90"/>
    </row>
    <row r="206">
      <c r="A206" s="88"/>
      <c r="B206" s="1"/>
      <c r="C206" s="1"/>
      <c r="D206" s="1"/>
      <c r="E206" s="89"/>
      <c r="F206" s="89"/>
      <c r="G206" s="89"/>
      <c r="H206" s="90"/>
    </row>
    <row r="207">
      <c r="A207" s="88"/>
      <c r="B207" s="1"/>
      <c r="C207" s="1"/>
      <c r="D207" s="1"/>
      <c r="E207" s="89"/>
      <c r="F207" s="89"/>
      <c r="G207" s="89"/>
      <c r="H207" s="90"/>
    </row>
    <row r="208">
      <c r="A208" s="88"/>
      <c r="B208" s="1"/>
      <c r="C208" s="1"/>
      <c r="D208" s="1"/>
      <c r="E208" s="89"/>
      <c r="F208" s="89"/>
      <c r="G208" s="89"/>
      <c r="H208" s="90"/>
    </row>
    <row r="209">
      <c r="A209" s="88"/>
      <c r="B209" s="1"/>
      <c r="C209" s="1"/>
      <c r="D209" s="1"/>
      <c r="E209" s="89"/>
      <c r="F209" s="89"/>
      <c r="G209" s="89"/>
      <c r="H209" s="90"/>
    </row>
    <row r="210">
      <c r="A210" s="88"/>
      <c r="B210" s="1"/>
      <c r="C210" s="1"/>
      <c r="D210" s="1"/>
      <c r="E210" s="89"/>
      <c r="F210" s="89"/>
      <c r="G210" s="89"/>
      <c r="H210" s="90"/>
    </row>
    <row r="211">
      <c r="A211" s="88"/>
      <c r="B211" s="1"/>
      <c r="C211" s="1"/>
      <c r="D211" s="1"/>
      <c r="E211" s="89"/>
      <c r="F211" s="89"/>
      <c r="G211" s="89"/>
      <c r="H211" s="91"/>
    </row>
    <row r="212">
      <c r="A212" s="88"/>
      <c r="B212" s="1"/>
      <c r="C212" s="1"/>
      <c r="D212" s="1"/>
      <c r="E212" s="89"/>
      <c r="F212" s="89"/>
      <c r="G212" s="67"/>
      <c r="H212" s="90"/>
    </row>
    <row r="213">
      <c r="A213" s="88"/>
      <c r="B213" s="1"/>
      <c r="C213" s="1"/>
      <c r="D213" s="1"/>
      <c r="E213" s="89"/>
      <c r="F213" s="67"/>
      <c r="G213" s="89"/>
      <c r="H213" s="90"/>
    </row>
    <row r="214">
      <c r="A214" s="88"/>
      <c r="B214" s="1"/>
      <c r="C214" s="1"/>
      <c r="D214" s="1"/>
      <c r="E214" s="89"/>
      <c r="F214" s="89"/>
      <c r="G214" s="67"/>
      <c r="H214" s="90"/>
    </row>
    <row r="215">
      <c r="A215" s="88"/>
      <c r="B215" s="1"/>
      <c r="C215" s="1"/>
      <c r="D215" s="1"/>
      <c r="E215" s="89"/>
      <c r="F215" s="67"/>
      <c r="G215" s="89"/>
      <c r="H215" s="90"/>
    </row>
    <row r="216">
      <c r="A216" s="88"/>
      <c r="B216" s="1"/>
      <c r="C216" s="1"/>
      <c r="D216" s="1"/>
      <c r="E216" s="89"/>
      <c r="F216" s="89"/>
      <c r="G216" s="67"/>
      <c r="H216" s="91"/>
    </row>
    <row r="217">
      <c r="A217" s="88"/>
      <c r="B217" s="1"/>
      <c r="C217" s="1"/>
      <c r="D217" s="1"/>
      <c r="E217" s="89"/>
      <c r="F217" s="89"/>
      <c r="G217" s="89"/>
      <c r="H217" s="90"/>
    </row>
    <row r="218">
      <c r="A218" s="88"/>
      <c r="B218" s="1"/>
      <c r="C218" s="1"/>
      <c r="D218" s="1"/>
      <c r="E218" s="89"/>
      <c r="F218" s="89"/>
      <c r="G218" s="89"/>
      <c r="H218" s="90"/>
    </row>
    <row r="219">
      <c r="A219" s="88"/>
      <c r="B219" s="1"/>
      <c r="C219" s="1"/>
      <c r="D219" s="1"/>
      <c r="E219" s="89"/>
      <c r="F219" s="89"/>
      <c r="G219" s="89"/>
      <c r="H219" s="91"/>
    </row>
    <row r="220">
      <c r="A220" s="88"/>
      <c r="B220" s="1"/>
      <c r="C220" s="1"/>
      <c r="D220" s="1"/>
      <c r="E220" s="89"/>
      <c r="F220" s="89"/>
      <c r="G220" s="67"/>
      <c r="H220" s="90"/>
    </row>
    <row r="221">
      <c r="A221" s="88"/>
      <c r="B221" s="1"/>
      <c r="C221" s="1"/>
      <c r="D221" s="1"/>
      <c r="E221" s="89"/>
      <c r="F221" s="67"/>
      <c r="G221" s="89"/>
      <c r="H221" s="90"/>
    </row>
    <row r="222">
      <c r="A222" s="88"/>
      <c r="B222" s="1"/>
      <c r="C222" s="1"/>
      <c r="D222" s="1"/>
      <c r="E222" s="89"/>
      <c r="F222" s="89"/>
      <c r="G222" s="67"/>
      <c r="H222" s="90"/>
    </row>
    <row r="223">
      <c r="A223" s="88"/>
      <c r="B223" s="1"/>
      <c r="C223" s="1"/>
      <c r="D223" s="1"/>
      <c r="E223" s="89"/>
      <c r="F223" s="89"/>
      <c r="G223" s="89"/>
      <c r="H223" s="90"/>
    </row>
    <row r="224">
      <c r="A224" s="88"/>
      <c r="B224" s="1"/>
      <c r="C224" s="1"/>
      <c r="D224" s="1"/>
      <c r="E224" s="89"/>
      <c r="F224" s="89"/>
      <c r="G224" s="89"/>
      <c r="H224" s="91"/>
    </row>
    <row r="225">
      <c r="A225" s="88"/>
      <c r="B225" s="1"/>
      <c r="C225" s="1"/>
      <c r="D225" s="1"/>
      <c r="E225" s="89"/>
      <c r="F225" s="89"/>
      <c r="G225" s="89"/>
      <c r="H225" s="90"/>
    </row>
    <row r="226">
      <c r="A226" s="88"/>
      <c r="B226" s="1"/>
      <c r="C226" s="1"/>
      <c r="D226" s="1"/>
      <c r="E226" s="89"/>
      <c r="F226" s="89"/>
      <c r="G226" s="89"/>
      <c r="H226" s="90"/>
    </row>
    <row r="227">
      <c r="A227" s="88"/>
      <c r="B227" s="1"/>
      <c r="C227" s="1"/>
      <c r="D227" s="1"/>
      <c r="E227" s="89"/>
      <c r="F227" s="89"/>
      <c r="G227" s="89"/>
      <c r="H227" s="91"/>
    </row>
    <row r="228">
      <c r="A228" s="88"/>
      <c r="B228" s="1"/>
      <c r="C228" s="1"/>
      <c r="D228" s="1"/>
      <c r="E228" s="89"/>
      <c r="F228" s="89"/>
      <c r="G228" s="67"/>
      <c r="H228" s="91"/>
    </row>
    <row r="229">
      <c r="A229" s="88"/>
      <c r="B229" s="1"/>
      <c r="C229" s="1"/>
      <c r="D229" s="1"/>
      <c r="E229" s="89"/>
      <c r="F229" s="67"/>
      <c r="G229" s="89"/>
      <c r="H229" s="90"/>
    </row>
    <row r="230">
      <c r="A230" s="88"/>
      <c r="B230" s="1"/>
      <c r="C230" s="1"/>
      <c r="D230" s="1"/>
      <c r="E230" s="89"/>
      <c r="F230" s="89"/>
      <c r="G230" s="67"/>
      <c r="H230" s="91"/>
    </row>
    <row r="231">
      <c r="A231" s="88"/>
      <c r="B231" s="1"/>
      <c r="C231" s="1"/>
      <c r="D231" s="1"/>
      <c r="E231" s="89"/>
      <c r="F231" s="89"/>
      <c r="G231" s="89"/>
      <c r="H231" s="90"/>
    </row>
    <row r="232">
      <c r="A232" s="88"/>
      <c r="B232" s="1"/>
      <c r="C232" s="1"/>
      <c r="D232" s="1"/>
      <c r="E232" s="89"/>
      <c r="F232" s="89"/>
      <c r="G232" s="89"/>
      <c r="H232" s="90"/>
    </row>
    <row r="233">
      <c r="A233" s="88"/>
      <c r="B233" s="1"/>
      <c r="C233" s="1"/>
      <c r="D233" s="1"/>
      <c r="E233" s="89"/>
      <c r="F233" s="67"/>
      <c r="G233" s="89"/>
      <c r="H233" s="90"/>
    </row>
    <row r="234">
      <c r="A234" s="88"/>
      <c r="B234" s="1"/>
      <c r="C234" s="1"/>
      <c r="D234" s="1"/>
      <c r="E234" s="89"/>
      <c r="F234" s="89"/>
      <c r="G234" s="67"/>
      <c r="H234" s="91"/>
    </row>
    <row r="235">
      <c r="A235" s="88"/>
      <c r="B235" s="1"/>
      <c r="C235" s="1"/>
      <c r="D235" s="1"/>
      <c r="E235" s="89"/>
      <c r="F235" s="67"/>
      <c r="G235" s="89"/>
      <c r="H235" s="90"/>
    </row>
    <row r="236">
      <c r="A236" s="88"/>
      <c r="B236" s="1"/>
      <c r="C236" s="1"/>
      <c r="D236" s="1"/>
      <c r="E236" s="89"/>
      <c r="F236" s="89"/>
      <c r="G236" s="67"/>
      <c r="H236" s="91"/>
    </row>
    <row r="237">
      <c r="A237" s="88"/>
      <c r="B237" s="1"/>
      <c r="C237" s="1"/>
      <c r="D237" s="1"/>
      <c r="E237" s="89"/>
      <c r="F237" s="89"/>
      <c r="G237" s="89"/>
      <c r="H237" s="90"/>
    </row>
    <row r="238">
      <c r="A238" s="88"/>
      <c r="B238" s="1"/>
      <c r="C238" s="1"/>
      <c r="D238" s="1"/>
      <c r="E238" s="89"/>
      <c r="F238" s="89"/>
      <c r="G238" s="89"/>
      <c r="H238" s="90"/>
    </row>
    <row r="239">
      <c r="A239" s="88"/>
      <c r="B239" s="1"/>
      <c r="C239" s="1"/>
      <c r="D239" s="1"/>
      <c r="E239" s="89"/>
      <c r="F239" s="89"/>
      <c r="G239" s="89"/>
      <c r="H239" s="90"/>
    </row>
    <row r="240">
      <c r="A240" s="88"/>
      <c r="B240" s="1"/>
      <c r="C240" s="1"/>
      <c r="D240" s="1"/>
      <c r="E240" s="89"/>
      <c r="F240" s="89"/>
      <c r="G240" s="89"/>
      <c r="H240" s="91"/>
    </row>
    <row r="241">
      <c r="A241" s="88"/>
      <c r="B241" s="1"/>
      <c r="C241" s="1"/>
      <c r="D241" s="1"/>
      <c r="E241" s="89"/>
      <c r="F241" s="89"/>
      <c r="G241" s="89"/>
      <c r="H241" s="90"/>
    </row>
    <row r="242">
      <c r="A242" s="88"/>
      <c r="B242" s="1"/>
      <c r="C242" s="1"/>
      <c r="D242" s="1"/>
      <c r="E242" s="89"/>
      <c r="F242" s="89"/>
      <c r="G242" s="89"/>
      <c r="H242" s="91"/>
    </row>
    <row r="243">
      <c r="A243" s="88"/>
      <c r="B243" s="1"/>
      <c r="C243" s="1"/>
      <c r="D243" s="1"/>
      <c r="E243" s="89"/>
      <c r="F243" s="89"/>
      <c r="G243" s="89"/>
      <c r="H243" s="91"/>
    </row>
    <row r="244">
      <c r="A244" s="88"/>
      <c r="B244" s="1"/>
      <c r="C244" s="1"/>
      <c r="D244" s="1"/>
      <c r="E244" s="89"/>
      <c r="F244" s="89"/>
      <c r="G244" s="89"/>
      <c r="H244" s="90"/>
    </row>
    <row r="245">
      <c r="A245" s="88"/>
      <c r="B245" s="1"/>
      <c r="C245" s="1"/>
      <c r="D245" s="1"/>
      <c r="E245" s="89"/>
      <c r="F245" s="89"/>
      <c r="G245" s="89"/>
      <c r="H245" s="90"/>
    </row>
    <row r="246">
      <c r="A246" s="88"/>
      <c r="B246" s="1"/>
      <c r="C246" s="1"/>
      <c r="D246" s="1"/>
      <c r="E246" s="89"/>
      <c r="F246" s="89"/>
      <c r="G246" s="89"/>
      <c r="H246" s="90"/>
    </row>
    <row r="247">
      <c r="A247" s="88"/>
      <c r="B247" s="1"/>
      <c r="C247" s="1"/>
      <c r="D247" s="1"/>
      <c r="E247" s="89"/>
      <c r="F247" s="89"/>
      <c r="G247" s="89"/>
      <c r="H247" s="90"/>
    </row>
    <row r="248">
      <c r="A248" s="88"/>
      <c r="B248" s="1"/>
      <c r="C248" s="1"/>
      <c r="D248" s="1"/>
      <c r="E248" s="89"/>
      <c r="F248" s="89"/>
      <c r="G248" s="89"/>
      <c r="H248" s="90"/>
    </row>
    <row r="249">
      <c r="A249" s="88"/>
      <c r="B249" s="1"/>
      <c r="C249" s="1"/>
      <c r="D249" s="1"/>
      <c r="E249" s="89"/>
      <c r="F249" s="89"/>
      <c r="G249" s="89"/>
      <c r="H249" s="91"/>
    </row>
    <row r="250">
      <c r="A250" s="88"/>
      <c r="B250" s="1"/>
      <c r="C250" s="1"/>
      <c r="D250" s="1"/>
      <c r="E250" s="89"/>
      <c r="F250" s="89"/>
      <c r="G250" s="89"/>
      <c r="H250" s="90"/>
    </row>
    <row r="251">
      <c r="A251" s="88"/>
      <c r="B251" s="1"/>
      <c r="C251" s="1"/>
      <c r="D251" s="1"/>
      <c r="E251" s="89"/>
      <c r="F251" s="89"/>
      <c r="G251" s="89"/>
      <c r="H251" s="91"/>
    </row>
    <row r="252">
      <c r="A252" s="88"/>
      <c r="B252" s="1"/>
      <c r="C252" s="1"/>
      <c r="D252" s="1"/>
      <c r="E252" s="89"/>
      <c r="F252" s="89"/>
      <c r="G252" s="67"/>
      <c r="H252" s="91"/>
    </row>
    <row r="253">
      <c r="A253" s="88"/>
      <c r="B253" s="1"/>
      <c r="C253" s="1"/>
      <c r="D253" s="1"/>
      <c r="E253" s="89"/>
      <c r="F253" s="67"/>
      <c r="G253" s="89"/>
      <c r="H253" s="90"/>
    </row>
    <row r="254">
      <c r="A254" s="88"/>
      <c r="B254" s="1"/>
      <c r="C254" s="1"/>
      <c r="D254" s="1"/>
      <c r="E254" s="89"/>
      <c r="F254" s="89"/>
      <c r="G254" s="67"/>
      <c r="H254" s="91"/>
    </row>
    <row r="255">
      <c r="A255" s="88"/>
      <c r="B255" s="1"/>
      <c r="C255" s="1"/>
      <c r="D255" s="1"/>
      <c r="E255" s="89"/>
      <c r="F255" s="67"/>
      <c r="G255" s="89"/>
      <c r="H255" s="90"/>
    </row>
    <row r="256">
      <c r="A256" s="88"/>
      <c r="B256" s="1"/>
      <c r="C256" s="1"/>
      <c r="D256" s="1"/>
      <c r="E256" s="89"/>
      <c r="F256" s="89"/>
      <c r="G256" s="67"/>
      <c r="H256" s="90"/>
    </row>
    <row r="257">
      <c r="A257" s="88"/>
      <c r="B257" s="1"/>
      <c r="C257" s="1"/>
      <c r="D257" s="1"/>
      <c r="E257" s="89"/>
      <c r="F257" s="67"/>
      <c r="G257" s="89"/>
      <c r="H257" s="90"/>
    </row>
    <row r="258">
      <c r="A258" s="88"/>
      <c r="B258" s="1"/>
      <c r="C258" s="1"/>
      <c r="D258" s="1"/>
      <c r="E258" s="89"/>
      <c r="F258" s="89"/>
      <c r="G258" s="67"/>
      <c r="H258" s="90"/>
    </row>
    <row r="259">
      <c r="A259" s="88"/>
      <c r="B259" s="1"/>
      <c r="C259" s="1"/>
      <c r="D259" s="1"/>
      <c r="E259" s="89"/>
      <c r="F259" s="67"/>
      <c r="G259" s="89"/>
      <c r="H259" s="90"/>
    </row>
    <row r="260">
      <c r="A260" s="88"/>
      <c r="B260" s="1"/>
      <c r="C260" s="1"/>
      <c r="D260" s="1"/>
      <c r="E260" s="89"/>
      <c r="F260" s="89"/>
      <c r="G260" s="67"/>
      <c r="H260" s="90"/>
    </row>
    <row r="261">
      <c r="A261" s="88"/>
      <c r="B261" s="1"/>
      <c r="C261" s="1"/>
      <c r="D261" s="1"/>
      <c r="E261" s="89"/>
      <c r="F261" s="67"/>
      <c r="G261" s="89"/>
      <c r="H261" s="90"/>
    </row>
    <row r="262">
      <c r="A262" s="88"/>
      <c r="B262" s="1"/>
      <c r="C262" s="1"/>
      <c r="D262" s="1"/>
      <c r="E262" s="89"/>
      <c r="F262" s="89"/>
      <c r="G262" s="67"/>
      <c r="H262" s="91"/>
    </row>
    <row r="263">
      <c r="A263" s="88"/>
      <c r="B263" s="1"/>
      <c r="C263" s="1"/>
      <c r="D263" s="1"/>
      <c r="E263" s="89"/>
      <c r="F263" s="89"/>
      <c r="G263" s="89"/>
      <c r="H263" s="90"/>
    </row>
    <row r="264">
      <c r="A264" s="88"/>
      <c r="B264" s="1"/>
      <c r="C264" s="1"/>
      <c r="D264" s="1"/>
      <c r="E264" s="89"/>
      <c r="F264" s="89"/>
      <c r="G264" s="89"/>
      <c r="H264" s="91"/>
    </row>
    <row r="265">
      <c r="A265" s="88"/>
      <c r="B265" s="1"/>
      <c r="C265" s="1"/>
      <c r="D265" s="1"/>
      <c r="E265" s="89"/>
      <c r="F265" s="89"/>
      <c r="G265" s="89"/>
      <c r="H265" s="90"/>
    </row>
    <row r="266">
      <c r="A266" s="88"/>
      <c r="B266" s="1"/>
      <c r="C266" s="1"/>
      <c r="D266" s="1"/>
      <c r="E266" s="89"/>
      <c r="F266" s="89"/>
      <c r="G266" s="89"/>
      <c r="H266" s="91"/>
    </row>
    <row r="267">
      <c r="A267" s="88"/>
      <c r="B267" s="1"/>
      <c r="C267" s="1"/>
      <c r="D267" s="1"/>
      <c r="E267" s="89"/>
      <c r="F267" s="89"/>
      <c r="G267" s="89"/>
      <c r="H267" s="90"/>
    </row>
    <row r="268">
      <c r="A268" s="88"/>
      <c r="B268" s="1"/>
      <c r="C268" s="1"/>
      <c r="D268" s="1"/>
      <c r="E268" s="89"/>
      <c r="F268" s="89"/>
      <c r="G268" s="89"/>
      <c r="H268" s="90"/>
    </row>
    <row r="269">
      <c r="A269" s="88"/>
      <c r="B269" s="1"/>
      <c r="C269" s="1"/>
      <c r="D269" s="1"/>
      <c r="E269" s="89"/>
      <c r="F269" s="89"/>
      <c r="G269" s="89"/>
      <c r="H269" s="90"/>
    </row>
    <row r="270">
      <c r="A270" s="88"/>
      <c r="B270" s="1"/>
      <c r="C270" s="1"/>
      <c r="D270" s="1"/>
      <c r="E270" s="89"/>
      <c r="F270" s="89"/>
      <c r="G270" s="89"/>
      <c r="H270" s="91"/>
    </row>
    <row r="271">
      <c r="A271" s="88"/>
      <c r="B271" s="1"/>
      <c r="C271" s="1"/>
      <c r="D271" s="1"/>
      <c r="E271" s="89"/>
      <c r="F271" s="89"/>
      <c r="G271" s="89"/>
      <c r="H271" s="90"/>
    </row>
    <row r="272">
      <c r="A272" s="88"/>
      <c r="B272" s="1"/>
      <c r="C272" s="1"/>
      <c r="D272" s="1"/>
      <c r="E272" s="89"/>
      <c r="F272" s="89"/>
      <c r="G272" s="89"/>
      <c r="H272" s="90"/>
    </row>
    <row r="273">
      <c r="A273" s="92"/>
      <c r="B273" s="1"/>
      <c r="C273" s="1"/>
      <c r="D273" s="1"/>
      <c r="E273" s="89"/>
      <c r="F273" s="89"/>
      <c r="G273" s="89"/>
      <c r="H273" s="91"/>
    </row>
    <row r="274">
      <c r="B274" s="60"/>
      <c r="C274" s="60"/>
      <c r="H274" s="90"/>
    </row>
    <row r="275">
      <c r="B275" s="60"/>
      <c r="C275" s="60"/>
      <c r="G275" s="1"/>
      <c r="H275" s="90"/>
    </row>
    <row r="276">
      <c r="B276" s="60"/>
      <c r="C276" s="60"/>
      <c r="G276" s="1"/>
      <c r="H276" s="90"/>
    </row>
    <row r="277">
      <c r="B277" s="60"/>
      <c r="C277" s="60"/>
      <c r="H277" s="91"/>
    </row>
    <row r="278">
      <c r="B278" s="60"/>
      <c r="C278" s="60"/>
      <c r="G278" s="1"/>
      <c r="H278" s="90"/>
    </row>
    <row r="279">
      <c r="B279" s="60"/>
      <c r="C279" s="60"/>
      <c r="H279" s="90"/>
    </row>
    <row r="280">
      <c r="B280" s="60"/>
      <c r="C280" s="60"/>
      <c r="G280" s="1"/>
      <c r="H280" s="90"/>
    </row>
    <row r="281">
      <c r="B281" s="60"/>
      <c r="C281" s="60"/>
      <c r="H281" s="91"/>
    </row>
    <row r="282">
      <c r="B282" s="60"/>
      <c r="C282" s="60"/>
      <c r="H282" s="90"/>
    </row>
    <row r="283">
      <c r="B283" s="60"/>
      <c r="C283" s="60"/>
      <c r="G283" s="1"/>
      <c r="H283" s="90"/>
    </row>
    <row r="284">
      <c r="B284" s="60"/>
      <c r="C284" s="60"/>
      <c r="H284" s="90"/>
    </row>
    <row r="285">
      <c r="A285" s="92"/>
      <c r="B285" s="1"/>
      <c r="C285" s="1"/>
      <c r="D285" s="1"/>
      <c r="E285" s="1"/>
      <c r="G285" s="1"/>
      <c r="H285" s="90"/>
    </row>
    <row r="286">
      <c r="B286" s="60"/>
      <c r="C286" s="60"/>
      <c r="H286" s="90"/>
    </row>
    <row r="287">
      <c r="B287" s="60"/>
      <c r="C287" s="60"/>
      <c r="H287" s="90"/>
    </row>
    <row r="288">
      <c r="B288" s="60"/>
      <c r="C288" s="60"/>
      <c r="H288" s="90"/>
    </row>
    <row r="289">
      <c r="B289" s="60"/>
      <c r="C289" s="60"/>
      <c r="H289" s="90"/>
    </row>
    <row r="290">
      <c r="B290" s="60"/>
      <c r="C290" s="60"/>
      <c r="H290" s="90"/>
    </row>
    <row r="291">
      <c r="B291" s="60"/>
      <c r="C291" s="60"/>
      <c r="H291" s="90"/>
    </row>
    <row r="292">
      <c r="B292" s="60"/>
      <c r="C292" s="60"/>
      <c r="H292" s="90"/>
    </row>
    <row r="293">
      <c r="B293" s="60"/>
      <c r="C293" s="60"/>
      <c r="H293" s="90"/>
    </row>
    <row r="294">
      <c r="B294" s="60"/>
      <c r="C294" s="60"/>
      <c r="H294" s="90"/>
    </row>
    <row r="295">
      <c r="B295" s="60"/>
      <c r="C295" s="60"/>
      <c r="H295" s="90"/>
    </row>
    <row r="296">
      <c r="B296" s="60"/>
      <c r="C296" s="60"/>
      <c r="H296" s="90"/>
    </row>
    <row r="297">
      <c r="B297" s="60"/>
      <c r="C297" s="60"/>
      <c r="H297" s="90"/>
    </row>
    <row r="298">
      <c r="B298" s="60"/>
      <c r="C298" s="60"/>
      <c r="H298" s="90"/>
    </row>
    <row r="299">
      <c r="B299" s="60"/>
      <c r="C299" s="60"/>
      <c r="H299" s="90"/>
    </row>
    <row r="300">
      <c r="B300" s="60"/>
      <c r="C300" s="60"/>
      <c r="H300" s="90"/>
    </row>
    <row r="301">
      <c r="B301" s="60"/>
      <c r="C301" s="60"/>
      <c r="H301" s="90"/>
    </row>
    <row r="302">
      <c r="B302" s="60"/>
      <c r="C302" s="60"/>
      <c r="H302" s="90"/>
    </row>
    <row r="303">
      <c r="B303" s="60"/>
      <c r="C303" s="60"/>
      <c r="H303" s="90"/>
    </row>
    <row r="304">
      <c r="B304" s="60"/>
      <c r="C304" s="60"/>
      <c r="H304" s="90"/>
    </row>
    <row r="305">
      <c r="B305" s="60"/>
      <c r="C305" s="60"/>
      <c r="H305" s="90"/>
    </row>
    <row r="306">
      <c r="B306" s="60"/>
      <c r="C306" s="60"/>
      <c r="H306" s="90"/>
    </row>
    <row r="307">
      <c r="B307" s="60"/>
      <c r="C307" s="60"/>
      <c r="H307" s="90"/>
    </row>
    <row r="308">
      <c r="B308" s="60"/>
      <c r="C308" s="60"/>
      <c r="H308" s="90"/>
    </row>
    <row r="309">
      <c r="B309" s="60"/>
      <c r="C309" s="60"/>
      <c r="H309" s="90"/>
    </row>
    <row r="310">
      <c r="B310" s="60"/>
      <c r="C310" s="60"/>
      <c r="H310" s="90"/>
    </row>
    <row r="311">
      <c r="B311" s="60"/>
      <c r="C311" s="60"/>
      <c r="H311" s="90"/>
    </row>
    <row r="312">
      <c r="B312" s="60"/>
      <c r="C312" s="60"/>
      <c r="H312" s="90"/>
    </row>
    <row r="313">
      <c r="B313" s="60"/>
      <c r="C313" s="60"/>
      <c r="H313" s="90"/>
    </row>
    <row r="314">
      <c r="B314" s="60"/>
      <c r="C314" s="60"/>
      <c r="H314" s="90"/>
    </row>
    <row r="315">
      <c r="B315" s="60"/>
      <c r="C315" s="60"/>
      <c r="H315" s="90"/>
    </row>
    <row r="316">
      <c r="B316" s="60"/>
      <c r="C316" s="60"/>
      <c r="H316" s="90"/>
    </row>
    <row r="317">
      <c r="B317" s="60"/>
      <c r="C317" s="60"/>
      <c r="H317" s="90"/>
    </row>
    <row r="318">
      <c r="B318" s="60"/>
      <c r="C318" s="60"/>
      <c r="H318" s="90"/>
    </row>
    <row r="319">
      <c r="B319" s="60"/>
      <c r="C319" s="60"/>
      <c r="H319" s="90"/>
    </row>
    <row r="320">
      <c r="B320" s="60"/>
      <c r="C320" s="60"/>
      <c r="H320" s="90"/>
    </row>
    <row r="321">
      <c r="B321" s="60"/>
      <c r="C321" s="60"/>
      <c r="H321" s="90"/>
    </row>
    <row r="322">
      <c r="B322" s="60"/>
      <c r="C322" s="60"/>
      <c r="H322" s="90"/>
    </row>
    <row r="323">
      <c r="B323" s="60"/>
      <c r="C323" s="60"/>
      <c r="H323" s="90"/>
    </row>
    <row r="324">
      <c r="B324" s="60"/>
      <c r="C324" s="60"/>
      <c r="H324" s="90"/>
    </row>
    <row r="325">
      <c r="B325" s="60"/>
      <c r="C325" s="60"/>
      <c r="H325" s="90"/>
    </row>
    <row r="326">
      <c r="B326" s="60"/>
      <c r="C326" s="60"/>
      <c r="H326" s="90"/>
    </row>
    <row r="327">
      <c r="B327" s="60"/>
      <c r="C327" s="60"/>
      <c r="H327" s="90"/>
    </row>
    <row r="328">
      <c r="B328" s="60"/>
      <c r="C328" s="60"/>
      <c r="H328" s="90"/>
    </row>
    <row r="329">
      <c r="B329" s="60"/>
      <c r="C329" s="60"/>
      <c r="H329" s="90"/>
    </row>
    <row r="330">
      <c r="B330" s="60"/>
      <c r="C330" s="60"/>
      <c r="H330" s="90"/>
    </row>
    <row r="331">
      <c r="B331" s="60"/>
      <c r="C331" s="60"/>
      <c r="H331" s="90"/>
    </row>
    <row r="332">
      <c r="B332" s="60"/>
      <c r="C332" s="60"/>
      <c r="H332" s="90"/>
    </row>
    <row r="333">
      <c r="B333" s="60"/>
      <c r="C333" s="60"/>
      <c r="H333" s="90"/>
    </row>
    <row r="334">
      <c r="B334" s="60"/>
      <c r="C334" s="60"/>
      <c r="H334" s="90"/>
    </row>
    <row r="335">
      <c r="B335" s="60"/>
      <c r="C335" s="60"/>
      <c r="H335" s="90"/>
    </row>
    <row r="336">
      <c r="B336" s="60"/>
      <c r="C336" s="60"/>
      <c r="H336" s="90"/>
    </row>
    <row r="337">
      <c r="B337" s="60"/>
      <c r="C337" s="60"/>
      <c r="H337" s="90"/>
    </row>
    <row r="338">
      <c r="B338" s="60"/>
      <c r="C338" s="60"/>
      <c r="H338" s="90"/>
    </row>
    <row r="339">
      <c r="B339" s="60"/>
      <c r="C339" s="60"/>
      <c r="H339" s="90"/>
    </row>
    <row r="340">
      <c r="B340" s="60"/>
      <c r="C340" s="60"/>
      <c r="H340" s="90"/>
    </row>
    <row r="341">
      <c r="B341" s="60"/>
      <c r="C341" s="60"/>
      <c r="H341" s="90"/>
    </row>
    <row r="342">
      <c r="B342" s="60"/>
      <c r="C342" s="60"/>
      <c r="H342" s="90"/>
    </row>
    <row r="343">
      <c r="B343" s="60"/>
      <c r="C343" s="60"/>
      <c r="H343" s="90"/>
    </row>
    <row r="344">
      <c r="B344" s="60"/>
      <c r="C344" s="60"/>
      <c r="H344" s="90"/>
    </row>
    <row r="345">
      <c r="B345" s="60"/>
      <c r="C345" s="60"/>
      <c r="H345" s="90"/>
    </row>
    <row r="346">
      <c r="B346" s="60"/>
      <c r="C346" s="60"/>
      <c r="H346" s="90"/>
    </row>
    <row r="347">
      <c r="B347" s="60"/>
      <c r="C347" s="60"/>
      <c r="H347" s="90"/>
    </row>
    <row r="348">
      <c r="B348" s="60"/>
      <c r="C348" s="60"/>
      <c r="H348" s="90"/>
    </row>
    <row r="349">
      <c r="B349" s="60"/>
      <c r="C349" s="60"/>
      <c r="H349" s="90"/>
    </row>
    <row r="350">
      <c r="B350" s="60"/>
      <c r="C350" s="60"/>
      <c r="H350" s="90"/>
    </row>
    <row r="351">
      <c r="B351" s="60"/>
      <c r="C351" s="60"/>
      <c r="H351" s="90"/>
    </row>
    <row r="352">
      <c r="B352" s="60"/>
      <c r="C352" s="60"/>
      <c r="H352" s="90"/>
    </row>
    <row r="353">
      <c r="B353" s="60"/>
      <c r="C353" s="60"/>
      <c r="H353" s="90"/>
    </row>
    <row r="354">
      <c r="B354" s="60"/>
      <c r="C354" s="60"/>
      <c r="H354" s="90"/>
    </row>
    <row r="355">
      <c r="B355" s="60"/>
      <c r="C355" s="60"/>
      <c r="H355" s="90"/>
    </row>
    <row r="356">
      <c r="B356" s="60"/>
      <c r="C356" s="60"/>
      <c r="H356" s="90"/>
    </row>
    <row r="357">
      <c r="B357" s="60"/>
      <c r="C357" s="60"/>
      <c r="H357" s="90"/>
    </row>
    <row r="358">
      <c r="B358" s="60"/>
      <c r="C358" s="60"/>
      <c r="H358" s="90"/>
    </row>
    <row r="359">
      <c r="B359" s="60"/>
      <c r="C359" s="60"/>
      <c r="H359" s="90"/>
    </row>
    <row r="360">
      <c r="B360" s="60"/>
      <c r="C360" s="60"/>
      <c r="H360" s="90"/>
    </row>
    <row r="361">
      <c r="B361" s="60"/>
      <c r="C361" s="60"/>
      <c r="H361" s="90"/>
    </row>
    <row r="362">
      <c r="B362" s="60"/>
      <c r="C362" s="60"/>
      <c r="H362" s="90"/>
    </row>
    <row r="363">
      <c r="B363" s="60"/>
      <c r="C363" s="60"/>
      <c r="H363" s="90"/>
    </row>
    <row r="364">
      <c r="B364" s="60"/>
      <c r="C364" s="60"/>
      <c r="H364" s="90"/>
    </row>
    <row r="365">
      <c r="B365" s="60"/>
      <c r="C365" s="60"/>
      <c r="H365" s="90"/>
    </row>
    <row r="366">
      <c r="B366" s="60"/>
      <c r="C366" s="60"/>
      <c r="H366" s="90"/>
    </row>
    <row r="367">
      <c r="B367" s="60"/>
      <c r="C367" s="60"/>
      <c r="H367" s="90"/>
    </row>
    <row r="368">
      <c r="B368" s="60"/>
      <c r="C368" s="60"/>
      <c r="H368" s="90"/>
    </row>
    <row r="369">
      <c r="B369" s="60"/>
      <c r="C369" s="60"/>
      <c r="H369" s="90"/>
    </row>
    <row r="370">
      <c r="B370" s="60"/>
      <c r="C370" s="60"/>
      <c r="H370" s="90"/>
    </row>
    <row r="371">
      <c r="B371" s="60"/>
      <c r="C371" s="60"/>
      <c r="H371" s="90"/>
    </row>
    <row r="372">
      <c r="B372" s="60"/>
      <c r="C372" s="60"/>
      <c r="H372" s="90"/>
    </row>
    <row r="373">
      <c r="B373" s="60"/>
      <c r="C373" s="60"/>
      <c r="H373" s="90"/>
    </row>
    <row r="374">
      <c r="B374" s="60"/>
      <c r="C374" s="60"/>
      <c r="H374" s="90"/>
    </row>
    <row r="375">
      <c r="B375" s="60"/>
      <c r="C375" s="60"/>
      <c r="H375" s="90"/>
    </row>
    <row r="376">
      <c r="B376" s="60"/>
      <c r="C376" s="60"/>
      <c r="H376" s="90"/>
    </row>
    <row r="377">
      <c r="B377" s="60"/>
      <c r="C377" s="60"/>
      <c r="H377" s="90"/>
    </row>
    <row r="378">
      <c r="B378" s="60"/>
      <c r="C378" s="60"/>
      <c r="H378" s="90"/>
    </row>
    <row r="379">
      <c r="B379" s="60"/>
      <c r="C379" s="60"/>
      <c r="H379" s="90"/>
    </row>
    <row r="380">
      <c r="B380" s="60"/>
      <c r="C380" s="60"/>
      <c r="H380" s="90"/>
    </row>
    <row r="381">
      <c r="B381" s="60"/>
      <c r="C381" s="60"/>
      <c r="H381" s="90"/>
    </row>
    <row r="382">
      <c r="B382" s="60"/>
      <c r="C382" s="60"/>
      <c r="H382" s="90"/>
    </row>
    <row r="383">
      <c r="B383" s="60"/>
      <c r="C383" s="60"/>
      <c r="H383" s="90"/>
    </row>
    <row r="384">
      <c r="B384" s="60"/>
      <c r="C384" s="60"/>
      <c r="H384" s="90"/>
    </row>
    <row r="385">
      <c r="B385" s="60"/>
      <c r="C385" s="60"/>
      <c r="H385" s="90"/>
    </row>
    <row r="386">
      <c r="B386" s="60"/>
      <c r="C386" s="60"/>
      <c r="H386" s="90"/>
    </row>
    <row r="387">
      <c r="B387" s="60"/>
      <c r="C387" s="60"/>
      <c r="H387" s="90"/>
    </row>
    <row r="388">
      <c r="B388" s="60"/>
      <c r="C388" s="60"/>
      <c r="H388" s="90"/>
    </row>
    <row r="389">
      <c r="B389" s="60"/>
      <c r="C389" s="60"/>
      <c r="H389" s="90"/>
    </row>
    <row r="390">
      <c r="B390" s="60"/>
      <c r="C390" s="60"/>
      <c r="H390" s="90"/>
    </row>
    <row r="391">
      <c r="B391" s="60"/>
      <c r="C391" s="60"/>
      <c r="H391" s="90"/>
    </row>
    <row r="392">
      <c r="B392" s="60"/>
      <c r="C392" s="60"/>
      <c r="H392" s="90"/>
    </row>
    <row r="393">
      <c r="B393" s="60"/>
      <c r="C393" s="60"/>
      <c r="H393" s="90"/>
    </row>
    <row r="394">
      <c r="B394" s="60"/>
      <c r="C394" s="60"/>
      <c r="H394" s="90"/>
    </row>
    <row r="395">
      <c r="B395" s="60"/>
      <c r="C395" s="60"/>
      <c r="H395" s="90"/>
    </row>
    <row r="396">
      <c r="B396" s="60"/>
      <c r="C396" s="60"/>
      <c r="H396" s="90"/>
    </row>
    <row r="397">
      <c r="B397" s="60"/>
      <c r="C397" s="60"/>
      <c r="H397" s="90"/>
    </row>
    <row r="398">
      <c r="B398" s="60"/>
      <c r="C398" s="60"/>
      <c r="H398" s="90"/>
    </row>
    <row r="399">
      <c r="B399" s="60"/>
      <c r="C399" s="60"/>
      <c r="H399" s="90"/>
    </row>
    <row r="400">
      <c r="B400" s="60"/>
      <c r="C400" s="60"/>
      <c r="H400" s="90"/>
    </row>
    <row r="401">
      <c r="B401" s="60"/>
      <c r="C401" s="60"/>
      <c r="H401" s="90"/>
    </row>
    <row r="402">
      <c r="B402" s="60"/>
      <c r="C402" s="60"/>
      <c r="H402" s="90"/>
    </row>
    <row r="403">
      <c r="B403" s="60"/>
      <c r="C403" s="60"/>
      <c r="H403" s="90"/>
    </row>
    <row r="404">
      <c r="B404" s="60"/>
      <c r="C404" s="60"/>
      <c r="H404" s="90"/>
    </row>
    <row r="405">
      <c r="B405" s="60"/>
      <c r="C405" s="60"/>
      <c r="H405" s="90"/>
    </row>
    <row r="406">
      <c r="B406" s="60"/>
      <c r="C406" s="60"/>
      <c r="H406" s="90"/>
    </row>
    <row r="407">
      <c r="B407" s="60"/>
      <c r="C407" s="60"/>
      <c r="H407" s="90"/>
    </row>
    <row r="408">
      <c r="B408" s="60"/>
      <c r="C408" s="60"/>
      <c r="H408" s="90"/>
    </row>
    <row r="409">
      <c r="B409" s="60"/>
      <c r="C409" s="60"/>
      <c r="H409" s="90"/>
    </row>
    <row r="410">
      <c r="B410" s="60"/>
      <c r="C410" s="60"/>
      <c r="H410" s="90"/>
    </row>
    <row r="411">
      <c r="B411" s="60"/>
      <c r="C411" s="60"/>
      <c r="H411" s="90"/>
    </row>
    <row r="412">
      <c r="B412" s="60"/>
      <c r="C412" s="60"/>
      <c r="H412" s="90"/>
    </row>
    <row r="413">
      <c r="B413" s="60"/>
      <c r="C413" s="60"/>
      <c r="H413" s="90"/>
    </row>
    <row r="414">
      <c r="B414" s="60"/>
      <c r="C414" s="60"/>
      <c r="H414" s="90"/>
    </row>
    <row r="415">
      <c r="B415" s="60"/>
      <c r="C415" s="60"/>
      <c r="H415" s="90"/>
    </row>
    <row r="416">
      <c r="B416" s="60"/>
      <c r="C416" s="60"/>
      <c r="H416" s="90"/>
    </row>
    <row r="417">
      <c r="B417" s="60"/>
      <c r="C417" s="60"/>
      <c r="H417" s="90"/>
    </row>
    <row r="418">
      <c r="B418" s="60"/>
      <c r="C418" s="60"/>
      <c r="H418" s="90"/>
    </row>
    <row r="419">
      <c r="B419" s="60"/>
      <c r="C419" s="60"/>
      <c r="H419" s="90"/>
    </row>
    <row r="420">
      <c r="B420" s="60"/>
      <c r="C420" s="60"/>
      <c r="H420" s="90"/>
    </row>
    <row r="421">
      <c r="B421" s="60"/>
      <c r="C421" s="60"/>
      <c r="H421" s="90"/>
    </row>
    <row r="422">
      <c r="B422" s="60"/>
      <c r="C422" s="60"/>
      <c r="H422" s="90"/>
    </row>
    <row r="423">
      <c r="B423" s="60"/>
      <c r="C423" s="60"/>
      <c r="H423" s="90"/>
    </row>
    <row r="424">
      <c r="B424" s="60"/>
      <c r="C424" s="60"/>
      <c r="H424" s="90"/>
    </row>
    <row r="425">
      <c r="B425" s="60"/>
      <c r="C425" s="60"/>
      <c r="H425" s="90"/>
    </row>
    <row r="426">
      <c r="B426" s="60"/>
      <c r="C426" s="60"/>
      <c r="H426" s="90"/>
    </row>
    <row r="427">
      <c r="B427" s="60"/>
      <c r="C427" s="60"/>
      <c r="H427" s="90"/>
    </row>
    <row r="428">
      <c r="B428" s="60"/>
      <c r="C428" s="60"/>
      <c r="H428" s="90"/>
    </row>
    <row r="429">
      <c r="B429" s="60"/>
      <c r="C429" s="60"/>
      <c r="H429" s="90"/>
    </row>
    <row r="430">
      <c r="B430" s="60"/>
      <c r="C430" s="60"/>
      <c r="H430" s="90"/>
    </row>
    <row r="431">
      <c r="B431" s="60"/>
      <c r="C431" s="60"/>
      <c r="H431" s="90"/>
    </row>
    <row r="432">
      <c r="B432" s="60"/>
      <c r="C432" s="60"/>
      <c r="H432" s="90"/>
    </row>
    <row r="433">
      <c r="B433" s="60"/>
      <c r="C433" s="60"/>
      <c r="H433" s="90"/>
    </row>
    <row r="434">
      <c r="B434" s="60"/>
      <c r="C434" s="60"/>
      <c r="H434" s="90"/>
    </row>
    <row r="435">
      <c r="B435" s="60"/>
      <c r="C435" s="60"/>
      <c r="H435" s="90"/>
    </row>
    <row r="436">
      <c r="B436" s="60"/>
      <c r="C436" s="60"/>
      <c r="H436" s="90"/>
    </row>
    <row r="437">
      <c r="B437" s="60"/>
      <c r="C437" s="60"/>
      <c r="H437" s="90"/>
    </row>
    <row r="438">
      <c r="B438" s="60"/>
      <c r="C438" s="60"/>
      <c r="H438" s="90"/>
    </row>
    <row r="439">
      <c r="B439" s="60"/>
      <c r="C439" s="60"/>
      <c r="H439" s="90"/>
    </row>
    <row r="440">
      <c r="B440" s="60"/>
      <c r="C440" s="60"/>
      <c r="H440" s="90"/>
    </row>
    <row r="441">
      <c r="B441" s="60"/>
      <c r="C441" s="60"/>
      <c r="H441" s="90"/>
    </row>
    <row r="442">
      <c r="B442" s="60"/>
      <c r="C442" s="60"/>
      <c r="H442" s="90"/>
    </row>
    <row r="443">
      <c r="B443" s="60"/>
      <c r="C443" s="60"/>
      <c r="H443" s="90"/>
    </row>
    <row r="444">
      <c r="B444" s="60"/>
      <c r="C444" s="60"/>
      <c r="H444" s="90"/>
    </row>
    <row r="445">
      <c r="B445" s="60"/>
      <c r="C445" s="60"/>
      <c r="H445" s="90"/>
    </row>
    <row r="446">
      <c r="B446" s="60"/>
      <c r="C446" s="60"/>
      <c r="H446" s="90"/>
    </row>
    <row r="447">
      <c r="B447" s="60"/>
      <c r="C447" s="60"/>
      <c r="H447" s="90"/>
    </row>
    <row r="448">
      <c r="B448" s="60"/>
      <c r="C448" s="60"/>
      <c r="H448" s="90"/>
    </row>
    <row r="449">
      <c r="B449" s="60"/>
      <c r="C449" s="60"/>
      <c r="H449" s="90"/>
    </row>
    <row r="450">
      <c r="B450" s="60"/>
      <c r="C450" s="60"/>
      <c r="H450" s="90"/>
    </row>
    <row r="451">
      <c r="B451" s="60"/>
      <c r="C451" s="60"/>
      <c r="H451" s="90"/>
    </row>
    <row r="452">
      <c r="B452" s="60"/>
      <c r="C452" s="60"/>
      <c r="H452" s="90"/>
    </row>
    <row r="453">
      <c r="B453" s="60"/>
      <c r="C453" s="60"/>
      <c r="H453" s="90"/>
    </row>
    <row r="454">
      <c r="B454" s="60"/>
      <c r="C454" s="60"/>
      <c r="H454" s="90"/>
    </row>
    <row r="455">
      <c r="B455" s="60"/>
      <c r="C455" s="60"/>
      <c r="H455" s="90"/>
    </row>
    <row r="456">
      <c r="B456" s="60"/>
      <c r="C456" s="60"/>
      <c r="H456" s="90"/>
    </row>
    <row r="457">
      <c r="B457" s="60"/>
      <c r="C457" s="60"/>
      <c r="H457" s="90"/>
    </row>
    <row r="458">
      <c r="B458" s="60"/>
      <c r="C458" s="60"/>
      <c r="H458" s="90"/>
    </row>
    <row r="459">
      <c r="B459" s="60"/>
      <c r="C459" s="60"/>
      <c r="H459" s="90"/>
    </row>
    <row r="460">
      <c r="B460" s="60"/>
      <c r="C460" s="60"/>
      <c r="H460" s="90"/>
    </row>
    <row r="461">
      <c r="B461" s="60"/>
      <c r="C461" s="60"/>
      <c r="H461" s="90"/>
    </row>
    <row r="462">
      <c r="B462" s="60"/>
      <c r="C462" s="60"/>
      <c r="H462" s="90"/>
    </row>
    <row r="463">
      <c r="B463" s="60"/>
      <c r="C463" s="60"/>
      <c r="H463" s="90"/>
    </row>
    <row r="464">
      <c r="B464" s="60"/>
      <c r="C464" s="60"/>
      <c r="H464" s="90"/>
    </row>
    <row r="465">
      <c r="B465" s="60"/>
      <c r="C465" s="60"/>
      <c r="H465" s="90"/>
    </row>
    <row r="466">
      <c r="B466" s="60"/>
      <c r="C466" s="60"/>
      <c r="H466" s="90"/>
    </row>
    <row r="467">
      <c r="B467" s="60"/>
      <c r="C467" s="60"/>
      <c r="H467" s="90"/>
    </row>
    <row r="468">
      <c r="B468" s="60"/>
      <c r="C468" s="60"/>
      <c r="H468" s="90"/>
    </row>
    <row r="469">
      <c r="B469" s="60"/>
      <c r="C469" s="60"/>
      <c r="H469" s="90"/>
    </row>
    <row r="470">
      <c r="B470" s="60"/>
      <c r="C470" s="60"/>
      <c r="H470" s="90"/>
    </row>
    <row r="471">
      <c r="B471" s="60"/>
      <c r="C471" s="60"/>
      <c r="H471" s="90"/>
    </row>
    <row r="472">
      <c r="B472" s="60"/>
      <c r="C472" s="60"/>
      <c r="H472" s="90"/>
    </row>
    <row r="473">
      <c r="B473" s="60"/>
      <c r="C473" s="60"/>
      <c r="H473" s="90"/>
    </row>
    <row r="474">
      <c r="B474" s="60"/>
      <c r="C474" s="60"/>
      <c r="H474" s="90"/>
    </row>
    <row r="475">
      <c r="B475" s="60"/>
      <c r="C475" s="60"/>
      <c r="H475" s="90"/>
    </row>
    <row r="476">
      <c r="B476" s="60"/>
      <c r="C476" s="60"/>
      <c r="H476" s="90"/>
    </row>
    <row r="477">
      <c r="B477" s="60"/>
      <c r="C477" s="60"/>
      <c r="H477" s="90"/>
    </row>
    <row r="478">
      <c r="B478" s="60"/>
      <c r="C478" s="60"/>
      <c r="H478" s="90"/>
    </row>
    <row r="479">
      <c r="B479" s="60"/>
      <c r="C479" s="60"/>
      <c r="H479" s="90"/>
    </row>
    <row r="480">
      <c r="B480" s="60"/>
      <c r="C480" s="60"/>
      <c r="H480" s="90"/>
    </row>
    <row r="481">
      <c r="B481" s="60"/>
      <c r="C481" s="60"/>
      <c r="H481" s="90"/>
    </row>
    <row r="482">
      <c r="B482" s="60"/>
      <c r="C482" s="60"/>
      <c r="H482" s="90"/>
    </row>
    <row r="483">
      <c r="B483" s="60"/>
      <c r="C483" s="60"/>
      <c r="H483" s="90"/>
    </row>
    <row r="484">
      <c r="B484" s="60"/>
      <c r="C484" s="60"/>
      <c r="H484" s="90"/>
    </row>
    <row r="485">
      <c r="B485" s="60"/>
      <c r="C485" s="60"/>
      <c r="H485" s="90"/>
    </row>
    <row r="486">
      <c r="B486" s="60"/>
      <c r="C486" s="60"/>
      <c r="H486" s="90"/>
    </row>
    <row r="487">
      <c r="B487" s="60"/>
      <c r="C487" s="60"/>
      <c r="H487" s="90"/>
    </row>
    <row r="488">
      <c r="B488" s="60"/>
      <c r="C488" s="60"/>
      <c r="H488" s="90"/>
    </row>
    <row r="489">
      <c r="B489" s="60"/>
      <c r="C489" s="60"/>
      <c r="H489" s="90"/>
    </row>
    <row r="490">
      <c r="B490" s="60"/>
      <c r="C490" s="60"/>
      <c r="H490" s="90"/>
    </row>
    <row r="491">
      <c r="B491" s="60"/>
      <c r="C491" s="60"/>
      <c r="H491" s="90"/>
    </row>
    <row r="492">
      <c r="B492" s="60"/>
      <c r="C492" s="60"/>
      <c r="H492" s="90"/>
    </row>
    <row r="493">
      <c r="B493" s="60"/>
      <c r="C493" s="60"/>
      <c r="H493" s="90"/>
    </row>
    <row r="494">
      <c r="B494" s="60"/>
      <c r="C494" s="60"/>
      <c r="H494" s="90"/>
    </row>
    <row r="495">
      <c r="B495" s="60"/>
      <c r="C495" s="60"/>
      <c r="H495" s="90"/>
    </row>
    <row r="496">
      <c r="B496" s="60"/>
      <c r="C496" s="60"/>
      <c r="H496" s="90"/>
    </row>
    <row r="497">
      <c r="B497" s="60"/>
      <c r="C497" s="60"/>
      <c r="H497" s="90"/>
    </row>
    <row r="498">
      <c r="B498" s="60"/>
      <c r="C498" s="60"/>
      <c r="H498" s="90"/>
    </row>
    <row r="499">
      <c r="B499" s="60"/>
      <c r="C499" s="60"/>
      <c r="H499" s="90"/>
    </row>
    <row r="500">
      <c r="B500" s="60"/>
      <c r="C500" s="60"/>
      <c r="H500" s="90"/>
    </row>
    <row r="501">
      <c r="B501" s="60"/>
      <c r="C501" s="60"/>
      <c r="H501" s="90"/>
    </row>
    <row r="502">
      <c r="B502" s="60"/>
      <c r="C502" s="60"/>
      <c r="H502" s="90"/>
    </row>
    <row r="503">
      <c r="B503" s="60"/>
      <c r="C503" s="60"/>
      <c r="H503" s="90"/>
    </row>
    <row r="504">
      <c r="B504" s="60"/>
      <c r="C504" s="60"/>
      <c r="H504" s="90"/>
    </row>
    <row r="505">
      <c r="B505" s="60"/>
      <c r="C505" s="60"/>
      <c r="H505" s="90"/>
    </row>
    <row r="506">
      <c r="B506" s="60"/>
      <c r="C506" s="60"/>
      <c r="H506" s="90"/>
    </row>
    <row r="507">
      <c r="B507" s="60"/>
      <c r="C507" s="60"/>
      <c r="H507" s="90"/>
    </row>
    <row r="508">
      <c r="B508" s="60"/>
      <c r="C508" s="60"/>
      <c r="H508" s="90"/>
    </row>
    <row r="509">
      <c r="B509" s="60"/>
      <c r="C509" s="60"/>
      <c r="H509" s="90"/>
    </row>
    <row r="510">
      <c r="B510" s="60"/>
      <c r="C510" s="60"/>
      <c r="H510" s="90"/>
    </row>
    <row r="511">
      <c r="B511" s="60"/>
      <c r="C511" s="60"/>
      <c r="H511" s="90"/>
    </row>
    <row r="512">
      <c r="B512" s="60"/>
      <c r="C512" s="60"/>
      <c r="H512" s="90"/>
    </row>
    <row r="513">
      <c r="B513" s="60"/>
      <c r="C513" s="60"/>
      <c r="H513" s="90"/>
    </row>
    <row r="514">
      <c r="B514" s="60"/>
      <c r="C514" s="60"/>
      <c r="H514" s="90"/>
    </row>
    <row r="515">
      <c r="B515" s="60"/>
      <c r="C515" s="60"/>
      <c r="H515" s="90"/>
    </row>
    <row r="516">
      <c r="B516" s="60"/>
      <c r="C516" s="60"/>
      <c r="H516" s="90"/>
    </row>
    <row r="517">
      <c r="B517" s="60"/>
      <c r="C517" s="60"/>
      <c r="H517" s="90"/>
    </row>
    <row r="518">
      <c r="B518" s="60"/>
      <c r="C518" s="60"/>
      <c r="H518" s="90"/>
    </row>
    <row r="519">
      <c r="B519" s="60"/>
      <c r="C519" s="60"/>
      <c r="H519" s="90"/>
    </row>
    <row r="520">
      <c r="B520" s="60"/>
      <c r="C520" s="60"/>
      <c r="H520" s="90"/>
    </row>
    <row r="521">
      <c r="B521" s="60"/>
      <c r="C521" s="60"/>
      <c r="H521" s="90"/>
    </row>
    <row r="522">
      <c r="B522" s="60"/>
      <c r="C522" s="60"/>
      <c r="H522" s="90"/>
    </row>
    <row r="523">
      <c r="B523" s="60"/>
      <c r="C523" s="60"/>
      <c r="H523" s="90"/>
    </row>
    <row r="524">
      <c r="B524" s="60"/>
      <c r="C524" s="60"/>
      <c r="H524" s="90"/>
    </row>
    <row r="525">
      <c r="B525" s="60"/>
      <c r="C525" s="60"/>
      <c r="H525" s="90"/>
    </row>
    <row r="526">
      <c r="B526" s="60"/>
      <c r="C526" s="60"/>
      <c r="H526" s="90"/>
    </row>
    <row r="527">
      <c r="B527" s="60"/>
      <c r="C527" s="60"/>
      <c r="H527" s="90"/>
    </row>
    <row r="528">
      <c r="B528" s="60"/>
      <c r="C528" s="60"/>
      <c r="H528" s="90"/>
    </row>
    <row r="529">
      <c r="B529" s="60"/>
      <c r="C529" s="60"/>
      <c r="H529" s="90"/>
    </row>
    <row r="530">
      <c r="B530" s="60"/>
      <c r="C530" s="60"/>
      <c r="H530" s="90"/>
    </row>
    <row r="531">
      <c r="B531" s="60"/>
      <c r="C531" s="60"/>
      <c r="H531" s="90"/>
    </row>
    <row r="532">
      <c r="B532" s="60"/>
      <c r="C532" s="60"/>
      <c r="H532" s="90"/>
    </row>
    <row r="533">
      <c r="B533" s="60"/>
      <c r="C533" s="60"/>
      <c r="H533" s="90"/>
    </row>
    <row r="534">
      <c r="B534" s="60"/>
      <c r="C534" s="60"/>
      <c r="H534" s="90"/>
    </row>
    <row r="535">
      <c r="B535" s="60"/>
      <c r="C535" s="60"/>
      <c r="H535" s="90"/>
    </row>
    <row r="536">
      <c r="B536" s="60"/>
      <c r="C536" s="60"/>
      <c r="H536" s="90"/>
    </row>
    <row r="537">
      <c r="B537" s="60"/>
      <c r="C537" s="60"/>
      <c r="H537" s="90"/>
    </row>
    <row r="538">
      <c r="B538" s="60"/>
      <c r="C538" s="60"/>
      <c r="H538" s="90"/>
    </row>
    <row r="539">
      <c r="B539" s="60"/>
      <c r="C539" s="60"/>
      <c r="H539" s="90"/>
    </row>
    <row r="540">
      <c r="B540" s="60"/>
      <c r="C540" s="60"/>
      <c r="H540" s="90"/>
    </row>
    <row r="541">
      <c r="B541" s="60"/>
      <c r="C541" s="60"/>
      <c r="H541" s="90"/>
    </row>
    <row r="542">
      <c r="B542" s="60"/>
      <c r="C542" s="60"/>
      <c r="H542" s="90"/>
    </row>
    <row r="543">
      <c r="B543" s="60"/>
      <c r="C543" s="60"/>
      <c r="H543" s="90"/>
    </row>
    <row r="544">
      <c r="B544" s="60"/>
      <c r="C544" s="60"/>
      <c r="H544" s="90"/>
    </row>
    <row r="545">
      <c r="B545" s="60"/>
      <c r="C545" s="60"/>
      <c r="H545" s="90"/>
    </row>
    <row r="546">
      <c r="B546" s="60"/>
      <c r="C546" s="60"/>
      <c r="H546" s="90"/>
    </row>
    <row r="547">
      <c r="B547" s="60"/>
      <c r="C547" s="60"/>
      <c r="H547" s="90"/>
    </row>
    <row r="548">
      <c r="B548" s="60"/>
      <c r="C548" s="60"/>
      <c r="H548" s="90"/>
    </row>
    <row r="549">
      <c r="B549" s="60"/>
      <c r="C549" s="60"/>
      <c r="H549" s="90"/>
    </row>
    <row r="550">
      <c r="B550" s="60"/>
      <c r="C550" s="60"/>
      <c r="H550" s="90"/>
    </row>
    <row r="551">
      <c r="B551" s="60"/>
      <c r="C551" s="60"/>
      <c r="H551" s="90"/>
    </row>
    <row r="552">
      <c r="B552" s="60"/>
      <c r="C552" s="60"/>
      <c r="H552" s="90"/>
    </row>
    <row r="553">
      <c r="B553" s="60"/>
      <c r="C553" s="60"/>
      <c r="H553" s="90"/>
    </row>
    <row r="554">
      <c r="B554" s="60"/>
      <c r="C554" s="60"/>
      <c r="H554" s="90"/>
    </row>
    <row r="555">
      <c r="B555" s="60"/>
      <c r="C555" s="60"/>
      <c r="H555" s="90"/>
    </row>
    <row r="556">
      <c r="B556" s="60"/>
      <c r="C556" s="60"/>
      <c r="H556" s="90"/>
    </row>
    <row r="557">
      <c r="B557" s="60"/>
      <c r="C557" s="60"/>
      <c r="H557" s="90"/>
    </row>
    <row r="558">
      <c r="B558" s="60"/>
      <c r="C558" s="60"/>
      <c r="H558" s="90"/>
    </row>
    <row r="559">
      <c r="B559" s="60"/>
      <c r="C559" s="60"/>
      <c r="H559" s="90"/>
    </row>
    <row r="560">
      <c r="B560" s="60"/>
      <c r="C560" s="60"/>
      <c r="H560" s="90"/>
    </row>
    <row r="561">
      <c r="B561" s="60"/>
      <c r="C561" s="60"/>
      <c r="H561" s="90"/>
    </row>
    <row r="562">
      <c r="B562" s="60"/>
      <c r="C562" s="60"/>
      <c r="H562" s="90"/>
    </row>
    <row r="563">
      <c r="B563" s="60"/>
      <c r="C563" s="60"/>
      <c r="H563" s="90"/>
    </row>
    <row r="564">
      <c r="B564" s="60"/>
      <c r="C564" s="60"/>
      <c r="H564" s="90"/>
    </row>
    <row r="565">
      <c r="B565" s="60"/>
      <c r="C565" s="60"/>
      <c r="H565" s="90"/>
    </row>
    <row r="566">
      <c r="B566" s="60"/>
      <c r="C566" s="60"/>
      <c r="H566" s="90"/>
    </row>
    <row r="567">
      <c r="B567" s="60"/>
      <c r="C567" s="60"/>
      <c r="H567" s="90"/>
    </row>
    <row r="568">
      <c r="B568" s="60"/>
      <c r="C568" s="60"/>
      <c r="H568" s="90"/>
    </row>
    <row r="569">
      <c r="B569" s="60"/>
      <c r="C569" s="60"/>
      <c r="H569" s="90"/>
    </row>
    <row r="570">
      <c r="B570" s="60"/>
      <c r="C570" s="60"/>
      <c r="H570" s="90"/>
    </row>
    <row r="571">
      <c r="B571" s="60"/>
      <c r="C571" s="60"/>
      <c r="H571" s="90"/>
    </row>
    <row r="572">
      <c r="B572" s="60"/>
      <c r="C572" s="60"/>
      <c r="H572" s="90"/>
    </row>
    <row r="573">
      <c r="B573" s="60"/>
      <c r="C573" s="60"/>
      <c r="H573" s="90"/>
    </row>
    <row r="574">
      <c r="B574" s="60"/>
      <c r="C574" s="60"/>
      <c r="H574" s="90"/>
    </row>
    <row r="575">
      <c r="B575" s="60"/>
      <c r="C575" s="60"/>
      <c r="H575" s="90"/>
    </row>
    <row r="576">
      <c r="B576" s="60"/>
      <c r="C576" s="60"/>
      <c r="H576" s="90"/>
    </row>
    <row r="577">
      <c r="B577" s="60"/>
      <c r="C577" s="60"/>
      <c r="H577" s="90"/>
    </row>
    <row r="578">
      <c r="B578" s="60"/>
      <c r="C578" s="60"/>
      <c r="H578" s="90"/>
    </row>
    <row r="579">
      <c r="B579" s="60"/>
      <c r="C579" s="60"/>
      <c r="H579" s="90"/>
    </row>
    <row r="580">
      <c r="B580" s="60"/>
      <c r="C580" s="60"/>
      <c r="H580" s="90"/>
    </row>
    <row r="581">
      <c r="B581" s="60"/>
      <c r="C581" s="60"/>
      <c r="H581" s="90"/>
    </row>
    <row r="582">
      <c r="B582" s="60"/>
      <c r="C582" s="60"/>
      <c r="H582" s="90"/>
    </row>
    <row r="583">
      <c r="B583" s="60"/>
      <c r="C583" s="60"/>
      <c r="H583" s="90"/>
    </row>
    <row r="584">
      <c r="B584" s="60"/>
      <c r="C584" s="60"/>
      <c r="H584" s="90"/>
    </row>
    <row r="585">
      <c r="B585" s="60"/>
      <c r="C585" s="60"/>
      <c r="H585" s="90"/>
    </row>
    <row r="586">
      <c r="B586" s="60"/>
      <c r="C586" s="60"/>
      <c r="H586" s="90"/>
    </row>
    <row r="587">
      <c r="B587" s="60"/>
      <c r="C587" s="60"/>
      <c r="H587" s="90"/>
    </row>
    <row r="588">
      <c r="B588" s="60"/>
      <c r="C588" s="60"/>
      <c r="H588" s="90"/>
    </row>
    <row r="589">
      <c r="B589" s="60"/>
      <c r="C589" s="60"/>
      <c r="H589" s="90"/>
    </row>
    <row r="590">
      <c r="B590" s="60"/>
      <c r="C590" s="60"/>
      <c r="H590" s="90"/>
    </row>
    <row r="591">
      <c r="B591" s="60"/>
      <c r="C591" s="60"/>
      <c r="H591" s="90"/>
    </row>
    <row r="592">
      <c r="B592" s="60"/>
      <c r="C592" s="60"/>
      <c r="H592" s="90"/>
    </row>
    <row r="593">
      <c r="B593" s="60"/>
      <c r="C593" s="60"/>
      <c r="H593" s="90"/>
    </row>
    <row r="594">
      <c r="B594" s="60"/>
      <c r="C594" s="60"/>
      <c r="H594" s="90"/>
    </row>
    <row r="595">
      <c r="B595" s="60"/>
      <c r="C595" s="60"/>
      <c r="H595" s="90"/>
    </row>
    <row r="596">
      <c r="B596" s="60"/>
      <c r="C596" s="60"/>
      <c r="H596" s="90"/>
    </row>
    <row r="597">
      <c r="B597" s="60"/>
      <c r="C597" s="60"/>
      <c r="H597" s="90"/>
    </row>
    <row r="598">
      <c r="B598" s="60"/>
      <c r="C598" s="60"/>
      <c r="H598" s="90"/>
    </row>
    <row r="599">
      <c r="B599" s="60"/>
      <c r="C599" s="60"/>
      <c r="H599" s="90"/>
    </row>
    <row r="600">
      <c r="B600" s="60"/>
      <c r="C600" s="60"/>
      <c r="H600" s="90"/>
    </row>
    <row r="601">
      <c r="B601" s="60"/>
      <c r="C601" s="60"/>
      <c r="H601" s="90"/>
    </row>
    <row r="602">
      <c r="B602" s="60"/>
      <c r="C602" s="60"/>
      <c r="H602" s="90"/>
    </row>
    <row r="603">
      <c r="B603" s="60"/>
      <c r="C603" s="60"/>
      <c r="H603" s="90"/>
    </row>
    <row r="604">
      <c r="B604" s="60"/>
      <c r="C604" s="60"/>
      <c r="H604" s="90"/>
    </row>
    <row r="605">
      <c r="B605" s="60"/>
      <c r="C605" s="60"/>
      <c r="H605" s="90"/>
    </row>
    <row r="606">
      <c r="B606" s="60"/>
      <c r="C606" s="60"/>
      <c r="H606" s="90"/>
    </row>
    <row r="607">
      <c r="B607" s="60"/>
      <c r="C607" s="60"/>
      <c r="H607" s="90"/>
    </row>
    <row r="608">
      <c r="B608" s="60"/>
      <c r="C608" s="60"/>
      <c r="H608" s="90"/>
    </row>
    <row r="609">
      <c r="B609" s="60"/>
      <c r="C609" s="60"/>
      <c r="H609" s="90"/>
    </row>
    <row r="610">
      <c r="B610" s="60"/>
      <c r="C610" s="60"/>
      <c r="H610" s="90"/>
    </row>
    <row r="611">
      <c r="B611" s="60"/>
      <c r="C611" s="60"/>
      <c r="H611" s="90"/>
    </row>
    <row r="612">
      <c r="B612" s="60"/>
      <c r="C612" s="60"/>
      <c r="H612" s="90"/>
    </row>
    <row r="613">
      <c r="B613" s="60"/>
      <c r="C613" s="60"/>
      <c r="H613" s="90"/>
    </row>
    <row r="614">
      <c r="B614" s="60"/>
      <c r="C614" s="60"/>
      <c r="H614" s="90"/>
    </row>
    <row r="615">
      <c r="B615" s="60"/>
      <c r="C615" s="60"/>
      <c r="H615" s="90"/>
    </row>
    <row r="616">
      <c r="B616" s="60"/>
      <c r="C616" s="60"/>
      <c r="H616" s="90"/>
    </row>
    <row r="617">
      <c r="B617" s="60"/>
      <c r="C617" s="60"/>
      <c r="H617" s="90"/>
    </row>
    <row r="618">
      <c r="B618" s="60"/>
      <c r="C618" s="60"/>
      <c r="H618" s="90"/>
    </row>
    <row r="619">
      <c r="B619" s="60"/>
      <c r="C619" s="60"/>
      <c r="H619" s="90"/>
    </row>
    <row r="620">
      <c r="B620" s="60"/>
      <c r="C620" s="60"/>
      <c r="H620" s="90"/>
    </row>
    <row r="621">
      <c r="B621" s="60"/>
      <c r="C621" s="60"/>
      <c r="H621" s="90"/>
    </row>
    <row r="622">
      <c r="B622" s="60"/>
      <c r="C622" s="60"/>
      <c r="H622" s="90"/>
    </row>
    <row r="623">
      <c r="B623" s="60"/>
      <c r="C623" s="60"/>
      <c r="H623" s="90"/>
    </row>
    <row r="624">
      <c r="B624" s="60"/>
      <c r="C624" s="60"/>
      <c r="H624" s="90"/>
    </row>
    <row r="625">
      <c r="B625" s="60"/>
      <c r="C625" s="60"/>
      <c r="H625" s="90"/>
    </row>
    <row r="626">
      <c r="B626" s="60"/>
      <c r="C626" s="60"/>
      <c r="H626" s="90"/>
    </row>
    <row r="627">
      <c r="B627" s="60"/>
      <c r="C627" s="60"/>
      <c r="H627" s="90"/>
    </row>
    <row r="628">
      <c r="B628" s="60"/>
      <c r="C628" s="60"/>
      <c r="H628" s="90"/>
    </row>
    <row r="629">
      <c r="B629" s="60"/>
      <c r="C629" s="60"/>
      <c r="H629" s="90"/>
    </row>
    <row r="630">
      <c r="B630" s="60"/>
      <c r="C630" s="60"/>
      <c r="H630" s="90"/>
    </row>
    <row r="631">
      <c r="B631" s="60"/>
      <c r="C631" s="60"/>
      <c r="H631" s="90"/>
    </row>
    <row r="632">
      <c r="B632" s="60"/>
      <c r="C632" s="60"/>
      <c r="H632" s="90"/>
    </row>
    <row r="633">
      <c r="B633" s="60"/>
      <c r="C633" s="60"/>
      <c r="H633" s="90"/>
    </row>
    <row r="634">
      <c r="B634" s="60"/>
      <c r="C634" s="60"/>
      <c r="H634" s="90"/>
    </row>
    <row r="635">
      <c r="B635" s="60"/>
      <c r="C635" s="60"/>
      <c r="H635" s="90"/>
    </row>
    <row r="636">
      <c r="B636" s="60"/>
      <c r="C636" s="60"/>
      <c r="H636" s="90"/>
    </row>
    <row r="637">
      <c r="B637" s="60"/>
      <c r="C637" s="60"/>
      <c r="H637" s="90"/>
    </row>
    <row r="638">
      <c r="B638" s="60"/>
      <c r="C638" s="60"/>
      <c r="H638" s="90"/>
    </row>
    <row r="639">
      <c r="B639" s="60"/>
      <c r="C639" s="60"/>
      <c r="H639" s="90"/>
    </row>
    <row r="640">
      <c r="B640" s="60"/>
      <c r="C640" s="60"/>
      <c r="H640" s="90"/>
    </row>
    <row r="641">
      <c r="B641" s="60"/>
      <c r="C641" s="60"/>
      <c r="H641" s="90"/>
    </row>
    <row r="642">
      <c r="B642" s="60"/>
      <c r="C642" s="60"/>
      <c r="H642" s="90"/>
    </row>
    <row r="643">
      <c r="B643" s="60"/>
      <c r="C643" s="60"/>
      <c r="H643" s="90"/>
    </row>
    <row r="644">
      <c r="B644" s="60"/>
      <c r="C644" s="60"/>
      <c r="H644" s="90"/>
    </row>
    <row r="645">
      <c r="B645" s="60"/>
      <c r="C645" s="60"/>
      <c r="H645" s="90"/>
    </row>
    <row r="646">
      <c r="B646" s="60"/>
      <c r="C646" s="60"/>
      <c r="H646" s="90"/>
    </row>
    <row r="647">
      <c r="B647" s="60"/>
      <c r="C647" s="60"/>
      <c r="H647" s="90"/>
    </row>
    <row r="648">
      <c r="B648" s="60"/>
      <c r="C648" s="60"/>
      <c r="H648" s="90"/>
    </row>
    <row r="649">
      <c r="B649" s="60"/>
      <c r="C649" s="60"/>
      <c r="H649" s="90"/>
    </row>
    <row r="650">
      <c r="B650" s="60"/>
      <c r="C650" s="60"/>
      <c r="H650" s="90"/>
    </row>
    <row r="651">
      <c r="B651" s="60"/>
      <c r="C651" s="60"/>
      <c r="H651" s="90"/>
    </row>
    <row r="652">
      <c r="B652" s="60"/>
      <c r="C652" s="60"/>
      <c r="H652" s="90"/>
    </row>
    <row r="653">
      <c r="B653" s="60"/>
      <c r="C653" s="60"/>
      <c r="H653" s="90"/>
    </row>
    <row r="654">
      <c r="B654" s="60"/>
      <c r="C654" s="60"/>
      <c r="H654" s="90"/>
    </row>
    <row r="655">
      <c r="B655" s="60"/>
      <c r="C655" s="60"/>
      <c r="H655" s="90"/>
    </row>
    <row r="656">
      <c r="B656" s="60"/>
      <c r="C656" s="60"/>
      <c r="H656" s="90"/>
    </row>
    <row r="657">
      <c r="B657" s="60"/>
      <c r="C657" s="60"/>
      <c r="H657" s="90"/>
    </row>
    <row r="658">
      <c r="B658" s="60"/>
      <c r="C658" s="60"/>
      <c r="H658" s="90"/>
    </row>
    <row r="659">
      <c r="B659" s="60"/>
      <c r="C659" s="60"/>
      <c r="H659" s="90"/>
    </row>
    <row r="660">
      <c r="B660" s="60"/>
      <c r="C660" s="60"/>
      <c r="H660" s="90"/>
    </row>
    <row r="661">
      <c r="B661" s="60"/>
      <c r="C661" s="60"/>
      <c r="H661" s="90"/>
    </row>
    <row r="662">
      <c r="B662" s="60"/>
      <c r="C662" s="60"/>
      <c r="H662" s="90"/>
    </row>
    <row r="663">
      <c r="B663" s="60"/>
      <c r="C663" s="60"/>
      <c r="H663" s="90"/>
    </row>
    <row r="664">
      <c r="B664" s="60"/>
      <c r="C664" s="60"/>
      <c r="H664" s="90"/>
    </row>
    <row r="665">
      <c r="B665" s="60"/>
      <c r="C665" s="60"/>
      <c r="H665" s="90"/>
    </row>
    <row r="666">
      <c r="B666" s="60"/>
      <c r="C666" s="60"/>
      <c r="H666" s="90"/>
    </row>
    <row r="667">
      <c r="B667" s="60"/>
      <c r="C667" s="60"/>
      <c r="H667" s="90"/>
    </row>
    <row r="668">
      <c r="B668" s="60"/>
      <c r="C668" s="60"/>
      <c r="H668" s="90"/>
    </row>
    <row r="669">
      <c r="B669" s="60"/>
      <c r="C669" s="60"/>
      <c r="H669" s="90"/>
    </row>
    <row r="670">
      <c r="B670" s="60"/>
      <c r="C670" s="60"/>
      <c r="H670" s="90"/>
    </row>
    <row r="671">
      <c r="B671" s="60"/>
      <c r="C671" s="60"/>
      <c r="H671" s="90"/>
    </row>
    <row r="672">
      <c r="B672" s="60"/>
      <c r="C672" s="60"/>
      <c r="H672" s="90"/>
    </row>
    <row r="673">
      <c r="B673" s="60"/>
      <c r="C673" s="60"/>
      <c r="H673" s="90"/>
    </row>
    <row r="674">
      <c r="B674" s="60"/>
      <c r="C674" s="60"/>
      <c r="H674" s="90"/>
    </row>
    <row r="675">
      <c r="B675" s="60"/>
      <c r="C675" s="60"/>
      <c r="H675" s="90"/>
    </row>
    <row r="676">
      <c r="B676" s="60"/>
      <c r="C676" s="60"/>
      <c r="H676" s="90"/>
    </row>
    <row r="677">
      <c r="B677" s="60"/>
      <c r="C677" s="60"/>
      <c r="H677" s="90"/>
    </row>
    <row r="678">
      <c r="B678" s="60"/>
      <c r="C678" s="60"/>
      <c r="H678" s="90"/>
    </row>
    <row r="679">
      <c r="B679" s="60"/>
      <c r="C679" s="60"/>
      <c r="H679" s="90"/>
    </row>
    <row r="680">
      <c r="B680" s="60"/>
      <c r="C680" s="60"/>
      <c r="H680" s="90"/>
    </row>
    <row r="681">
      <c r="B681" s="60"/>
      <c r="C681" s="60"/>
      <c r="H681" s="90"/>
    </row>
    <row r="682">
      <c r="B682" s="60"/>
      <c r="C682" s="60"/>
      <c r="H682" s="90"/>
    </row>
    <row r="683">
      <c r="B683" s="60"/>
      <c r="C683" s="60"/>
      <c r="H683" s="90"/>
    </row>
    <row r="684">
      <c r="B684" s="60"/>
      <c r="C684" s="60"/>
      <c r="H684" s="90"/>
    </row>
    <row r="685">
      <c r="B685" s="60"/>
      <c r="C685" s="60"/>
      <c r="H685" s="90"/>
    </row>
    <row r="686">
      <c r="B686" s="60"/>
      <c r="C686" s="60"/>
      <c r="H686" s="90"/>
    </row>
    <row r="687">
      <c r="B687" s="60"/>
      <c r="C687" s="60"/>
      <c r="H687" s="90"/>
    </row>
    <row r="688">
      <c r="B688" s="60"/>
      <c r="C688" s="60"/>
      <c r="H688" s="90"/>
    </row>
    <row r="689">
      <c r="B689" s="60"/>
      <c r="C689" s="60"/>
      <c r="H689" s="90"/>
    </row>
    <row r="690">
      <c r="B690" s="60"/>
      <c r="C690" s="60"/>
      <c r="H690" s="90"/>
    </row>
    <row r="691">
      <c r="B691" s="60"/>
      <c r="C691" s="60"/>
      <c r="H691" s="90"/>
    </row>
    <row r="692">
      <c r="B692" s="60"/>
      <c r="C692" s="60"/>
      <c r="H692" s="90"/>
    </row>
    <row r="693">
      <c r="B693" s="60"/>
      <c r="C693" s="60"/>
      <c r="H693" s="90"/>
    </row>
    <row r="694">
      <c r="B694" s="60"/>
      <c r="C694" s="60"/>
      <c r="H694" s="90"/>
    </row>
    <row r="695">
      <c r="B695" s="60"/>
      <c r="C695" s="60"/>
      <c r="H695" s="90"/>
    </row>
    <row r="696">
      <c r="B696" s="60"/>
      <c r="C696" s="60"/>
      <c r="H696" s="90"/>
    </row>
    <row r="697">
      <c r="B697" s="60"/>
      <c r="C697" s="60"/>
      <c r="H697" s="90"/>
    </row>
    <row r="698">
      <c r="B698" s="60"/>
      <c r="C698" s="60"/>
      <c r="H698" s="90"/>
    </row>
    <row r="699">
      <c r="B699" s="60"/>
      <c r="C699" s="60"/>
      <c r="H699" s="90"/>
    </row>
    <row r="700">
      <c r="B700" s="60"/>
      <c r="C700" s="60"/>
      <c r="H700" s="90"/>
    </row>
    <row r="701">
      <c r="B701" s="60"/>
      <c r="C701" s="60"/>
      <c r="H701" s="90"/>
    </row>
    <row r="702">
      <c r="B702" s="60"/>
      <c r="C702" s="60"/>
      <c r="H702" s="90"/>
    </row>
    <row r="703">
      <c r="B703" s="60"/>
      <c r="C703" s="60"/>
      <c r="H703" s="90"/>
    </row>
    <row r="704">
      <c r="B704" s="60"/>
      <c r="C704" s="60"/>
      <c r="H704" s="90"/>
    </row>
    <row r="705">
      <c r="B705" s="60"/>
      <c r="C705" s="60"/>
      <c r="H705" s="90"/>
    </row>
    <row r="706">
      <c r="B706" s="60"/>
      <c r="C706" s="60"/>
      <c r="H706" s="90"/>
    </row>
    <row r="707">
      <c r="B707" s="60"/>
      <c r="C707" s="60"/>
      <c r="H707" s="90"/>
    </row>
    <row r="708">
      <c r="B708" s="60"/>
      <c r="C708" s="60"/>
      <c r="H708" s="90"/>
    </row>
    <row r="709">
      <c r="B709" s="60"/>
      <c r="C709" s="60"/>
      <c r="H709" s="90"/>
    </row>
    <row r="710">
      <c r="B710" s="60"/>
      <c r="C710" s="60"/>
      <c r="H710" s="90"/>
    </row>
    <row r="711">
      <c r="B711" s="60"/>
      <c r="C711" s="60"/>
      <c r="H711" s="90"/>
    </row>
    <row r="712">
      <c r="B712" s="60"/>
      <c r="C712" s="60"/>
      <c r="H712" s="90"/>
    </row>
    <row r="713">
      <c r="B713" s="60"/>
      <c r="C713" s="60"/>
      <c r="H713" s="90"/>
    </row>
    <row r="714">
      <c r="B714" s="60"/>
      <c r="C714" s="60"/>
      <c r="H714" s="90"/>
    </row>
    <row r="715">
      <c r="B715" s="60"/>
      <c r="C715" s="60"/>
      <c r="H715" s="90"/>
    </row>
    <row r="716">
      <c r="B716" s="60"/>
      <c r="C716" s="60"/>
      <c r="H716" s="90"/>
    </row>
    <row r="717">
      <c r="B717" s="60"/>
      <c r="C717" s="60"/>
      <c r="H717" s="90"/>
    </row>
    <row r="718">
      <c r="B718" s="60"/>
      <c r="C718" s="60"/>
      <c r="H718" s="90"/>
    </row>
    <row r="719">
      <c r="B719" s="60"/>
      <c r="C719" s="60"/>
      <c r="H719" s="90"/>
    </row>
    <row r="720">
      <c r="B720" s="60"/>
      <c r="C720" s="60"/>
      <c r="H720" s="90"/>
    </row>
    <row r="721">
      <c r="B721" s="60"/>
      <c r="C721" s="60"/>
      <c r="H721" s="90"/>
    </row>
    <row r="722">
      <c r="B722" s="60"/>
      <c r="C722" s="60"/>
      <c r="H722" s="90"/>
    </row>
    <row r="723">
      <c r="B723" s="60"/>
      <c r="C723" s="60"/>
      <c r="H723" s="90"/>
    </row>
    <row r="724">
      <c r="B724" s="60"/>
      <c r="C724" s="60"/>
      <c r="H724" s="90"/>
    </row>
    <row r="725">
      <c r="B725" s="60"/>
      <c r="C725" s="60"/>
      <c r="H725" s="90"/>
    </row>
    <row r="726">
      <c r="B726" s="60"/>
      <c r="C726" s="60"/>
      <c r="H726" s="90"/>
    </row>
    <row r="727">
      <c r="B727" s="60"/>
      <c r="C727" s="60"/>
      <c r="H727" s="90"/>
    </row>
    <row r="728">
      <c r="B728" s="60"/>
      <c r="C728" s="60"/>
      <c r="H728" s="90"/>
    </row>
    <row r="729">
      <c r="B729" s="60"/>
      <c r="C729" s="60"/>
      <c r="H729" s="90"/>
    </row>
    <row r="730">
      <c r="B730" s="60"/>
      <c r="C730" s="60"/>
      <c r="H730" s="90"/>
    </row>
    <row r="731">
      <c r="B731" s="60"/>
      <c r="C731" s="60"/>
      <c r="H731" s="90"/>
    </row>
    <row r="732">
      <c r="B732" s="60"/>
      <c r="C732" s="60"/>
      <c r="H732" s="90"/>
    </row>
    <row r="733">
      <c r="B733" s="60"/>
      <c r="C733" s="60"/>
      <c r="H733" s="90"/>
    </row>
    <row r="734">
      <c r="B734" s="60"/>
      <c r="C734" s="60"/>
      <c r="H734" s="90"/>
    </row>
    <row r="735">
      <c r="B735" s="60"/>
      <c r="C735" s="60"/>
      <c r="H735" s="90"/>
    </row>
    <row r="736">
      <c r="B736" s="60"/>
      <c r="C736" s="60"/>
      <c r="H736" s="90"/>
    </row>
    <row r="737">
      <c r="B737" s="60"/>
      <c r="C737" s="60"/>
      <c r="H737" s="90"/>
    </row>
    <row r="738">
      <c r="B738" s="60"/>
      <c r="C738" s="60"/>
      <c r="H738" s="90"/>
    </row>
    <row r="739">
      <c r="B739" s="60"/>
      <c r="C739" s="60"/>
      <c r="H739" s="90"/>
    </row>
    <row r="740">
      <c r="B740" s="60"/>
      <c r="C740" s="60"/>
      <c r="H740" s="90"/>
    </row>
    <row r="741">
      <c r="B741" s="60"/>
      <c r="C741" s="60"/>
      <c r="H741" s="90"/>
    </row>
    <row r="742">
      <c r="B742" s="60"/>
      <c r="C742" s="60"/>
      <c r="H742" s="90"/>
    </row>
    <row r="743">
      <c r="B743" s="60"/>
      <c r="C743" s="60"/>
      <c r="H743" s="90"/>
    </row>
    <row r="744">
      <c r="B744" s="60"/>
      <c r="C744" s="60"/>
      <c r="H744" s="90"/>
    </row>
    <row r="745">
      <c r="B745" s="60"/>
      <c r="C745" s="60"/>
      <c r="H745" s="90"/>
    </row>
    <row r="746">
      <c r="B746" s="60"/>
      <c r="C746" s="60"/>
      <c r="H746" s="90"/>
    </row>
    <row r="747">
      <c r="B747" s="60"/>
      <c r="C747" s="60"/>
      <c r="H747" s="90"/>
    </row>
    <row r="748">
      <c r="B748" s="60"/>
      <c r="C748" s="60"/>
      <c r="H748" s="90"/>
    </row>
    <row r="749">
      <c r="B749" s="60"/>
      <c r="C749" s="60"/>
      <c r="H749" s="90"/>
    </row>
    <row r="750">
      <c r="B750" s="60"/>
      <c r="C750" s="60"/>
      <c r="H750" s="90"/>
    </row>
    <row r="751">
      <c r="B751" s="60"/>
      <c r="C751" s="60"/>
      <c r="H751" s="90"/>
    </row>
    <row r="752">
      <c r="B752" s="60"/>
      <c r="C752" s="60"/>
      <c r="H752" s="90"/>
    </row>
    <row r="753">
      <c r="B753" s="60"/>
      <c r="C753" s="60"/>
      <c r="H753" s="90"/>
    </row>
    <row r="754">
      <c r="B754" s="60"/>
      <c r="C754" s="60"/>
      <c r="H754" s="90"/>
    </row>
    <row r="755">
      <c r="B755" s="60"/>
      <c r="C755" s="60"/>
      <c r="H755" s="90"/>
    </row>
    <row r="756">
      <c r="B756" s="60"/>
      <c r="C756" s="60"/>
      <c r="H756" s="90"/>
    </row>
    <row r="757">
      <c r="B757" s="60"/>
      <c r="C757" s="60"/>
      <c r="H757" s="90"/>
    </row>
    <row r="758">
      <c r="B758" s="60"/>
      <c r="C758" s="60"/>
      <c r="H758" s="90"/>
    </row>
    <row r="759">
      <c r="B759" s="60"/>
      <c r="C759" s="60"/>
      <c r="H759" s="90"/>
    </row>
    <row r="760">
      <c r="B760" s="60"/>
      <c r="C760" s="60"/>
      <c r="H760" s="90"/>
    </row>
    <row r="761">
      <c r="B761" s="60"/>
      <c r="C761" s="60"/>
      <c r="H761" s="90"/>
    </row>
    <row r="762">
      <c r="B762" s="60"/>
      <c r="C762" s="60"/>
      <c r="H762" s="90"/>
    </row>
    <row r="763">
      <c r="B763" s="60"/>
      <c r="C763" s="60"/>
      <c r="H763" s="90"/>
    </row>
    <row r="764">
      <c r="B764" s="60"/>
      <c r="C764" s="60"/>
      <c r="H764" s="90"/>
    </row>
    <row r="765">
      <c r="B765" s="60"/>
      <c r="C765" s="60"/>
      <c r="H765" s="90"/>
    </row>
    <row r="766">
      <c r="B766" s="60"/>
      <c r="C766" s="60"/>
      <c r="H766" s="90"/>
    </row>
    <row r="767">
      <c r="B767" s="60"/>
      <c r="C767" s="60"/>
      <c r="H767" s="90"/>
    </row>
    <row r="768">
      <c r="B768" s="60"/>
      <c r="C768" s="60"/>
      <c r="H768" s="90"/>
    </row>
    <row r="769">
      <c r="B769" s="60"/>
      <c r="C769" s="60"/>
      <c r="H769" s="90"/>
    </row>
    <row r="770">
      <c r="B770" s="60"/>
      <c r="C770" s="60"/>
      <c r="H770" s="90"/>
    </row>
    <row r="771">
      <c r="B771" s="60"/>
      <c r="C771" s="60"/>
      <c r="H771" s="90"/>
    </row>
    <row r="772">
      <c r="B772" s="60"/>
      <c r="C772" s="60"/>
      <c r="H772" s="90"/>
    </row>
    <row r="773">
      <c r="B773" s="60"/>
      <c r="C773" s="60"/>
      <c r="H773" s="90"/>
    </row>
    <row r="774">
      <c r="B774" s="60"/>
      <c r="C774" s="60"/>
      <c r="H774" s="90"/>
    </row>
    <row r="775">
      <c r="B775" s="60"/>
      <c r="C775" s="60"/>
      <c r="H775" s="90"/>
    </row>
    <row r="776">
      <c r="B776" s="60"/>
      <c r="C776" s="60"/>
      <c r="H776" s="90"/>
    </row>
    <row r="777">
      <c r="B777" s="60"/>
      <c r="C777" s="60"/>
      <c r="H777" s="90"/>
    </row>
    <row r="778">
      <c r="B778" s="60"/>
      <c r="C778" s="60"/>
      <c r="H778" s="90"/>
    </row>
    <row r="779">
      <c r="B779" s="60"/>
      <c r="C779" s="60"/>
      <c r="H779" s="90"/>
    </row>
    <row r="780">
      <c r="B780" s="60"/>
      <c r="C780" s="60"/>
      <c r="H780" s="90"/>
    </row>
    <row r="781">
      <c r="B781" s="60"/>
      <c r="C781" s="60"/>
      <c r="H781" s="90"/>
    </row>
    <row r="782">
      <c r="B782" s="60"/>
      <c r="C782" s="60"/>
      <c r="H782" s="90"/>
    </row>
    <row r="783">
      <c r="B783" s="60"/>
      <c r="C783" s="60"/>
      <c r="H783" s="90"/>
    </row>
    <row r="784">
      <c r="B784" s="60"/>
      <c r="C784" s="60"/>
      <c r="H784" s="90"/>
    </row>
    <row r="785">
      <c r="B785" s="60"/>
      <c r="C785" s="60"/>
      <c r="H785" s="90"/>
    </row>
    <row r="786">
      <c r="B786" s="60"/>
      <c r="C786" s="60"/>
      <c r="H786" s="90"/>
    </row>
    <row r="787">
      <c r="B787" s="60"/>
      <c r="C787" s="60"/>
      <c r="H787" s="90"/>
    </row>
    <row r="788">
      <c r="B788" s="60"/>
      <c r="C788" s="60"/>
      <c r="H788" s="90"/>
    </row>
    <row r="789">
      <c r="B789" s="60"/>
      <c r="C789" s="60"/>
      <c r="H789" s="90"/>
    </row>
    <row r="790">
      <c r="B790" s="60"/>
      <c r="C790" s="60"/>
      <c r="H790" s="90"/>
    </row>
    <row r="791">
      <c r="B791" s="60"/>
      <c r="C791" s="60"/>
      <c r="H791" s="90"/>
    </row>
    <row r="792">
      <c r="B792" s="60"/>
      <c r="C792" s="60"/>
      <c r="H792" s="90"/>
    </row>
    <row r="793">
      <c r="B793" s="60"/>
      <c r="C793" s="60"/>
      <c r="H793" s="90"/>
    </row>
    <row r="794">
      <c r="B794" s="60"/>
      <c r="C794" s="60"/>
      <c r="H794" s="90"/>
    </row>
    <row r="795">
      <c r="B795" s="60"/>
      <c r="C795" s="60"/>
      <c r="H795" s="90"/>
    </row>
    <row r="796">
      <c r="B796" s="60"/>
      <c r="C796" s="60"/>
      <c r="H796" s="90"/>
    </row>
    <row r="797">
      <c r="B797" s="60"/>
      <c r="C797" s="60"/>
      <c r="H797" s="90"/>
    </row>
    <row r="798">
      <c r="B798" s="60"/>
      <c r="C798" s="60"/>
      <c r="H798" s="90"/>
    </row>
    <row r="799">
      <c r="B799" s="60"/>
      <c r="C799" s="60"/>
      <c r="H799" s="90"/>
    </row>
    <row r="800">
      <c r="B800" s="60"/>
      <c r="C800" s="60"/>
      <c r="H800" s="90"/>
    </row>
    <row r="801">
      <c r="B801" s="60"/>
      <c r="C801" s="60"/>
      <c r="H801" s="90"/>
    </row>
    <row r="802">
      <c r="B802" s="60"/>
      <c r="C802" s="60"/>
      <c r="H802" s="90"/>
    </row>
    <row r="803">
      <c r="B803" s="60"/>
      <c r="C803" s="60"/>
      <c r="H803" s="90"/>
    </row>
    <row r="804">
      <c r="B804" s="60"/>
      <c r="C804" s="60"/>
      <c r="H804" s="90"/>
    </row>
    <row r="805">
      <c r="B805" s="60"/>
      <c r="C805" s="60"/>
      <c r="H805" s="90"/>
    </row>
    <row r="806">
      <c r="B806" s="60"/>
      <c r="C806" s="60"/>
      <c r="H806" s="90"/>
    </row>
    <row r="807">
      <c r="B807" s="60"/>
      <c r="C807" s="60"/>
      <c r="H807" s="90"/>
    </row>
    <row r="808">
      <c r="B808" s="60"/>
      <c r="C808" s="60"/>
      <c r="H808" s="90"/>
    </row>
    <row r="809">
      <c r="B809" s="60"/>
      <c r="C809" s="60"/>
      <c r="H809" s="90"/>
    </row>
    <row r="810">
      <c r="B810" s="60"/>
      <c r="C810" s="60"/>
      <c r="H810" s="90"/>
    </row>
    <row r="811">
      <c r="B811" s="60"/>
      <c r="C811" s="60"/>
      <c r="H811" s="90"/>
    </row>
    <row r="812">
      <c r="B812" s="60"/>
      <c r="C812" s="60"/>
      <c r="H812" s="90"/>
    </row>
    <row r="813">
      <c r="B813" s="60"/>
      <c r="C813" s="60"/>
      <c r="H813" s="90"/>
    </row>
    <row r="814">
      <c r="B814" s="60"/>
      <c r="C814" s="60"/>
      <c r="H814" s="90"/>
    </row>
    <row r="815">
      <c r="B815" s="60"/>
      <c r="C815" s="60"/>
      <c r="H815" s="90"/>
    </row>
    <row r="816">
      <c r="B816" s="60"/>
      <c r="C816" s="60"/>
      <c r="H816" s="90"/>
    </row>
    <row r="817">
      <c r="B817" s="60"/>
      <c r="C817" s="60"/>
      <c r="H817" s="90"/>
    </row>
    <row r="818">
      <c r="B818" s="60"/>
      <c r="C818" s="60"/>
      <c r="H818" s="90"/>
    </row>
    <row r="819">
      <c r="B819" s="60"/>
      <c r="C819" s="60"/>
      <c r="H819" s="90"/>
    </row>
    <row r="820">
      <c r="B820" s="60"/>
      <c r="C820" s="60"/>
      <c r="H820" s="90"/>
    </row>
    <row r="821">
      <c r="B821" s="60"/>
      <c r="C821" s="60"/>
      <c r="H821" s="90"/>
    </row>
    <row r="822">
      <c r="B822" s="60"/>
      <c r="C822" s="60"/>
      <c r="H822" s="90"/>
    </row>
    <row r="823">
      <c r="B823" s="60"/>
      <c r="C823" s="60"/>
      <c r="H823" s="90"/>
    </row>
    <row r="824">
      <c r="B824" s="60"/>
      <c r="C824" s="60"/>
      <c r="H824" s="90"/>
    </row>
    <row r="825">
      <c r="B825" s="60"/>
      <c r="C825" s="60"/>
      <c r="H825" s="90"/>
    </row>
    <row r="826">
      <c r="B826" s="60"/>
      <c r="C826" s="60"/>
      <c r="H826" s="90"/>
    </row>
    <row r="827">
      <c r="B827" s="60"/>
      <c r="C827" s="60"/>
      <c r="H827" s="90"/>
    </row>
    <row r="828">
      <c r="B828" s="60"/>
      <c r="C828" s="60"/>
      <c r="H828" s="90"/>
    </row>
    <row r="829">
      <c r="B829" s="60"/>
      <c r="C829" s="60"/>
      <c r="H829" s="90"/>
    </row>
    <row r="830">
      <c r="B830" s="60"/>
      <c r="C830" s="60"/>
      <c r="H830" s="90"/>
    </row>
    <row r="831">
      <c r="B831" s="60"/>
      <c r="C831" s="60"/>
      <c r="H831" s="90"/>
    </row>
    <row r="832">
      <c r="B832" s="60"/>
      <c r="C832" s="60"/>
      <c r="H832" s="90"/>
    </row>
    <row r="833">
      <c r="B833" s="60"/>
      <c r="C833" s="60"/>
      <c r="H833" s="90"/>
    </row>
    <row r="834">
      <c r="B834" s="60"/>
      <c r="C834" s="60"/>
      <c r="H834" s="90"/>
    </row>
    <row r="835">
      <c r="B835" s="60"/>
      <c r="C835" s="60"/>
      <c r="H835" s="90"/>
    </row>
    <row r="836">
      <c r="B836" s="60"/>
      <c r="C836" s="60"/>
      <c r="H836" s="90"/>
    </row>
    <row r="837">
      <c r="B837" s="60"/>
      <c r="C837" s="60"/>
      <c r="H837" s="90"/>
    </row>
    <row r="838">
      <c r="B838" s="60"/>
      <c r="C838" s="60"/>
      <c r="H838" s="90"/>
    </row>
    <row r="839">
      <c r="B839" s="60"/>
      <c r="C839" s="60"/>
      <c r="H839" s="90"/>
    </row>
    <row r="840">
      <c r="B840" s="60"/>
      <c r="C840" s="60"/>
      <c r="H840" s="90"/>
    </row>
    <row r="841">
      <c r="B841" s="60"/>
      <c r="C841" s="60"/>
      <c r="H841" s="90"/>
    </row>
    <row r="842">
      <c r="B842" s="60"/>
      <c r="C842" s="60"/>
      <c r="H842" s="90"/>
    </row>
    <row r="843">
      <c r="B843" s="60"/>
      <c r="C843" s="60"/>
      <c r="H843" s="90"/>
    </row>
    <row r="844">
      <c r="B844" s="60"/>
      <c r="C844" s="60"/>
      <c r="H844" s="90"/>
    </row>
    <row r="845">
      <c r="B845" s="60"/>
      <c r="C845" s="60"/>
      <c r="H845" s="90"/>
    </row>
    <row r="846">
      <c r="B846" s="60"/>
      <c r="C846" s="60"/>
      <c r="H846" s="90"/>
    </row>
    <row r="847">
      <c r="B847" s="60"/>
      <c r="C847" s="60"/>
      <c r="H847" s="90"/>
    </row>
    <row r="848">
      <c r="B848" s="60"/>
      <c r="C848" s="60"/>
      <c r="H848" s="90"/>
    </row>
    <row r="849">
      <c r="B849" s="60"/>
      <c r="C849" s="60"/>
      <c r="H849" s="90"/>
    </row>
    <row r="850">
      <c r="B850" s="60"/>
      <c r="C850" s="60"/>
      <c r="H850" s="90"/>
    </row>
    <row r="851">
      <c r="B851" s="60"/>
      <c r="C851" s="60"/>
      <c r="H851" s="90"/>
    </row>
    <row r="852">
      <c r="B852" s="60"/>
      <c r="C852" s="60"/>
      <c r="H852" s="90"/>
    </row>
    <row r="853">
      <c r="B853" s="60"/>
      <c r="C853" s="60"/>
      <c r="H853" s="90"/>
    </row>
    <row r="854">
      <c r="B854" s="60"/>
      <c r="C854" s="60"/>
      <c r="H854" s="90"/>
    </row>
    <row r="855">
      <c r="B855" s="60"/>
      <c r="C855" s="60"/>
      <c r="H855" s="90"/>
    </row>
    <row r="856">
      <c r="B856" s="60"/>
      <c r="C856" s="60"/>
      <c r="H856" s="90"/>
    </row>
    <row r="857">
      <c r="B857" s="60"/>
      <c r="C857" s="60"/>
      <c r="H857" s="90"/>
    </row>
    <row r="858">
      <c r="B858" s="60"/>
      <c r="C858" s="60"/>
      <c r="H858" s="90"/>
    </row>
    <row r="859">
      <c r="B859" s="60"/>
      <c r="C859" s="60"/>
      <c r="H859" s="90"/>
    </row>
    <row r="860">
      <c r="B860" s="60"/>
      <c r="C860" s="60"/>
      <c r="H860" s="90"/>
    </row>
    <row r="861">
      <c r="B861" s="60"/>
      <c r="C861" s="60"/>
      <c r="H861" s="90"/>
    </row>
    <row r="862">
      <c r="B862" s="60"/>
      <c r="C862" s="60"/>
      <c r="H862" s="90"/>
    </row>
    <row r="863">
      <c r="B863" s="60"/>
      <c r="C863" s="60"/>
      <c r="H863" s="90"/>
    </row>
    <row r="864">
      <c r="B864" s="60"/>
      <c r="C864" s="60"/>
      <c r="H864" s="90"/>
    </row>
    <row r="865">
      <c r="B865" s="60"/>
      <c r="C865" s="60"/>
      <c r="H865" s="90"/>
    </row>
    <row r="866">
      <c r="B866" s="60"/>
      <c r="C866" s="60"/>
      <c r="H866" s="90"/>
    </row>
    <row r="867">
      <c r="B867" s="60"/>
      <c r="C867" s="60"/>
      <c r="H867" s="90"/>
    </row>
    <row r="868">
      <c r="B868" s="60"/>
      <c r="C868" s="60"/>
      <c r="H868" s="90"/>
    </row>
    <row r="869">
      <c r="B869" s="60"/>
      <c r="C869" s="60"/>
      <c r="H869" s="90"/>
    </row>
    <row r="870">
      <c r="B870" s="60"/>
      <c r="C870" s="60"/>
      <c r="H870" s="90"/>
    </row>
    <row r="871">
      <c r="B871" s="60"/>
      <c r="C871" s="60"/>
      <c r="H871" s="90"/>
    </row>
    <row r="872">
      <c r="B872" s="60"/>
      <c r="C872" s="60"/>
      <c r="H872" s="90"/>
    </row>
    <row r="873">
      <c r="B873" s="60"/>
      <c r="C873" s="60"/>
      <c r="H873" s="90"/>
    </row>
    <row r="874">
      <c r="B874" s="60"/>
      <c r="C874" s="60"/>
      <c r="H874" s="90"/>
    </row>
    <row r="875">
      <c r="B875" s="60"/>
      <c r="C875" s="60"/>
      <c r="H875" s="90"/>
    </row>
    <row r="876">
      <c r="B876" s="60"/>
      <c r="C876" s="60"/>
      <c r="H876" s="90"/>
    </row>
    <row r="877">
      <c r="B877" s="60"/>
      <c r="C877" s="60"/>
      <c r="H877" s="90"/>
    </row>
    <row r="878">
      <c r="B878" s="60"/>
      <c r="C878" s="60"/>
      <c r="H878" s="90"/>
    </row>
    <row r="879">
      <c r="B879" s="60"/>
      <c r="C879" s="60"/>
      <c r="H879" s="90"/>
    </row>
    <row r="880">
      <c r="B880" s="60"/>
      <c r="C880" s="60"/>
      <c r="H880" s="90"/>
    </row>
    <row r="881">
      <c r="B881" s="60"/>
      <c r="C881" s="60"/>
      <c r="H881" s="90"/>
    </row>
    <row r="882">
      <c r="B882" s="60"/>
      <c r="C882" s="60"/>
      <c r="H882" s="90"/>
    </row>
    <row r="883">
      <c r="B883" s="60"/>
      <c r="C883" s="60"/>
      <c r="H883" s="90"/>
    </row>
    <row r="884">
      <c r="B884" s="60"/>
      <c r="C884" s="60"/>
      <c r="H884" s="90"/>
    </row>
    <row r="885">
      <c r="B885" s="60"/>
      <c r="C885" s="60"/>
      <c r="H885" s="90"/>
    </row>
    <row r="886">
      <c r="B886" s="60"/>
      <c r="C886" s="60"/>
      <c r="H886" s="90"/>
    </row>
    <row r="887">
      <c r="B887" s="60"/>
      <c r="C887" s="60"/>
      <c r="H887" s="90"/>
    </row>
    <row r="888">
      <c r="B888" s="60"/>
      <c r="C888" s="60"/>
      <c r="H888" s="90"/>
    </row>
    <row r="889">
      <c r="B889" s="60"/>
      <c r="C889" s="60"/>
      <c r="H889" s="90"/>
    </row>
    <row r="890">
      <c r="B890" s="60"/>
      <c r="C890" s="60"/>
      <c r="H890" s="90"/>
    </row>
    <row r="891">
      <c r="B891" s="60"/>
      <c r="C891" s="60"/>
      <c r="H891" s="90"/>
    </row>
    <row r="892">
      <c r="B892" s="60"/>
      <c r="C892" s="60"/>
      <c r="H892" s="90"/>
    </row>
    <row r="893">
      <c r="B893" s="60"/>
      <c r="C893" s="60"/>
      <c r="H893" s="90"/>
    </row>
    <row r="894">
      <c r="B894" s="60"/>
      <c r="C894" s="60"/>
      <c r="H894" s="90"/>
    </row>
    <row r="895">
      <c r="B895" s="60"/>
      <c r="C895" s="60"/>
      <c r="H895" s="90"/>
    </row>
    <row r="896">
      <c r="B896" s="60"/>
      <c r="C896" s="60"/>
      <c r="H896" s="90"/>
    </row>
    <row r="897">
      <c r="B897" s="60"/>
      <c r="C897" s="60"/>
      <c r="H897" s="90"/>
    </row>
    <row r="898">
      <c r="B898" s="60"/>
      <c r="C898" s="60"/>
      <c r="H898" s="90"/>
    </row>
    <row r="899">
      <c r="B899" s="60"/>
      <c r="C899" s="60"/>
      <c r="H899" s="90"/>
    </row>
    <row r="900">
      <c r="B900" s="60"/>
      <c r="C900" s="60"/>
      <c r="H900" s="90"/>
    </row>
    <row r="901">
      <c r="B901" s="60"/>
      <c r="C901" s="60"/>
      <c r="H901" s="90"/>
    </row>
    <row r="902">
      <c r="B902" s="60"/>
      <c r="C902" s="60"/>
      <c r="H902" s="90"/>
    </row>
    <row r="903">
      <c r="B903" s="60"/>
      <c r="C903" s="60"/>
      <c r="H903" s="90"/>
    </row>
    <row r="904">
      <c r="B904" s="60"/>
      <c r="C904" s="60"/>
      <c r="H904" s="90"/>
    </row>
    <row r="905">
      <c r="B905" s="60"/>
      <c r="C905" s="60"/>
      <c r="H905" s="90"/>
    </row>
    <row r="906">
      <c r="B906" s="60"/>
      <c r="C906" s="60"/>
      <c r="H906" s="90"/>
    </row>
    <row r="907">
      <c r="B907" s="60"/>
      <c r="C907" s="60"/>
      <c r="H907" s="90"/>
    </row>
    <row r="908">
      <c r="B908" s="60"/>
      <c r="C908" s="60"/>
      <c r="H908" s="90"/>
    </row>
    <row r="909">
      <c r="B909" s="60"/>
      <c r="C909" s="60"/>
      <c r="H909" s="90"/>
    </row>
    <row r="910">
      <c r="B910" s="60"/>
      <c r="C910" s="60"/>
      <c r="H910" s="90"/>
    </row>
    <row r="911">
      <c r="B911" s="60"/>
      <c r="C911" s="60"/>
      <c r="H911" s="90"/>
    </row>
    <row r="912">
      <c r="B912" s="60"/>
      <c r="C912" s="60"/>
      <c r="H912" s="90"/>
    </row>
    <row r="913">
      <c r="B913" s="60"/>
      <c r="C913" s="60"/>
      <c r="H913" s="90"/>
    </row>
    <row r="914">
      <c r="B914" s="60"/>
      <c r="C914" s="60"/>
      <c r="H914" s="90"/>
    </row>
    <row r="915">
      <c r="B915" s="60"/>
      <c r="C915" s="60"/>
      <c r="H915" s="90"/>
    </row>
    <row r="916">
      <c r="B916" s="60"/>
      <c r="C916" s="60"/>
      <c r="H916" s="90"/>
    </row>
    <row r="917">
      <c r="B917" s="60"/>
      <c r="C917" s="60"/>
      <c r="H917" s="90"/>
    </row>
    <row r="918">
      <c r="B918" s="60"/>
      <c r="C918" s="60"/>
      <c r="H918" s="90"/>
    </row>
    <row r="919">
      <c r="B919" s="60"/>
      <c r="C919" s="60"/>
      <c r="H919" s="90"/>
    </row>
    <row r="920">
      <c r="B920" s="60"/>
      <c r="C920" s="60"/>
      <c r="H920" s="90"/>
    </row>
    <row r="921">
      <c r="B921" s="60"/>
      <c r="C921" s="60"/>
      <c r="H921" s="90"/>
    </row>
    <row r="922">
      <c r="B922" s="60"/>
      <c r="C922" s="60"/>
      <c r="H922" s="90"/>
    </row>
    <row r="923">
      <c r="B923" s="60"/>
      <c r="C923" s="60"/>
      <c r="H923" s="90"/>
    </row>
    <row r="924">
      <c r="B924" s="60"/>
      <c r="C924" s="60"/>
      <c r="H924" s="90"/>
    </row>
    <row r="925">
      <c r="B925" s="60"/>
      <c r="C925" s="60"/>
      <c r="H925" s="90"/>
    </row>
    <row r="926">
      <c r="B926" s="60"/>
      <c r="C926" s="60"/>
      <c r="H926" s="90"/>
    </row>
    <row r="927">
      <c r="B927" s="60"/>
      <c r="C927" s="60"/>
      <c r="H927" s="90"/>
    </row>
    <row r="928">
      <c r="B928" s="60"/>
      <c r="C928" s="60"/>
      <c r="H928" s="90"/>
    </row>
    <row r="929">
      <c r="B929" s="60"/>
      <c r="C929" s="60"/>
      <c r="H929" s="90"/>
    </row>
    <row r="930">
      <c r="B930" s="60"/>
      <c r="C930" s="60"/>
      <c r="H930" s="90"/>
    </row>
    <row r="931">
      <c r="B931" s="60"/>
      <c r="C931" s="60"/>
      <c r="H931" s="90"/>
    </row>
    <row r="932">
      <c r="B932" s="60"/>
      <c r="C932" s="60"/>
      <c r="H932" s="90"/>
    </row>
    <row r="933">
      <c r="B933" s="60"/>
      <c r="C933" s="60"/>
      <c r="H933" s="90"/>
    </row>
    <row r="934">
      <c r="B934" s="60"/>
      <c r="C934" s="60"/>
      <c r="H934" s="90"/>
    </row>
    <row r="935">
      <c r="B935" s="60"/>
      <c r="C935" s="60"/>
      <c r="H935" s="90"/>
    </row>
    <row r="936">
      <c r="B936" s="60"/>
      <c r="C936" s="60"/>
      <c r="H936" s="90"/>
    </row>
    <row r="937">
      <c r="B937" s="60"/>
      <c r="C937" s="60"/>
      <c r="H937" s="90"/>
    </row>
    <row r="938">
      <c r="B938" s="60"/>
      <c r="C938" s="60"/>
      <c r="H938" s="90"/>
    </row>
    <row r="939">
      <c r="B939" s="60"/>
      <c r="C939" s="60"/>
      <c r="H939" s="90"/>
    </row>
    <row r="940">
      <c r="B940" s="60"/>
      <c r="C940" s="60"/>
      <c r="H940" s="90"/>
    </row>
    <row r="941">
      <c r="B941" s="60"/>
      <c r="C941" s="60"/>
      <c r="H941" s="90"/>
    </row>
    <row r="942">
      <c r="B942" s="60"/>
      <c r="C942" s="60"/>
      <c r="H942" s="90"/>
    </row>
    <row r="943">
      <c r="B943" s="60"/>
      <c r="C943" s="60"/>
      <c r="H943" s="90"/>
    </row>
    <row r="944">
      <c r="B944" s="60"/>
      <c r="C944" s="60"/>
      <c r="H944" s="90"/>
    </row>
    <row r="945">
      <c r="B945" s="60"/>
      <c r="C945" s="60"/>
      <c r="H945" s="90"/>
    </row>
    <row r="946">
      <c r="B946" s="60"/>
      <c r="C946" s="60"/>
      <c r="H946" s="90"/>
    </row>
    <row r="947">
      <c r="B947" s="60"/>
      <c r="C947" s="60"/>
      <c r="H947" s="90"/>
    </row>
    <row r="948">
      <c r="B948" s="60"/>
      <c r="C948" s="60"/>
      <c r="H948" s="90"/>
    </row>
    <row r="949">
      <c r="B949" s="60"/>
      <c r="C949" s="60"/>
      <c r="H949" s="90"/>
    </row>
    <row r="950">
      <c r="B950" s="60"/>
      <c r="C950" s="60"/>
      <c r="H950" s="90"/>
    </row>
    <row r="951">
      <c r="B951" s="60"/>
      <c r="C951" s="60"/>
      <c r="H951" s="90"/>
    </row>
    <row r="952">
      <c r="B952" s="60"/>
      <c r="C952" s="60"/>
      <c r="H952" s="90"/>
    </row>
    <row r="953">
      <c r="B953" s="60"/>
      <c r="C953" s="60"/>
      <c r="H953" s="90"/>
    </row>
    <row r="954">
      <c r="B954" s="60"/>
      <c r="C954" s="60"/>
      <c r="H954" s="90"/>
    </row>
    <row r="955">
      <c r="B955" s="60"/>
      <c r="C955" s="60"/>
      <c r="H955" s="90"/>
    </row>
    <row r="956">
      <c r="B956" s="60"/>
      <c r="C956" s="60"/>
      <c r="H956" s="90"/>
    </row>
    <row r="957">
      <c r="B957" s="60"/>
      <c r="C957" s="60"/>
      <c r="H957" s="90"/>
    </row>
    <row r="958">
      <c r="B958" s="60"/>
      <c r="C958" s="60"/>
      <c r="H958" s="90"/>
    </row>
    <row r="959">
      <c r="B959" s="60"/>
      <c r="C959" s="60"/>
      <c r="H959" s="90"/>
    </row>
    <row r="960">
      <c r="B960" s="60"/>
      <c r="C960" s="60"/>
      <c r="H960" s="90"/>
    </row>
    <row r="961">
      <c r="B961" s="60"/>
      <c r="C961" s="60"/>
      <c r="H961" s="90"/>
    </row>
    <row r="962">
      <c r="B962" s="60"/>
      <c r="C962" s="60"/>
      <c r="H962" s="90"/>
    </row>
    <row r="963">
      <c r="B963" s="60"/>
      <c r="C963" s="60"/>
      <c r="H963" s="90"/>
    </row>
    <row r="964">
      <c r="B964" s="60"/>
      <c r="C964" s="60"/>
      <c r="H964" s="90"/>
    </row>
    <row r="965">
      <c r="B965" s="60"/>
      <c r="C965" s="60"/>
      <c r="H965" s="90"/>
    </row>
    <row r="966">
      <c r="B966" s="60"/>
      <c r="C966" s="60"/>
      <c r="H966" s="90"/>
    </row>
    <row r="967">
      <c r="B967" s="60"/>
      <c r="C967" s="60"/>
      <c r="H967" s="90"/>
    </row>
    <row r="968">
      <c r="B968" s="60"/>
      <c r="C968" s="60"/>
      <c r="H968" s="90"/>
    </row>
    <row r="969">
      <c r="B969" s="60"/>
      <c r="C969" s="60"/>
      <c r="H969" s="90"/>
    </row>
    <row r="970">
      <c r="B970" s="60"/>
      <c r="C970" s="60"/>
      <c r="H970" s="90"/>
    </row>
    <row r="971">
      <c r="B971" s="60"/>
      <c r="C971" s="60"/>
      <c r="H971" s="90"/>
    </row>
    <row r="972">
      <c r="B972" s="60"/>
      <c r="C972" s="60"/>
      <c r="H972" s="90"/>
    </row>
    <row r="973">
      <c r="B973" s="60"/>
      <c r="C973" s="60"/>
      <c r="H973" s="90"/>
    </row>
    <row r="974">
      <c r="B974" s="60"/>
      <c r="C974" s="60"/>
      <c r="H974" s="90"/>
    </row>
    <row r="975">
      <c r="B975" s="60"/>
      <c r="C975" s="60"/>
      <c r="H975" s="90"/>
    </row>
    <row r="976">
      <c r="B976" s="60"/>
      <c r="C976" s="60"/>
      <c r="H976" s="90"/>
    </row>
    <row r="977">
      <c r="B977" s="60"/>
      <c r="C977" s="60"/>
      <c r="H977" s="90"/>
    </row>
    <row r="978">
      <c r="B978" s="60"/>
      <c r="C978" s="60"/>
      <c r="H978" s="90"/>
    </row>
    <row r="979">
      <c r="B979" s="60"/>
      <c r="C979" s="60"/>
      <c r="H979" s="90"/>
    </row>
    <row r="980">
      <c r="B980" s="60"/>
      <c r="C980" s="60"/>
      <c r="H980" s="90"/>
    </row>
    <row r="981">
      <c r="B981" s="60"/>
      <c r="C981" s="60"/>
      <c r="H981" s="90"/>
    </row>
    <row r="982">
      <c r="B982" s="60"/>
      <c r="C982" s="60"/>
      <c r="H982" s="90"/>
    </row>
    <row r="983">
      <c r="B983" s="60"/>
      <c r="C983" s="60"/>
      <c r="H983" s="90"/>
    </row>
    <row r="984">
      <c r="B984" s="60"/>
      <c r="C984" s="60"/>
      <c r="H984" s="90"/>
    </row>
    <row r="985">
      <c r="B985" s="60"/>
      <c r="C985" s="60"/>
      <c r="H985" s="90"/>
    </row>
    <row r="986">
      <c r="B986" s="60"/>
      <c r="C986" s="60"/>
      <c r="H986" s="90"/>
    </row>
    <row r="987">
      <c r="B987" s="60"/>
      <c r="C987" s="60"/>
      <c r="H987" s="90"/>
    </row>
    <row r="988">
      <c r="B988" s="60"/>
      <c r="C988" s="60"/>
      <c r="H988" s="90"/>
    </row>
    <row r="989">
      <c r="B989" s="60"/>
      <c r="C989" s="60"/>
      <c r="H989" s="90"/>
    </row>
    <row r="990">
      <c r="B990" s="60"/>
      <c r="C990" s="60"/>
      <c r="H990" s="90"/>
    </row>
    <row r="991">
      <c r="B991" s="60"/>
      <c r="C991" s="60"/>
      <c r="H991" s="90"/>
    </row>
    <row r="992">
      <c r="B992" s="60"/>
      <c r="C992" s="60"/>
      <c r="H992" s="90"/>
    </row>
    <row r="993">
      <c r="B993" s="60"/>
      <c r="C993" s="60"/>
      <c r="H993" s="90"/>
    </row>
    <row r="994">
      <c r="B994" s="60"/>
      <c r="C994" s="60"/>
      <c r="H994" s="90"/>
    </row>
    <row r="995">
      <c r="B995" s="60"/>
      <c r="C995" s="60"/>
      <c r="H995" s="90"/>
    </row>
    <row r="996">
      <c r="B996" s="60"/>
      <c r="C996" s="60"/>
      <c r="H996" s="90"/>
    </row>
    <row r="997">
      <c r="B997" s="60"/>
      <c r="C997" s="60"/>
      <c r="H997" s="90"/>
    </row>
    <row r="998">
      <c r="B998" s="60"/>
      <c r="C998" s="60"/>
      <c r="H998" s="90"/>
    </row>
    <row r="999">
      <c r="B999" s="60"/>
      <c r="C999" s="60"/>
      <c r="H999" s="90"/>
    </row>
    <row r="1000">
      <c r="B1000" s="60"/>
      <c r="C1000" s="60"/>
      <c r="H1000" s="90"/>
    </row>
    <row r="1001">
      <c r="B1001" s="60"/>
      <c r="C1001" s="60"/>
      <c r="H1001" s="90"/>
    </row>
  </sheetData>
  <mergeCells count="1">
    <mergeCell ref="A1:H1"/>
  </mergeCell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6.88"/>
    <col customWidth="1" min="3" max="3" width="21.38"/>
    <col customWidth="1" min="4" max="4" width="9.88"/>
    <col customWidth="1" min="5" max="5" width="20.75"/>
    <col customWidth="1" min="6" max="6" width="17.0"/>
    <col customWidth="1" min="7" max="7" width="9.5"/>
    <col customWidth="1" min="8" max="8" width="15.5"/>
    <col customWidth="1" min="9" max="9" width="7.88"/>
    <col customWidth="1" min="10" max="10" width="8.63"/>
    <col customWidth="1" min="11" max="11" width="59.63"/>
  </cols>
  <sheetData>
    <row r="1">
      <c r="A1" s="1" t="s">
        <v>0</v>
      </c>
      <c r="B1" s="1" t="s">
        <v>1</v>
      </c>
      <c r="C1" s="1" t="s">
        <v>3</v>
      </c>
      <c r="D1" s="1" t="s">
        <v>4</v>
      </c>
      <c r="E1" s="1" t="s">
        <v>5</v>
      </c>
      <c r="F1" s="1" t="s">
        <v>6</v>
      </c>
      <c r="G1" s="1" t="s">
        <v>8</v>
      </c>
      <c r="H1" s="1" t="s">
        <v>10</v>
      </c>
      <c r="I1" s="1" t="s">
        <v>12</v>
      </c>
      <c r="J1" s="1" t="s">
        <v>15</v>
      </c>
      <c r="K1" s="1" t="s">
        <v>17</v>
      </c>
    </row>
    <row r="2">
      <c r="A2" s="1" t="s">
        <v>19</v>
      </c>
      <c r="B2" s="1" t="s">
        <v>21</v>
      </c>
      <c r="C2" s="1" t="s">
        <v>22</v>
      </c>
      <c r="D2" s="1" t="s">
        <v>24</v>
      </c>
      <c r="E2" s="1" t="s">
        <v>21</v>
      </c>
      <c r="F2" s="1" t="s">
        <v>25</v>
      </c>
      <c r="G2" s="1" t="s">
        <v>26</v>
      </c>
      <c r="K2" s="1" t="s">
        <v>27</v>
      </c>
    </row>
    <row r="3">
      <c r="A3" s="1" t="s">
        <v>28</v>
      </c>
      <c r="B3" s="1" t="s">
        <v>21</v>
      </c>
      <c r="C3" s="1" t="s">
        <v>29</v>
      </c>
      <c r="D3" s="1" t="s">
        <v>30</v>
      </c>
      <c r="K3" s="1" t="s">
        <v>31</v>
      </c>
    </row>
    <row r="4">
      <c r="A4" s="1" t="s">
        <v>32</v>
      </c>
      <c r="B4" s="1" t="s">
        <v>29</v>
      </c>
      <c r="C4" s="1" t="s">
        <v>22</v>
      </c>
      <c r="D4" s="1" t="s">
        <v>30</v>
      </c>
      <c r="K4" s="1" t="s">
        <v>33</v>
      </c>
    </row>
    <row r="5">
      <c r="A5" s="1" t="s">
        <v>35</v>
      </c>
      <c r="B5" s="1" t="s">
        <v>36</v>
      </c>
      <c r="C5" s="1" t="s">
        <v>22</v>
      </c>
      <c r="D5" s="1" t="s">
        <v>37</v>
      </c>
      <c r="E5" s="1" t="s">
        <v>38</v>
      </c>
      <c r="F5" s="1" t="s">
        <v>22</v>
      </c>
      <c r="G5" s="1" t="s">
        <v>39</v>
      </c>
      <c r="K5" s="1" t="s">
        <v>40</v>
      </c>
    </row>
    <row r="6">
      <c r="A6" s="1" t="s">
        <v>41</v>
      </c>
      <c r="B6" s="1" t="s">
        <v>36</v>
      </c>
      <c r="C6" s="1" t="s">
        <v>22</v>
      </c>
      <c r="D6" s="1" t="s">
        <v>30</v>
      </c>
      <c r="K6" s="1" t="s">
        <v>43</v>
      </c>
    </row>
    <row r="7">
      <c r="A7" s="1" t="s">
        <v>44</v>
      </c>
      <c r="B7" s="1" t="s">
        <v>21</v>
      </c>
      <c r="C7" s="1" t="s">
        <v>22</v>
      </c>
      <c r="D7" s="1" t="s">
        <v>30</v>
      </c>
      <c r="K7" s="1" t="s">
        <v>47</v>
      </c>
    </row>
    <row r="8">
      <c r="A8" s="1" t="s">
        <v>49</v>
      </c>
      <c r="B8" s="1" t="s">
        <v>21</v>
      </c>
      <c r="C8" s="1" t="s">
        <v>22</v>
      </c>
      <c r="D8" s="1" t="s">
        <v>30</v>
      </c>
      <c r="K8" s="1" t="s">
        <v>52</v>
      </c>
    </row>
    <row r="9">
      <c r="A9" s="1" t="s">
        <v>54</v>
      </c>
      <c r="B9" s="1" t="s">
        <v>29</v>
      </c>
      <c r="C9" s="1" t="s">
        <v>22</v>
      </c>
      <c r="D9" s="1" t="s">
        <v>30</v>
      </c>
      <c r="K9" s="1" t="s">
        <v>55</v>
      </c>
    </row>
    <row r="10">
      <c r="A10" s="1" t="s">
        <v>57</v>
      </c>
      <c r="B10" s="1" t="s">
        <v>58</v>
      </c>
      <c r="C10" s="1" t="s">
        <v>29</v>
      </c>
      <c r="D10" s="1" t="s">
        <v>30</v>
      </c>
      <c r="K10" s="1" t="s">
        <v>60</v>
      </c>
    </row>
    <row r="11">
      <c r="A11" s="1" t="s">
        <v>62</v>
      </c>
      <c r="B11" s="1" t="s">
        <v>58</v>
      </c>
      <c r="C11" s="1" t="s">
        <v>22</v>
      </c>
      <c r="D11" s="1" t="s">
        <v>30</v>
      </c>
      <c r="K11" s="1" t="s">
        <v>66</v>
      </c>
    </row>
    <row r="12">
      <c r="A12" s="1" t="s">
        <v>68</v>
      </c>
      <c r="B12" s="1" t="s">
        <v>22</v>
      </c>
      <c r="C12" s="1" t="s">
        <v>69</v>
      </c>
      <c r="D12" s="1" t="s">
        <v>70</v>
      </c>
      <c r="E12" s="1" t="s">
        <v>71</v>
      </c>
      <c r="F12" s="1" t="s">
        <v>69</v>
      </c>
      <c r="G12" s="1" t="s">
        <v>72</v>
      </c>
      <c r="H12" s="1" t="s">
        <v>73</v>
      </c>
      <c r="I12" s="1" t="s">
        <v>58</v>
      </c>
      <c r="J12" s="1" t="s">
        <v>74</v>
      </c>
      <c r="K12" s="1" t="s">
        <v>76</v>
      </c>
    </row>
    <row r="13">
      <c r="A13" s="1" t="s">
        <v>77</v>
      </c>
      <c r="B13" s="1" t="s">
        <v>22</v>
      </c>
      <c r="C13" s="1" t="s">
        <v>69</v>
      </c>
      <c r="D13" s="1" t="s">
        <v>30</v>
      </c>
      <c r="E13" s="1" t="s">
        <v>73</v>
      </c>
      <c r="F13" s="1" t="s">
        <v>58</v>
      </c>
      <c r="G13" s="1" t="s">
        <v>74</v>
      </c>
      <c r="K13" s="1" t="s">
        <v>84</v>
      </c>
    </row>
    <row r="14">
      <c r="A14" s="1" t="s">
        <v>85</v>
      </c>
      <c r="B14" s="1" t="s">
        <v>22</v>
      </c>
      <c r="C14" s="1" t="s">
        <v>45</v>
      </c>
      <c r="D14" s="1" t="s">
        <v>30</v>
      </c>
      <c r="K14" s="1" t="s">
        <v>86</v>
      </c>
    </row>
    <row r="15">
      <c r="A15" s="1" t="s">
        <v>88</v>
      </c>
      <c r="B15" s="1" t="s">
        <v>90</v>
      </c>
      <c r="C15" s="1" t="s">
        <v>22</v>
      </c>
      <c r="D15" s="1" t="s">
        <v>30</v>
      </c>
      <c r="K15" s="1" t="s">
        <v>92</v>
      </c>
    </row>
    <row r="16">
      <c r="A16" s="1" t="s">
        <v>93</v>
      </c>
      <c r="B16" s="1" t="s">
        <v>61</v>
      </c>
      <c r="C16" s="1" t="s">
        <v>22</v>
      </c>
      <c r="D16" s="1" t="s">
        <v>30</v>
      </c>
      <c r="K16" s="1" t="s">
        <v>96</v>
      </c>
    </row>
    <row r="17">
      <c r="A17" s="1" t="s">
        <v>97</v>
      </c>
      <c r="B17" s="1" t="s">
        <v>79</v>
      </c>
      <c r="C17" s="1" t="s">
        <v>22</v>
      </c>
      <c r="D17" s="1" t="s">
        <v>30</v>
      </c>
      <c r="K17" s="1" t="s">
        <v>98</v>
      </c>
    </row>
    <row r="18">
      <c r="A18" s="1" t="s">
        <v>99</v>
      </c>
      <c r="B18" s="1" t="s">
        <v>22</v>
      </c>
      <c r="C18" s="1" t="s">
        <v>25</v>
      </c>
      <c r="D18" s="1" t="s">
        <v>30</v>
      </c>
      <c r="K18" s="1" t="s">
        <v>103</v>
      </c>
    </row>
    <row r="19">
      <c r="A19" s="1" t="s">
        <v>106</v>
      </c>
      <c r="B19" s="1" t="s">
        <v>25</v>
      </c>
      <c r="C19" s="1" t="s">
        <v>22</v>
      </c>
      <c r="D19" s="1" t="s">
        <v>108</v>
      </c>
      <c r="E19" s="1" t="s">
        <v>109</v>
      </c>
      <c r="F19" s="1" t="s">
        <v>22</v>
      </c>
      <c r="G19" s="1" t="s">
        <v>111</v>
      </c>
      <c r="K19" s="1" t="s">
        <v>112</v>
      </c>
    </row>
    <row r="20">
      <c r="A20" s="1" t="s">
        <v>113</v>
      </c>
      <c r="B20" s="1" t="s">
        <v>109</v>
      </c>
      <c r="C20" s="1" t="s">
        <v>22</v>
      </c>
      <c r="D20" s="1" t="s">
        <v>30</v>
      </c>
      <c r="K20" s="1" t="s">
        <v>114</v>
      </c>
    </row>
    <row r="21">
      <c r="A21" s="1" t="s">
        <v>116</v>
      </c>
      <c r="B21" s="1" t="s">
        <v>118</v>
      </c>
      <c r="C21" s="1" t="s">
        <v>22</v>
      </c>
      <c r="D21" s="1" t="s">
        <v>30</v>
      </c>
      <c r="K21" s="1" t="s">
        <v>119</v>
      </c>
    </row>
    <row r="22">
      <c r="A22" s="1" t="s">
        <v>120</v>
      </c>
      <c r="B22" s="1" t="s">
        <v>71</v>
      </c>
      <c r="C22" s="1" t="s">
        <v>22</v>
      </c>
      <c r="D22" s="1" t="s">
        <v>30</v>
      </c>
      <c r="K22" s="1" t="s">
        <v>122</v>
      </c>
    </row>
    <row r="23">
      <c r="A23" s="1" t="s">
        <v>123</v>
      </c>
      <c r="B23" s="1" t="s">
        <v>125</v>
      </c>
      <c r="C23" s="1" t="s">
        <v>22</v>
      </c>
      <c r="D23" s="1" t="s">
        <v>30</v>
      </c>
      <c r="K23" s="1" t="s">
        <v>127</v>
      </c>
    </row>
    <row r="24">
      <c r="A24" s="1" t="s">
        <v>128</v>
      </c>
      <c r="B24" s="1" t="s">
        <v>129</v>
      </c>
      <c r="C24" s="1" t="s">
        <v>22</v>
      </c>
      <c r="D24" s="1" t="s">
        <v>30</v>
      </c>
      <c r="K24" s="1" t="s">
        <v>130</v>
      </c>
    </row>
    <row r="25">
      <c r="A25" s="1" t="s">
        <v>132</v>
      </c>
      <c r="B25" s="1" t="s">
        <v>133</v>
      </c>
      <c r="C25" s="1" t="s">
        <v>22</v>
      </c>
      <c r="D25" s="1" t="s">
        <v>30</v>
      </c>
      <c r="K25" s="1" t="s">
        <v>135</v>
      </c>
    </row>
    <row r="26">
      <c r="A26" s="1" t="s">
        <v>137</v>
      </c>
      <c r="B26" s="1" t="s">
        <v>139</v>
      </c>
      <c r="C26" s="1" t="s">
        <v>22</v>
      </c>
      <c r="D26" s="1" t="s">
        <v>30</v>
      </c>
      <c r="K26" s="1" t="s">
        <v>142</v>
      </c>
    </row>
    <row r="27">
      <c r="A27" s="1" t="s">
        <v>144</v>
      </c>
      <c r="B27" s="1" t="s">
        <v>22</v>
      </c>
      <c r="C27" s="1" t="s">
        <v>145</v>
      </c>
      <c r="D27" s="1" t="s">
        <v>30</v>
      </c>
      <c r="K27" s="1" t="s">
        <v>147</v>
      </c>
    </row>
    <row r="28">
      <c r="A28" s="1" t="s">
        <v>148</v>
      </c>
      <c r="B28" s="1" t="s">
        <v>149</v>
      </c>
      <c r="C28" s="1" t="s">
        <v>102</v>
      </c>
      <c r="D28" s="1" t="s">
        <v>151</v>
      </c>
      <c r="E28" s="1" t="s">
        <v>153</v>
      </c>
      <c r="F28" s="1" t="s">
        <v>102</v>
      </c>
      <c r="G28" s="1" t="s">
        <v>154</v>
      </c>
      <c r="K28" s="1" t="s">
        <v>157</v>
      </c>
    </row>
    <row r="29">
      <c r="A29" s="1" t="s">
        <v>160</v>
      </c>
      <c r="B29" s="1" t="s">
        <v>149</v>
      </c>
      <c r="C29" s="1" t="s">
        <v>162</v>
      </c>
      <c r="D29" s="1" t="s">
        <v>151</v>
      </c>
      <c r="E29" s="1" t="s">
        <v>22</v>
      </c>
      <c r="F29" s="1" t="s">
        <v>162</v>
      </c>
      <c r="G29" s="1" t="s">
        <v>154</v>
      </c>
      <c r="K29" s="1" t="s">
        <v>163</v>
      </c>
    </row>
    <row r="30">
      <c r="A30" s="1" t="s">
        <v>164</v>
      </c>
      <c r="B30" s="1" t="s">
        <v>153</v>
      </c>
      <c r="C30" s="1" t="s">
        <v>102</v>
      </c>
      <c r="D30" s="1" t="s">
        <v>30</v>
      </c>
      <c r="K30" s="1" t="s">
        <v>167</v>
      </c>
    </row>
    <row r="31">
      <c r="A31" s="1" t="s">
        <v>169</v>
      </c>
      <c r="B31" s="1" t="s">
        <v>22</v>
      </c>
      <c r="C31" s="1" t="s">
        <v>153</v>
      </c>
      <c r="D31" s="1" t="s">
        <v>30</v>
      </c>
      <c r="K31" s="1" t="s">
        <v>172</v>
      </c>
    </row>
    <row r="32">
      <c r="A32" s="1" t="s">
        <v>174</v>
      </c>
      <c r="B32" s="1" t="s">
        <v>22</v>
      </c>
      <c r="C32" s="1" t="s">
        <v>149</v>
      </c>
      <c r="D32" s="1" t="s">
        <v>30</v>
      </c>
      <c r="K32" s="1" t="s">
        <v>176</v>
      </c>
    </row>
    <row r="33">
      <c r="A33" s="1" t="s">
        <v>177</v>
      </c>
      <c r="B33" s="1" t="s">
        <v>22</v>
      </c>
      <c r="C33" s="1" t="s">
        <v>102</v>
      </c>
      <c r="D33" s="1" t="s">
        <v>30</v>
      </c>
      <c r="K33" s="1" t="s">
        <v>179</v>
      </c>
    </row>
    <row r="34">
      <c r="A34" s="1" t="s">
        <v>181</v>
      </c>
      <c r="B34" s="1" t="s">
        <v>22</v>
      </c>
      <c r="C34" s="1" t="s">
        <v>162</v>
      </c>
      <c r="D34" s="1" t="s">
        <v>30</v>
      </c>
      <c r="K34" s="1" t="s">
        <v>185</v>
      </c>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6.75"/>
    <col customWidth="1" min="3" max="3" width="72.63"/>
    <col customWidth="1" min="4" max="4" width="8.63"/>
    <col customWidth="1" min="5" max="5" width="25.38"/>
    <col customWidth="1" min="6" max="6" width="5.63"/>
    <col customWidth="1" min="7" max="7" width="5.88"/>
    <col customWidth="1" min="8" max="8" width="4.25"/>
    <col customWidth="1" min="9" max="9" width="5.63"/>
    <col customWidth="1" min="10" max="10" width="9.25"/>
    <col customWidth="1" min="11" max="11" width="9.63"/>
    <col customWidth="1" min="12" max="12" width="4.75"/>
    <col customWidth="1" min="13" max="13" width="5.63"/>
    <col customWidth="1" min="14" max="14" width="9.88"/>
    <col customWidth="1" min="15" max="15" width="9.5"/>
    <col customWidth="1" min="16" max="16" width="7.88"/>
    <col customWidth="1" min="17" max="17" width="7.13"/>
    <col customWidth="1" min="18" max="18" width="26.88"/>
    <col customWidth="1" min="19" max="19" width="20.75"/>
    <col customWidth="1" min="20" max="20" width="15.5"/>
    <col customWidth="1" min="21" max="21" width="21.38"/>
    <col customWidth="1" min="22" max="22" width="17.0"/>
    <col customWidth="1" min="23" max="23" width="7.88"/>
    <col customWidth="1" min="24" max="26" width="8.63"/>
    <col customWidth="1" min="27" max="28" width="59.63"/>
  </cols>
  <sheetData>
    <row r="1">
      <c r="A1" s="1" t="s">
        <v>2</v>
      </c>
      <c r="B1" s="1" t="s">
        <v>11</v>
      </c>
      <c r="C1" s="1" t="s">
        <v>642</v>
      </c>
      <c r="D1" s="1" t="s">
        <v>643</v>
      </c>
      <c r="E1" s="1" t="s">
        <v>644</v>
      </c>
      <c r="F1" s="1" t="s">
        <v>30</v>
      </c>
      <c r="G1" s="1" t="s">
        <v>74</v>
      </c>
      <c r="H1" s="1" t="s">
        <v>72</v>
      </c>
      <c r="I1" s="1" t="s">
        <v>70</v>
      </c>
      <c r="J1" s="1" t="s">
        <v>111</v>
      </c>
      <c r="K1" s="1" t="s">
        <v>108</v>
      </c>
      <c r="L1" s="1" t="s">
        <v>151</v>
      </c>
      <c r="M1" s="1" t="s">
        <v>154</v>
      </c>
      <c r="N1" s="1" t="s">
        <v>24</v>
      </c>
      <c r="O1" s="1" t="s">
        <v>26</v>
      </c>
      <c r="P1" s="1" t="s">
        <v>37</v>
      </c>
      <c r="Q1" s="1" t="s">
        <v>39</v>
      </c>
      <c r="R1" s="1" t="s">
        <v>1</v>
      </c>
      <c r="S1" s="1" t="s">
        <v>5</v>
      </c>
      <c r="T1" s="1" t="s">
        <v>10</v>
      </c>
      <c r="U1" s="1" t="s">
        <v>3</v>
      </c>
      <c r="V1" s="1" t="s">
        <v>6</v>
      </c>
      <c r="W1" s="1" t="s">
        <v>12</v>
      </c>
      <c r="X1" s="1" t="s">
        <v>4</v>
      </c>
      <c r="Y1" s="1" t="s">
        <v>8</v>
      </c>
      <c r="Z1" s="1" t="s">
        <v>15</v>
      </c>
      <c r="AA1" s="1" t="s">
        <v>17</v>
      </c>
      <c r="AB1" s="1" t="s">
        <v>645</v>
      </c>
    </row>
    <row r="2">
      <c r="A2" s="60" t="str">
        <f>Raw_Data!A2</f>
        <v>VVV-2024-001</v>
      </c>
      <c r="B2" s="60">
        <f>Raw_Data!D2</f>
        <v>50000</v>
      </c>
      <c r="C2" s="60" t="str">
        <f>LOWER(Raw_Data!C2&amp;" | "&amp;Raw_Data!F2)</f>
        <v>initial owner capital contribution | owner funds received in business bank account</v>
      </c>
      <c r="D2" s="60">
        <f t="array" ref="D2">MATCH(1,ISNUMBER(SEARCH(Rules!$A$2:$A$60,C2))*(Rules!$A$2:$A$60&lt;&gt;""),0)</f>
        <v>13</v>
      </c>
      <c r="E2" s="60" t="str">
        <f t="array" ref="E2">INDEX(Rules!$A$2:$A$60,D2)</f>
        <v>capital contribution</v>
      </c>
      <c r="F2" s="60">
        <f t="shared" ref="F2:F121" si="1">B2</f>
        <v>50000</v>
      </c>
      <c r="G2" s="60">
        <f>IFERROR(__xludf.DUMMYFUNCTION("IFERROR(VALUE(SUBSTITUTE(REGEXEXTRACT(Raw_Data!J2,""Cost of goods sold: \$([\d,]+)""),"","","""")),0)"),0.0)</f>
        <v>0</v>
      </c>
      <c r="H2" s="60">
        <f>IFERROR(__xludf.DUMMYFUNCTION("IFERROR(VALUE(SUBSTITUTE(REGEXEXTRACT(Raw_Data!J2,""withheld a \$([\d,]+) fee""),"","","""")),0)"),0.0)</f>
        <v>0</v>
      </c>
      <c r="I2" s="60">
        <f t="shared" ref="I2:I121" si="2">F2-H2</f>
        <v>50000</v>
      </c>
      <c r="J2" s="60">
        <f>IFERROR(__xludf.DUMMYFUNCTION("IFERROR(VALUE(SUBSTITUTE(REGEXEXTRACT(Raw_Data!J2,""(?i)interest \$([\d,]+)""),"","","""")),0)"),0.0)</f>
        <v>0</v>
      </c>
      <c r="K2" s="60">
        <f t="shared" ref="K2:K121" si="3">F2-J2</f>
        <v>50000</v>
      </c>
      <c r="L2" s="60">
        <f>IFERROR(__xludf.DUMMYFUNCTION("IFERROR(VALUE(SUBSTITUTE(REGEXEXTRACT(Raw_Data!F2,""\$([\d,]+) prior deposit applied""),"","","""")),0)"),0.0)</f>
        <v>0</v>
      </c>
      <c r="M2" s="60">
        <f t="shared" ref="M2:M121" si="4">F2-L2</f>
        <v>50000</v>
      </c>
      <c r="N2" s="60">
        <f>IFERROR(__xludf.DUMMYFUNCTION("IFERROR(VALUE(SUBSTITUTE(REGEXEXTRACT(Raw_Data!F2,""^\$([\d,]+) cash""),"","","""")),0)"),0.0)</f>
        <v>0</v>
      </c>
      <c r="O2" s="60">
        <f t="shared" ref="O2:O121" si="5">F2-N2</f>
        <v>50000</v>
      </c>
      <c r="P2" s="60">
        <f>IFERROR(__xludf.DUMMYFUNCTION("IFERROR(VALUE(SUBSTITUTE(REGEXEXTRACT(Raw_Data!J2,""labour \d+ h at \$\d+/h: \$([\d,]+)""),"","","""")),0)"),0.0)</f>
        <v>0</v>
      </c>
      <c r="Q2" s="60">
        <f t="shared" ref="Q2:Q121" si="6">F2-P2</f>
        <v>50000</v>
      </c>
      <c r="R2" s="60" t="str">
        <f t="array" ref="R2">IF(INDEX(Rules!$B$2:$B$60,$D2)="","",INDEX(Rules!$B$2:$B$60,$D2))</f>
        <v>Cash</v>
      </c>
      <c r="S2" s="60" t="str">
        <f t="array" ref="S2">IF(INDEX(Rules!$E$2:$E$60,$D2)="","",INDEX(Rules!$E$2:$E$60,$D2))</f>
        <v/>
      </c>
      <c r="T2" s="60" t="str">
        <f t="array" ref="T2">IF(INDEX(Rules!$H$2:$H$60,$D2)="","",INDEX(Rules!$H$2:$H$60,$D2))</f>
        <v/>
      </c>
      <c r="U2" s="60" t="str">
        <f t="array" ref="U2">IF(INDEX(Rules!$C$2:$C$60,$D2)="","",INDEX(Rules!$C$2:$C$60,$D2))</f>
        <v>Owner's Capital</v>
      </c>
      <c r="V2" s="60" t="str">
        <f t="array" ref="V2">IF(INDEX(Rules!$F$2:$F$60,$D2)="","",INDEX(Rules!$F$2:$F$60,$D2))</f>
        <v/>
      </c>
      <c r="W2" s="60" t="str">
        <f t="array" ref="W2">IF(INDEX(Rules!$I$2:$I$60,$D2)="","",INDEX(Rules!$I$2:$I$60,$D2))</f>
        <v/>
      </c>
      <c r="X2" s="60">
        <f t="array" ref="X2">IF(R2="","",INDEX($F2:$Q2,MATCH(INDEX(Rules!$D$2:$D$60,$D2),$F$1:$Q$1,0)))</f>
        <v>50000</v>
      </c>
      <c r="Y2" s="60" t="str">
        <f t="array" ref="Y2">IF(S2="","",INDEX($F2:$Q2,MATCH(INDEX(Rules!$G$2:$G$60,$D2),$F$1:$Q$1,0)))</f>
        <v/>
      </c>
      <c r="Z2" s="60" t="str">
        <f t="array" ref="Z2">IF(T2="","",INDEX($F2:$Q2,MATCH(INDEX(Rules!$J$2:$J$60,$D2),$F$1:$Q$1,0)))</f>
        <v/>
      </c>
      <c r="AA2" s="60" t="str">
        <f t="array" ref="AA2">IF(INDEX(Rules!$K$2:$K$60,$D2)="","",INDEX(Rules!$K$2:$K$60,$D2))</f>
        <v>owner puts money in</v>
      </c>
      <c r="AB2" s="60" t="str">
        <f>IF(SUMPRODUCT((R2:W2&lt;&gt;"")*(ISNUMBER(SEARCH(Raw_Data!E2,R2:W2))+ISNUMBER(SEARCH(R2:W2,Raw_Data!E2))))&gt;0,"OK","CHECK")</f>
        <v>OK</v>
      </c>
    </row>
    <row r="3">
      <c r="A3" s="60" t="str">
        <f>Raw_Data!A3</f>
        <v>VVV-2024-002</v>
      </c>
      <c r="B3" s="60">
        <f>Raw_Data!D3</f>
        <v>5400</v>
      </c>
      <c r="C3" s="60" t="str">
        <f>LOWER(Raw_Data!C3&amp;" | "&amp;Raw_Data!F3)</f>
        <v>monthly facility rent | automatic bank transfer; settled</v>
      </c>
      <c r="D3" s="60">
        <f t="array" ref="D3">MATCH(1,ISNUMBER(SEARCH(Rules!$A$2:$A$60,C3))*(Rules!$A$2:$A$60&lt;&gt;""),0)</f>
        <v>15</v>
      </c>
      <c r="E3" s="60" t="str">
        <f t="array" ref="E3">INDEX(Rules!$A$2:$A$60,D3)</f>
        <v>facility rent</v>
      </c>
      <c r="F3" s="60">
        <f t="shared" si="1"/>
        <v>5400</v>
      </c>
      <c r="G3" s="60">
        <f>IFERROR(__xludf.DUMMYFUNCTION("IFERROR(VALUE(SUBSTITUTE(REGEXEXTRACT(Raw_Data!J3,""Cost of goods sold: \$([\d,]+)""),"","","""")),0)"),0.0)</f>
        <v>0</v>
      </c>
      <c r="H3" s="60">
        <f>IFERROR(__xludf.DUMMYFUNCTION("IFERROR(VALUE(SUBSTITUTE(REGEXEXTRACT(Raw_Data!J3,""withheld a \$([\d,]+) fee""),"","","""")),0)"),0.0)</f>
        <v>0</v>
      </c>
      <c r="I3" s="60">
        <f t="shared" si="2"/>
        <v>5400</v>
      </c>
      <c r="J3" s="60">
        <f>IFERROR(__xludf.DUMMYFUNCTION("IFERROR(VALUE(SUBSTITUTE(REGEXEXTRACT(Raw_Data!J3,""(?i)interest \$([\d,]+)""),"","","""")),0)"),0.0)</f>
        <v>0</v>
      </c>
      <c r="K3" s="60">
        <f t="shared" si="3"/>
        <v>5400</v>
      </c>
      <c r="L3" s="60">
        <f>IFERROR(__xludf.DUMMYFUNCTION("IFERROR(VALUE(SUBSTITUTE(REGEXEXTRACT(Raw_Data!F3,""\$([\d,]+) prior deposit applied""),"","","""")),0)"),0.0)</f>
        <v>0</v>
      </c>
      <c r="M3" s="60">
        <f t="shared" si="4"/>
        <v>5400</v>
      </c>
      <c r="N3" s="60">
        <f>IFERROR(__xludf.DUMMYFUNCTION("IFERROR(VALUE(SUBSTITUTE(REGEXEXTRACT(Raw_Data!F3,""^\$([\d,]+) cash""),"","","""")),0)"),0.0)</f>
        <v>0</v>
      </c>
      <c r="O3" s="60">
        <f t="shared" si="5"/>
        <v>5400</v>
      </c>
      <c r="P3" s="60">
        <f>IFERROR(__xludf.DUMMYFUNCTION("IFERROR(VALUE(SUBSTITUTE(REGEXEXTRACT(Raw_Data!J3,""labour \d+ h at \$\d+/h: \$([\d,]+)""),"","","""")),0)"),0.0)</f>
        <v>0</v>
      </c>
      <c r="Q3" s="60">
        <f t="shared" si="6"/>
        <v>5400</v>
      </c>
      <c r="R3" s="60" t="str">
        <f t="array" ref="R3">IF(INDEX(Rules!$B$2:$B$60,$D3)="","",INDEX(Rules!$B$2:$B$60,$D3))</f>
        <v>Rent Expense</v>
      </c>
      <c r="S3" s="60" t="str">
        <f t="array" ref="S3">IF(INDEX(Rules!$E$2:$E$60,$D3)="","",INDEX(Rules!$E$2:$E$60,$D3))</f>
        <v/>
      </c>
      <c r="T3" s="60" t="str">
        <f t="array" ref="T3">IF(INDEX(Rules!$H$2:$H$60,$D3)="","",INDEX(Rules!$H$2:$H$60,$D3))</f>
        <v/>
      </c>
      <c r="U3" s="60" t="str">
        <f t="array" ref="U3">IF(INDEX(Rules!$C$2:$C$60,$D3)="","",INDEX(Rules!$C$2:$C$60,$D3))</f>
        <v>Cash</v>
      </c>
      <c r="V3" s="60" t="str">
        <f t="array" ref="V3">IF(INDEX(Rules!$F$2:$F$60,$D3)="","",INDEX(Rules!$F$2:$F$60,$D3))</f>
        <v/>
      </c>
      <c r="W3" s="60" t="str">
        <f t="array" ref="W3">IF(INDEX(Rules!$I$2:$I$60,$D3)="","",INDEX(Rules!$I$2:$I$60,$D3))</f>
        <v/>
      </c>
      <c r="X3" s="60">
        <f t="array" ref="X3">IF(R3="","",INDEX($F3:$Q3,MATCH(INDEX(Rules!$D$2:$D$60,$D3),$F$1:$Q$1,0)))</f>
        <v>5400</v>
      </c>
      <c r="Y3" s="60" t="str">
        <f t="array" ref="Y3">IF(S3="","",INDEX($F3:$Q3,MATCH(INDEX(Rules!$G$2:$G$60,$D3),$F$1:$Q$1,0)))</f>
        <v/>
      </c>
      <c r="Z3" s="60" t="str">
        <f t="array" ref="Z3">IF(T3="","",INDEX($F3:$Q3,MATCH(INDEX(Rules!$J$2:$J$60,$D3),$F$1:$Q$1,0)))</f>
        <v/>
      </c>
      <c r="AA3" s="60" t="str">
        <f t="array" ref="AA3">IF(INDEX(Rules!$K$2:$K$60,$D3)="","",INDEX(Rules!$K$2:$K$60,$D3))</f>
        <v>monthly rent</v>
      </c>
      <c r="AB3" s="60" t="str">
        <f>IF(SUMPRODUCT((R3:W3&lt;&gt;"")*(ISNUMBER(SEARCH(Raw_Data!E3,R3:W3))+ISNUMBER(SEARCH(R3:W3,Raw_Data!E3))))&gt;0,"OK","CHECK")</f>
        <v>OK</v>
      </c>
    </row>
    <row r="4">
      <c r="A4" s="60" t="str">
        <f>Raw_Data!A4</f>
        <v>VVV-2024-003</v>
      </c>
      <c r="B4" s="60">
        <f>Raw_Data!D4</f>
        <v>1500</v>
      </c>
      <c r="C4" s="60" t="str">
        <f>LOWER(Raw_Data!C4&amp;" | "&amp;Raw_Data!F4)</f>
        <v>annual business license and operating permits | business debit card; settled</v>
      </c>
      <c r="D4" s="60">
        <f t="array" ref="D4">MATCH(1,ISNUMBER(SEARCH(Rules!$A$2:$A$60,C4))*(Rules!$A$2:$A$60&lt;&gt;""),0)</f>
        <v>16</v>
      </c>
      <c r="E4" s="60" t="str">
        <f t="array" ref="E4">INDEX(Rules!$A$2:$A$60,D4)</f>
        <v>license</v>
      </c>
      <c r="F4" s="60">
        <f t="shared" si="1"/>
        <v>1500</v>
      </c>
      <c r="G4" s="60">
        <f>IFERROR(__xludf.DUMMYFUNCTION("IFERROR(VALUE(SUBSTITUTE(REGEXEXTRACT(Raw_Data!J4,""Cost of goods sold: \$([\d,]+)""),"","","""")),0)"),0.0)</f>
        <v>0</v>
      </c>
      <c r="H4" s="60">
        <f>IFERROR(__xludf.DUMMYFUNCTION("IFERROR(VALUE(SUBSTITUTE(REGEXEXTRACT(Raw_Data!J4,""withheld a \$([\d,]+) fee""),"","","""")),0)"),0.0)</f>
        <v>0</v>
      </c>
      <c r="I4" s="60">
        <f t="shared" si="2"/>
        <v>1500</v>
      </c>
      <c r="J4" s="60">
        <f>IFERROR(__xludf.DUMMYFUNCTION("IFERROR(VALUE(SUBSTITUTE(REGEXEXTRACT(Raw_Data!J4,""(?i)interest \$([\d,]+)""),"","","""")),0)"),0.0)</f>
        <v>0</v>
      </c>
      <c r="K4" s="60">
        <f t="shared" si="3"/>
        <v>1500</v>
      </c>
      <c r="L4" s="60">
        <f>IFERROR(__xludf.DUMMYFUNCTION("IFERROR(VALUE(SUBSTITUTE(REGEXEXTRACT(Raw_Data!F4,""\$([\d,]+) prior deposit applied""),"","","""")),0)"),0.0)</f>
        <v>0</v>
      </c>
      <c r="M4" s="60">
        <f t="shared" si="4"/>
        <v>1500</v>
      </c>
      <c r="N4" s="60">
        <f>IFERROR(__xludf.DUMMYFUNCTION("IFERROR(VALUE(SUBSTITUTE(REGEXEXTRACT(Raw_Data!F4,""^\$([\d,]+) cash""),"","","""")),0)"),0.0)</f>
        <v>0</v>
      </c>
      <c r="O4" s="60">
        <f t="shared" si="5"/>
        <v>1500</v>
      </c>
      <c r="P4" s="60">
        <f>IFERROR(__xludf.DUMMYFUNCTION("IFERROR(VALUE(SUBSTITUTE(REGEXEXTRACT(Raw_Data!J4,""labour \d+ h at \$\d+/h: \$([\d,]+)""),"","","""")),0)"),0.0)</f>
        <v>0</v>
      </c>
      <c r="Q4" s="60">
        <f t="shared" si="6"/>
        <v>1500</v>
      </c>
      <c r="R4" s="60" t="str">
        <f t="array" ref="R4">IF(INDEX(Rules!$B$2:$B$60,$D4)="","",INDEX(Rules!$B$2:$B$60,$D4))</f>
        <v>License and Permit Expense</v>
      </c>
      <c r="S4" s="60" t="str">
        <f t="array" ref="S4">IF(INDEX(Rules!$E$2:$E$60,$D4)="","",INDEX(Rules!$E$2:$E$60,$D4))</f>
        <v/>
      </c>
      <c r="T4" s="60" t="str">
        <f t="array" ref="T4">IF(INDEX(Rules!$H$2:$H$60,$D4)="","",INDEX(Rules!$H$2:$H$60,$D4))</f>
        <v/>
      </c>
      <c r="U4" s="60" t="str">
        <f t="array" ref="U4">IF(INDEX(Rules!$C$2:$C$60,$D4)="","",INDEX(Rules!$C$2:$C$60,$D4))</f>
        <v>Cash</v>
      </c>
      <c r="V4" s="60" t="str">
        <f t="array" ref="V4">IF(INDEX(Rules!$F$2:$F$60,$D4)="","",INDEX(Rules!$F$2:$F$60,$D4))</f>
        <v/>
      </c>
      <c r="W4" s="60" t="str">
        <f t="array" ref="W4">IF(INDEX(Rules!$I$2:$I$60,$D4)="","",INDEX(Rules!$I$2:$I$60,$D4))</f>
        <v/>
      </c>
      <c r="X4" s="60">
        <f t="array" ref="X4">IF(R4="","",INDEX($F4:$Q4,MATCH(INDEX(Rules!$D$2:$D$60,$D4),$F$1:$Q$1,0)))</f>
        <v>1500</v>
      </c>
      <c r="Y4" s="60" t="str">
        <f t="array" ref="Y4">IF(S4="","",INDEX($F4:$Q4,MATCH(INDEX(Rules!$G$2:$G$60,$D4),$F$1:$Q$1,0)))</f>
        <v/>
      </c>
      <c r="Z4" s="60" t="str">
        <f t="array" ref="Z4">IF(T4="","",INDEX($F4:$Q4,MATCH(INDEX(Rules!$J$2:$J$60,$D4),$F$1:$Q$1,0)))</f>
        <v/>
      </c>
      <c r="AA4" s="60" t="str">
        <f t="array" ref="AA4">IF(INDEX(Rules!$K$2:$K$60,$D4)="","",INDEX(Rules!$K$2:$K$60,$D4))</f>
        <v>covers just 2024 so straight to expense</v>
      </c>
      <c r="AB4" s="60" t="str">
        <f>IF(SUMPRODUCT((R4:W4&lt;&gt;"")*(ISNUMBER(SEARCH(Raw_Data!E4,R4:W4))+ISNUMBER(SEARCH(R4:W4,Raw_Data!E4))))&gt;0,"OK","CHECK")</f>
        <v>OK</v>
      </c>
    </row>
    <row r="5">
      <c r="A5" s="60" t="str">
        <f>Raw_Data!A5</f>
        <v>VVV-2024-004</v>
      </c>
      <c r="B5" s="60">
        <f>Raw_Data!D5</f>
        <v>6000</v>
      </c>
      <c r="C5" s="60" t="str">
        <f>LOWER(Raw_Data!C5&amp;" | "&amp;Raw_Data!F5)</f>
        <v>refundable facility security deposit | bank transfer; refundable at lease end</v>
      </c>
      <c r="D5" s="60">
        <f t="array" ref="D5">MATCH(1,ISNUMBER(SEARCH(Rules!$A$2:$A$60,C5))*(Rules!$A$2:$A$60&lt;&gt;""),0)</f>
        <v>14</v>
      </c>
      <c r="E5" s="60" t="str">
        <f t="array" ref="E5">INDEX(Rules!$A$2:$A$60,D5)</f>
        <v>security deposit</v>
      </c>
      <c r="F5" s="60">
        <f t="shared" si="1"/>
        <v>6000</v>
      </c>
      <c r="G5" s="60">
        <f>IFERROR(__xludf.DUMMYFUNCTION("IFERROR(VALUE(SUBSTITUTE(REGEXEXTRACT(Raw_Data!J5,""Cost of goods sold: \$([\d,]+)""),"","","""")),0)"),0.0)</f>
        <v>0</v>
      </c>
      <c r="H5" s="60">
        <f>IFERROR(__xludf.DUMMYFUNCTION("IFERROR(VALUE(SUBSTITUTE(REGEXEXTRACT(Raw_Data!J5,""withheld a \$([\d,]+) fee""),"","","""")),0)"),0.0)</f>
        <v>0</v>
      </c>
      <c r="I5" s="60">
        <f t="shared" si="2"/>
        <v>6000</v>
      </c>
      <c r="J5" s="60">
        <f>IFERROR(__xludf.DUMMYFUNCTION("IFERROR(VALUE(SUBSTITUTE(REGEXEXTRACT(Raw_Data!J5,""(?i)interest \$([\d,]+)""),"","","""")),0)"),0.0)</f>
        <v>0</v>
      </c>
      <c r="K5" s="60">
        <f t="shared" si="3"/>
        <v>6000</v>
      </c>
      <c r="L5" s="60">
        <f>IFERROR(__xludf.DUMMYFUNCTION("IFERROR(VALUE(SUBSTITUTE(REGEXEXTRACT(Raw_Data!F5,""\$([\d,]+) prior deposit applied""),"","","""")),0)"),0.0)</f>
        <v>0</v>
      </c>
      <c r="M5" s="60">
        <f t="shared" si="4"/>
        <v>6000</v>
      </c>
      <c r="N5" s="60">
        <f>IFERROR(__xludf.DUMMYFUNCTION("IFERROR(VALUE(SUBSTITUTE(REGEXEXTRACT(Raw_Data!F5,""^\$([\d,]+) cash""),"","","""")),0)"),0.0)</f>
        <v>0</v>
      </c>
      <c r="O5" s="60">
        <f t="shared" si="5"/>
        <v>6000</v>
      </c>
      <c r="P5" s="60">
        <f>IFERROR(__xludf.DUMMYFUNCTION("IFERROR(VALUE(SUBSTITUTE(REGEXEXTRACT(Raw_Data!J5,""labour \d+ h at \$\d+/h: \$([\d,]+)""),"","","""")),0)"),0.0)</f>
        <v>0</v>
      </c>
      <c r="Q5" s="60">
        <f t="shared" si="6"/>
        <v>6000</v>
      </c>
      <c r="R5" s="60" t="str">
        <f t="array" ref="R5">IF(INDEX(Rules!$B$2:$B$60,$D5)="","",INDEX(Rules!$B$2:$B$60,$D5))</f>
        <v>Security Deposit</v>
      </c>
      <c r="S5" s="60" t="str">
        <f t="array" ref="S5">IF(INDEX(Rules!$E$2:$E$60,$D5)="","",INDEX(Rules!$E$2:$E$60,$D5))</f>
        <v/>
      </c>
      <c r="T5" s="60" t="str">
        <f t="array" ref="T5">IF(INDEX(Rules!$H$2:$H$60,$D5)="","",INDEX(Rules!$H$2:$H$60,$D5))</f>
        <v/>
      </c>
      <c r="U5" s="60" t="str">
        <f t="array" ref="U5">IF(INDEX(Rules!$C$2:$C$60,$D5)="","",INDEX(Rules!$C$2:$C$60,$D5))</f>
        <v>Cash</v>
      </c>
      <c r="V5" s="60" t="str">
        <f t="array" ref="V5">IF(INDEX(Rules!$F$2:$F$60,$D5)="","",INDEX(Rules!$F$2:$F$60,$D5))</f>
        <v/>
      </c>
      <c r="W5" s="60" t="str">
        <f t="array" ref="W5">IF(INDEX(Rules!$I$2:$I$60,$D5)="","",INDEX(Rules!$I$2:$I$60,$D5))</f>
        <v/>
      </c>
      <c r="X5" s="60">
        <f t="array" ref="X5">IF(R5="","",INDEX($F5:$Q5,MATCH(INDEX(Rules!$D$2:$D$60,$D5),$F$1:$Q$1,0)))</f>
        <v>6000</v>
      </c>
      <c r="Y5" s="60" t="str">
        <f t="array" ref="Y5">IF(S5="","",INDEX($F5:$Q5,MATCH(INDEX(Rules!$G$2:$G$60,$D5),$F$1:$Q$1,0)))</f>
        <v/>
      </c>
      <c r="Z5" s="60" t="str">
        <f t="array" ref="Z5">IF(T5="","",INDEX($F5:$Q5,MATCH(INDEX(Rules!$J$2:$J$60,$D5),$F$1:$Q$1,0)))</f>
        <v/>
      </c>
      <c r="AA5" s="60" t="str">
        <f t="array" ref="AA5">IF(INDEX(Rules!$K$2:$K$60,$D5)="","",INDEX(Rules!$K$2:$K$60,$D5))</f>
        <v>refundable so it's an asset, not rent</v>
      </c>
      <c r="AB5" s="60" t="str">
        <f>IF(SUMPRODUCT((R5:W5&lt;&gt;"")*(ISNUMBER(SEARCH(Raw_Data!E5,R5:W5))+ISNUMBER(SEARCH(R5:W5,Raw_Data!E5))))&gt;0,"OK","CHECK")</f>
        <v>CHECK</v>
      </c>
    </row>
    <row r="6">
      <c r="A6" s="60" t="str">
        <f>Raw_Data!A6</f>
        <v>VVV-2024-005</v>
      </c>
      <c r="B6" s="60">
        <f>Raw_Data!D6</f>
        <v>50000</v>
      </c>
      <c r="C6" s="60" t="str">
        <f>LOWER(Raw_Data!C6&amp;" | "&amp;Raw_Data!F6)</f>
        <v>bank loan proceeds received | five-year note; cash received</v>
      </c>
      <c r="D6" s="60">
        <f t="array" ref="D6">MATCH(1,ISNUMBER(SEARCH(Rules!$A$2:$A$60,C6))*(Rules!$A$2:$A$60&lt;&gt;""),0)</f>
        <v>17</v>
      </c>
      <c r="E6" s="60" t="str">
        <f t="array" ref="E6">INDEX(Rules!$A$2:$A$60,D6)</f>
        <v>loan proceeds</v>
      </c>
      <c r="F6" s="60">
        <f t="shared" si="1"/>
        <v>50000</v>
      </c>
      <c r="G6" s="60">
        <f>IFERROR(__xludf.DUMMYFUNCTION("IFERROR(VALUE(SUBSTITUTE(REGEXEXTRACT(Raw_Data!J6,""Cost of goods sold: \$([\d,]+)""),"","","""")),0)"),0.0)</f>
        <v>0</v>
      </c>
      <c r="H6" s="60">
        <f>IFERROR(__xludf.DUMMYFUNCTION("IFERROR(VALUE(SUBSTITUTE(REGEXEXTRACT(Raw_Data!J6,""withheld a \$([\d,]+) fee""),"","","""")),0)"),0.0)</f>
        <v>0</v>
      </c>
      <c r="I6" s="60">
        <f t="shared" si="2"/>
        <v>50000</v>
      </c>
      <c r="J6" s="60">
        <f>IFERROR(__xludf.DUMMYFUNCTION("IFERROR(VALUE(SUBSTITUTE(REGEXEXTRACT(Raw_Data!J6,""(?i)interest \$([\d,]+)""),"","","""")),0)"),0.0)</f>
        <v>0</v>
      </c>
      <c r="K6" s="60">
        <f t="shared" si="3"/>
        <v>50000</v>
      </c>
      <c r="L6" s="60">
        <f>IFERROR(__xludf.DUMMYFUNCTION("IFERROR(VALUE(SUBSTITUTE(REGEXEXTRACT(Raw_Data!F6,""\$([\d,]+) prior deposit applied""),"","","""")),0)"),0.0)</f>
        <v>0</v>
      </c>
      <c r="M6" s="60">
        <f t="shared" si="4"/>
        <v>50000</v>
      </c>
      <c r="N6" s="60">
        <f>IFERROR(__xludf.DUMMYFUNCTION("IFERROR(VALUE(SUBSTITUTE(REGEXEXTRACT(Raw_Data!F6,""^\$([\d,]+) cash""),"","","""")),0)"),0.0)</f>
        <v>0</v>
      </c>
      <c r="O6" s="60">
        <f t="shared" si="5"/>
        <v>50000</v>
      </c>
      <c r="P6" s="60">
        <f>IFERROR(__xludf.DUMMYFUNCTION("IFERROR(VALUE(SUBSTITUTE(REGEXEXTRACT(Raw_Data!J6,""labour \d+ h at \$\d+/h: \$([\d,]+)""),"","","""")),0)"),0.0)</f>
        <v>0</v>
      </c>
      <c r="Q6" s="60">
        <f t="shared" si="6"/>
        <v>50000</v>
      </c>
      <c r="R6" s="60" t="str">
        <f t="array" ref="R6">IF(INDEX(Rules!$B$2:$B$60,$D6)="","",INDEX(Rules!$B$2:$B$60,$D6))</f>
        <v>Cash</v>
      </c>
      <c r="S6" s="60" t="str">
        <f t="array" ref="S6">IF(INDEX(Rules!$E$2:$E$60,$D6)="","",INDEX(Rules!$E$2:$E$60,$D6))</f>
        <v/>
      </c>
      <c r="T6" s="60" t="str">
        <f t="array" ref="T6">IF(INDEX(Rules!$H$2:$H$60,$D6)="","",INDEX(Rules!$H$2:$H$60,$D6))</f>
        <v/>
      </c>
      <c r="U6" s="60" t="str">
        <f t="array" ref="U6">IF(INDEX(Rules!$C$2:$C$60,$D6)="","",INDEX(Rules!$C$2:$C$60,$D6))</f>
        <v>Notes Payable</v>
      </c>
      <c r="V6" s="60" t="str">
        <f t="array" ref="V6">IF(INDEX(Rules!$F$2:$F$60,$D6)="","",INDEX(Rules!$F$2:$F$60,$D6))</f>
        <v/>
      </c>
      <c r="W6" s="60" t="str">
        <f t="array" ref="W6">IF(INDEX(Rules!$I$2:$I$60,$D6)="","",INDEX(Rules!$I$2:$I$60,$D6))</f>
        <v/>
      </c>
      <c r="X6" s="60">
        <f t="array" ref="X6">IF(R6="","",INDEX($F6:$Q6,MATCH(INDEX(Rules!$D$2:$D$60,$D6),$F$1:$Q$1,0)))</f>
        <v>50000</v>
      </c>
      <c r="Y6" s="60" t="str">
        <f t="array" ref="Y6">IF(S6="","",INDEX($F6:$Q6,MATCH(INDEX(Rules!$G$2:$G$60,$D6),$F$1:$Q$1,0)))</f>
        <v/>
      </c>
      <c r="Z6" s="60" t="str">
        <f t="array" ref="Z6">IF(T6="","",INDEX($F6:$Q6,MATCH(INDEX(Rules!$J$2:$J$60,$D6),$F$1:$Q$1,0)))</f>
        <v/>
      </c>
      <c r="AA6" s="60" t="str">
        <f t="array" ref="AA6">IF(INDEX(Rules!$K$2:$K$60,$D6)="","",INDEX(Rules!$K$2:$K$60,$D6))</f>
        <v>loan not revenue, we have to pay it back</v>
      </c>
      <c r="AB6" s="60" t="str">
        <f>IF(SUMPRODUCT((R6:W6&lt;&gt;"")*(ISNUMBER(SEARCH(Raw_Data!E6,R6:W6))+ISNUMBER(SEARCH(R6:W6,Raw_Data!E6))))&gt;0,"OK","CHECK")</f>
        <v>CHECK</v>
      </c>
    </row>
    <row r="7">
      <c r="A7" s="60" t="str">
        <f>Raw_Data!A7</f>
        <v>VVV-2024-006</v>
      </c>
      <c r="B7" s="60">
        <f>Raw_Data!D7</f>
        <v>600</v>
      </c>
      <c r="C7" s="60" t="str">
        <f>LOWER(Raw_Data!C7&amp;" | "&amp;Raw_Data!F7)</f>
        <v>monthly business insurance premium | automatic bank transfer; settled</v>
      </c>
      <c r="D7" s="60">
        <f t="array" ref="D7">MATCH(1,ISNUMBER(SEARCH(Rules!$A$2:$A$60,C7))*(Rules!$A$2:$A$60&lt;&gt;""),0)</f>
        <v>20</v>
      </c>
      <c r="E7" s="60" t="str">
        <f t="array" ref="E7">INDEX(Rules!$A$2:$A$60,D7)</f>
        <v>insurance</v>
      </c>
      <c r="F7" s="60">
        <f t="shared" si="1"/>
        <v>600</v>
      </c>
      <c r="G7" s="60">
        <f>IFERROR(__xludf.DUMMYFUNCTION("IFERROR(VALUE(SUBSTITUTE(REGEXEXTRACT(Raw_Data!J7,""Cost of goods sold: \$([\d,]+)""),"","","""")),0)"),0.0)</f>
        <v>0</v>
      </c>
      <c r="H7" s="60">
        <f>IFERROR(__xludf.DUMMYFUNCTION("IFERROR(VALUE(SUBSTITUTE(REGEXEXTRACT(Raw_Data!J7,""withheld a \$([\d,]+) fee""),"","","""")),0)"),0.0)</f>
        <v>0</v>
      </c>
      <c r="I7" s="60">
        <f t="shared" si="2"/>
        <v>600</v>
      </c>
      <c r="J7" s="60">
        <f>IFERROR(__xludf.DUMMYFUNCTION("IFERROR(VALUE(SUBSTITUTE(REGEXEXTRACT(Raw_Data!J7,""(?i)interest \$([\d,]+)""),"","","""")),0)"),0.0)</f>
        <v>0</v>
      </c>
      <c r="K7" s="60">
        <f t="shared" si="3"/>
        <v>600</v>
      </c>
      <c r="L7" s="60">
        <f>IFERROR(__xludf.DUMMYFUNCTION("IFERROR(VALUE(SUBSTITUTE(REGEXEXTRACT(Raw_Data!F7,""\$([\d,]+) prior deposit applied""),"","","""")),0)"),0.0)</f>
        <v>0</v>
      </c>
      <c r="M7" s="60">
        <f t="shared" si="4"/>
        <v>600</v>
      </c>
      <c r="N7" s="60">
        <f>IFERROR(__xludf.DUMMYFUNCTION("IFERROR(VALUE(SUBSTITUTE(REGEXEXTRACT(Raw_Data!F7,""^\$([\d,]+) cash""),"","","""")),0)"),0.0)</f>
        <v>0</v>
      </c>
      <c r="O7" s="60">
        <f t="shared" si="5"/>
        <v>600</v>
      </c>
      <c r="P7" s="60">
        <f>IFERROR(__xludf.DUMMYFUNCTION("IFERROR(VALUE(SUBSTITUTE(REGEXEXTRACT(Raw_Data!J7,""labour \d+ h at \$\d+/h: \$([\d,]+)""),"","","""")),0)"),0.0)</f>
        <v>0</v>
      </c>
      <c r="Q7" s="60">
        <f t="shared" si="6"/>
        <v>600</v>
      </c>
      <c r="R7" s="60" t="str">
        <f t="array" ref="R7">IF(INDEX(Rules!$B$2:$B$60,$D7)="","",INDEX(Rules!$B$2:$B$60,$D7))</f>
        <v>Insurance Expense</v>
      </c>
      <c r="S7" s="60" t="str">
        <f t="array" ref="S7">IF(INDEX(Rules!$E$2:$E$60,$D7)="","",INDEX(Rules!$E$2:$E$60,$D7))</f>
        <v/>
      </c>
      <c r="T7" s="60" t="str">
        <f t="array" ref="T7">IF(INDEX(Rules!$H$2:$H$60,$D7)="","",INDEX(Rules!$H$2:$H$60,$D7))</f>
        <v/>
      </c>
      <c r="U7" s="60" t="str">
        <f t="array" ref="U7">IF(INDEX(Rules!$C$2:$C$60,$D7)="","",INDEX(Rules!$C$2:$C$60,$D7))</f>
        <v>Cash</v>
      </c>
      <c r="V7" s="60" t="str">
        <f t="array" ref="V7">IF(INDEX(Rules!$F$2:$F$60,$D7)="","",INDEX(Rules!$F$2:$F$60,$D7))</f>
        <v/>
      </c>
      <c r="W7" s="60" t="str">
        <f t="array" ref="W7">IF(INDEX(Rules!$I$2:$I$60,$D7)="","",INDEX(Rules!$I$2:$I$60,$D7))</f>
        <v/>
      </c>
      <c r="X7" s="60">
        <f t="array" ref="X7">IF(R7="","",INDEX($F7:$Q7,MATCH(INDEX(Rules!$D$2:$D$60,$D7),$F$1:$Q$1,0)))</f>
        <v>600</v>
      </c>
      <c r="Y7" s="60" t="str">
        <f t="array" ref="Y7">IF(S7="","",INDEX($F7:$Q7,MATCH(INDEX(Rules!$G$2:$G$60,$D7),$F$1:$Q$1,0)))</f>
        <v/>
      </c>
      <c r="Z7" s="60" t="str">
        <f t="array" ref="Z7">IF(T7="","",INDEX($F7:$Q7,MATCH(INDEX(Rules!$J$2:$J$60,$D7),$F$1:$Q$1,0)))</f>
        <v/>
      </c>
      <c r="AA7" s="60" t="str">
        <f t="array" ref="AA7">IF(INDEX(Rules!$K$2:$K$60,$D7)="","",INDEX(Rules!$K$2:$K$60,$D7))</f>
        <v>monthly insurance</v>
      </c>
      <c r="AB7" s="60" t="str">
        <f>IF(SUMPRODUCT((R7:W7&lt;&gt;"")*(ISNUMBER(SEARCH(Raw_Data!E7,R7:W7))+ISNUMBER(SEARCH(R7:W7,Raw_Data!E7))))&gt;0,"OK","CHECK")</f>
        <v>OK</v>
      </c>
    </row>
    <row r="8">
      <c r="A8" s="60" t="str">
        <f>Raw_Data!A8</f>
        <v>VVV-2024-007</v>
      </c>
      <c r="B8" s="60">
        <f>Raw_Data!D8</f>
        <v>30000</v>
      </c>
      <c r="C8" s="60" t="str">
        <f>LOWER(Raw_Data!C8&amp;" | "&amp;Raw_Data!F8)</f>
        <v>purchased mountain-bike fleet | $10,000 cash; $20,000 financed by seller</v>
      </c>
      <c r="D8" s="60">
        <f t="array" ref="D8">MATCH(1,ISNUMBER(SEARCH(Rules!$A$2:$A$60,C8))*(Rules!$A$2:$A$60&lt;&gt;""),0)</f>
        <v>1</v>
      </c>
      <c r="E8" s="60" t="str">
        <f t="array" ref="E8">INDEX(Rules!$A$2:$A$60,D8)</f>
        <v>financed by seller</v>
      </c>
      <c r="F8" s="60">
        <f t="shared" si="1"/>
        <v>30000</v>
      </c>
      <c r="G8" s="60">
        <f>IFERROR(__xludf.DUMMYFUNCTION("IFERROR(VALUE(SUBSTITUTE(REGEXEXTRACT(Raw_Data!J8,""Cost of goods sold: \$([\d,]+)""),"","","""")),0)"),0.0)</f>
        <v>0</v>
      </c>
      <c r="H8" s="60">
        <f>IFERROR(__xludf.DUMMYFUNCTION("IFERROR(VALUE(SUBSTITUTE(REGEXEXTRACT(Raw_Data!J8,""withheld a \$([\d,]+) fee""),"","","""")),0)"),0.0)</f>
        <v>0</v>
      </c>
      <c r="I8" s="60">
        <f t="shared" si="2"/>
        <v>30000</v>
      </c>
      <c r="J8" s="60">
        <f>IFERROR(__xludf.DUMMYFUNCTION("IFERROR(VALUE(SUBSTITUTE(REGEXEXTRACT(Raw_Data!J8,""(?i)interest \$([\d,]+)""),"","","""")),0)"),0.0)</f>
        <v>0</v>
      </c>
      <c r="K8" s="60">
        <f t="shared" si="3"/>
        <v>30000</v>
      </c>
      <c r="L8" s="60">
        <f>IFERROR(__xludf.DUMMYFUNCTION("IFERROR(VALUE(SUBSTITUTE(REGEXEXTRACT(Raw_Data!F8,""\$([\d,]+) prior deposit applied""),"","","""")),0)"),0.0)</f>
        <v>0</v>
      </c>
      <c r="M8" s="60">
        <f t="shared" si="4"/>
        <v>30000</v>
      </c>
      <c r="N8" s="60">
        <f>IFERROR(__xludf.DUMMYFUNCTION("IFERROR(VALUE(SUBSTITUTE(REGEXEXTRACT(Raw_Data!F8,""^\$([\d,]+) cash""),"","","""")),0)"),10000.0)</f>
        <v>10000</v>
      </c>
      <c r="O8" s="60">
        <f t="shared" si="5"/>
        <v>20000</v>
      </c>
      <c r="P8" s="60">
        <f>IFERROR(__xludf.DUMMYFUNCTION("IFERROR(VALUE(SUBSTITUTE(REGEXEXTRACT(Raw_Data!J8,""labour \d+ h at \$\d+/h: \$([\d,]+)""),"","","""")),0)"),0.0)</f>
        <v>0</v>
      </c>
      <c r="Q8" s="60">
        <f t="shared" si="6"/>
        <v>30000</v>
      </c>
      <c r="R8" s="60" t="str">
        <f t="array" ref="R8">IF(INDEX(Rules!$B$2:$B$60,$D8)="","",INDEX(Rules!$B$2:$B$60,$D8))</f>
        <v>Equipment</v>
      </c>
      <c r="S8" s="60" t="str">
        <f t="array" ref="S8">IF(INDEX(Rules!$E$2:$E$60,$D8)="","",INDEX(Rules!$E$2:$E$60,$D8))</f>
        <v>Equipment</v>
      </c>
      <c r="T8" s="60" t="str">
        <f t="array" ref="T8">IF(INDEX(Rules!$H$2:$H$60,$D8)="","",INDEX(Rules!$H$2:$H$60,$D8))</f>
        <v/>
      </c>
      <c r="U8" s="60" t="str">
        <f t="array" ref="U8">IF(INDEX(Rules!$C$2:$C$60,$D8)="","",INDEX(Rules!$C$2:$C$60,$D8))</f>
        <v>Cash</v>
      </c>
      <c r="V8" s="60" t="str">
        <f t="array" ref="V8">IF(INDEX(Rules!$F$2:$F$60,$D8)="","",INDEX(Rules!$F$2:$F$60,$D8))</f>
        <v>Notes Payable</v>
      </c>
      <c r="W8" s="60" t="str">
        <f t="array" ref="W8">IF(INDEX(Rules!$I$2:$I$60,$D8)="","",INDEX(Rules!$I$2:$I$60,$D8))</f>
        <v/>
      </c>
      <c r="X8" s="60">
        <f t="array" ref="X8">IF(R8="","",INDEX($F8:$Q8,MATCH(INDEX(Rules!$D$2:$D$60,$D8),$F$1:$Q$1,0)))</f>
        <v>10000</v>
      </c>
      <c r="Y8" s="60">
        <f t="array" ref="Y8">IF(S8="","",INDEX($F8:$Q8,MATCH(INDEX(Rules!$G$2:$G$60,$D8),$F$1:$Q$1,0)))</f>
        <v>20000</v>
      </c>
      <c r="Z8" s="60" t="str">
        <f t="array" ref="Z8">IF(T8="","",INDEX($F8:$Q8,MATCH(INDEX(Rules!$J$2:$J$60,$D8),$F$1:$Q$1,0)))</f>
        <v/>
      </c>
      <c r="AA8" s="60" t="str">
        <f t="array" ref="AA8">IF(INDEX(Rules!$K$2:$K$60,$D8)="","",INDEX(Rules!$K$2:$K$60,$D8))</f>
        <v>bikes last years -&gt; equipment. part cash, rest owed to the seller (notes payable)</v>
      </c>
      <c r="AB8" s="60" t="str">
        <f>IF(SUMPRODUCT((R8:W8&lt;&gt;"")*(ISNUMBER(SEARCH(Raw_Data!E8,R8:W8))+ISNUMBER(SEARCH(R8:W8,Raw_Data!E8))))&gt;0,"OK","CHECK")</f>
        <v>CHECK</v>
      </c>
    </row>
    <row r="9">
      <c r="A9" s="60" t="str">
        <f>Raw_Data!A9</f>
        <v>VVV-2024-008</v>
      </c>
      <c r="B9" s="60">
        <f>Raw_Data!D9</f>
        <v>18000</v>
      </c>
      <c r="C9" s="60" t="str">
        <f>LOWER(Raw_Data!C9&amp;" | "&amp;Raw_Data!F9)</f>
        <v>purchased kayak fleet | bank transfer; settled</v>
      </c>
      <c r="D9" s="60">
        <f t="array" ref="D9">MATCH(1,ISNUMBER(SEARCH(Rules!$A$2:$A$60,C9))*(Rules!$A$2:$A$60&lt;&gt;""),0)</f>
        <v>6</v>
      </c>
      <c r="E9" s="60" t="str">
        <f t="array" ref="E9">INDEX(Rules!$A$2:$A$60,D9)</f>
        <v>fleet</v>
      </c>
      <c r="F9" s="60">
        <f t="shared" si="1"/>
        <v>18000</v>
      </c>
      <c r="G9" s="60">
        <f>IFERROR(__xludf.DUMMYFUNCTION("IFERROR(VALUE(SUBSTITUTE(REGEXEXTRACT(Raw_Data!J9,""Cost of goods sold: \$([\d,]+)""),"","","""")),0)"),0.0)</f>
        <v>0</v>
      </c>
      <c r="H9" s="60">
        <f>IFERROR(__xludf.DUMMYFUNCTION("IFERROR(VALUE(SUBSTITUTE(REGEXEXTRACT(Raw_Data!J9,""withheld a \$([\d,]+) fee""),"","","""")),0)"),0.0)</f>
        <v>0</v>
      </c>
      <c r="I9" s="60">
        <f t="shared" si="2"/>
        <v>18000</v>
      </c>
      <c r="J9" s="60">
        <f>IFERROR(__xludf.DUMMYFUNCTION("IFERROR(VALUE(SUBSTITUTE(REGEXEXTRACT(Raw_Data!J9,""(?i)interest \$([\d,]+)""),"","","""")),0)"),0.0)</f>
        <v>0</v>
      </c>
      <c r="K9" s="60">
        <f t="shared" si="3"/>
        <v>18000</v>
      </c>
      <c r="L9" s="60">
        <f>IFERROR(__xludf.DUMMYFUNCTION("IFERROR(VALUE(SUBSTITUTE(REGEXEXTRACT(Raw_Data!F9,""\$([\d,]+) prior deposit applied""),"","","""")),0)"),0.0)</f>
        <v>0</v>
      </c>
      <c r="M9" s="60">
        <f t="shared" si="4"/>
        <v>18000</v>
      </c>
      <c r="N9" s="60">
        <f>IFERROR(__xludf.DUMMYFUNCTION("IFERROR(VALUE(SUBSTITUTE(REGEXEXTRACT(Raw_Data!F9,""^\$([\d,]+) cash""),"","","""")),0)"),0.0)</f>
        <v>0</v>
      </c>
      <c r="O9" s="60">
        <f t="shared" si="5"/>
        <v>18000</v>
      </c>
      <c r="P9" s="60">
        <f>IFERROR(__xludf.DUMMYFUNCTION("IFERROR(VALUE(SUBSTITUTE(REGEXEXTRACT(Raw_Data!J9,""labour \d+ h at \$\d+/h: \$([\d,]+)""),"","","""")),0)"),0.0)</f>
        <v>0</v>
      </c>
      <c r="Q9" s="60">
        <f t="shared" si="6"/>
        <v>18000</v>
      </c>
      <c r="R9" s="60" t="str">
        <f t="array" ref="R9">IF(INDEX(Rules!$B$2:$B$60,$D9)="","",INDEX(Rules!$B$2:$B$60,$D9))</f>
        <v>Equipment</v>
      </c>
      <c r="S9" s="60" t="str">
        <f t="array" ref="S9">IF(INDEX(Rules!$E$2:$E$60,$D9)="","",INDEX(Rules!$E$2:$E$60,$D9))</f>
        <v/>
      </c>
      <c r="T9" s="60" t="str">
        <f t="array" ref="T9">IF(INDEX(Rules!$H$2:$H$60,$D9)="","",INDEX(Rules!$H$2:$H$60,$D9))</f>
        <v/>
      </c>
      <c r="U9" s="60" t="str">
        <f t="array" ref="U9">IF(INDEX(Rules!$C$2:$C$60,$D9)="","",INDEX(Rules!$C$2:$C$60,$D9))</f>
        <v>Cash</v>
      </c>
      <c r="V9" s="60" t="str">
        <f t="array" ref="V9">IF(INDEX(Rules!$F$2:$F$60,$D9)="","",INDEX(Rules!$F$2:$F$60,$D9))</f>
        <v/>
      </c>
      <c r="W9" s="60" t="str">
        <f t="array" ref="W9">IF(INDEX(Rules!$I$2:$I$60,$D9)="","",INDEX(Rules!$I$2:$I$60,$D9))</f>
        <v/>
      </c>
      <c r="X9" s="60">
        <f t="array" ref="X9">IF(R9="","",INDEX($F9:$Q9,MATCH(INDEX(Rules!$D$2:$D$60,$D9),$F$1:$Q$1,0)))</f>
        <v>18000</v>
      </c>
      <c r="Y9" s="60" t="str">
        <f t="array" ref="Y9">IF(S9="","",INDEX($F9:$Q9,MATCH(INDEX(Rules!$G$2:$G$60,$D9),$F$1:$Q$1,0)))</f>
        <v/>
      </c>
      <c r="Z9" s="60" t="str">
        <f t="array" ref="Z9">IF(T9="","",INDEX($F9:$Q9,MATCH(INDEX(Rules!$J$2:$J$60,$D9),$F$1:$Q$1,0)))</f>
        <v/>
      </c>
      <c r="AA9" s="60" t="str">
        <f t="array" ref="AA9">IF(INDEX(Rules!$K$2:$K$60,$D9)="","",INDEX(Rules!$K$2:$K$60,$D9))</f>
        <v>kayaks last years -&gt; equipment</v>
      </c>
      <c r="AB9" s="60" t="str">
        <f>IF(SUMPRODUCT((R9:W9&lt;&gt;"")*(ISNUMBER(SEARCH(Raw_Data!E9,R9:W9))+ISNUMBER(SEARCH(R9:W9,Raw_Data!E9))))&gt;0,"OK","CHECK")</f>
        <v>OK</v>
      </c>
    </row>
    <row r="10">
      <c r="A10" s="60" t="str">
        <f>Raw_Data!A10</f>
        <v>VVV-2024-009</v>
      </c>
      <c r="B10" s="60">
        <f>Raw_Data!D10</f>
        <v>5000</v>
      </c>
      <c r="C10" s="60" t="str">
        <f>LOWER(Raw_Data!C10&amp;" | "&amp;Raw_Data!F10)</f>
        <v>purchased computer and point-of-sale system | business card; due next month</v>
      </c>
      <c r="D10" s="60">
        <f t="array" ref="D10">MATCH(1,ISNUMBER(SEARCH(Rules!$A$2:$A$60,C10))*(Rules!$A$2:$A$60&lt;&gt;""),0)</f>
        <v>2</v>
      </c>
      <c r="E10" s="60" t="str">
        <f t="array" ref="E10">INDEX(Rules!$A$2:$A$60,D10)</f>
        <v>business card; due</v>
      </c>
      <c r="F10" s="60">
        <f t="shared" si="1"/>
        <v>5000</v>
      </c>
      <c r="G10" s="60">
        <f>IFERROR(__xludf.DUMMYFUNCTION("IFERROR(VALUE(SUBSTITUTE(REGEXEXTRACT(Raw_Data!J10,""Cost of goods sold: \$([\d,]+)""),"","","""")),0)"),0.0)</f>
        <v>0</v>
      </c>
      <c r="H10" s="60">
        <f>IFERROR(__xludf.DUMMYFUNCTION("IFERROR(VALUE(SUBSTITUTE(REGEXEXTRACT(Raw_Data!J10,""withheld a \$([\d,]+) fee""),"","","""")),0)"),0.0)</f>
        <v>0</v>
      </c>
      <c r="I10" s="60">
        <f t="shared" si="2"/>
        <v>5000</v>
      </c>
      <c r="J10" s="60">
        <f>IFERROR(__xludf.DUMMYFUNCTION("IFERROR(VALUE(SUBSTITUTE(REGEXEXTRACT(Raw_Data!J10,""(?i)interest \$([\d,]+)""),"","","""")),0)"),0.0)</f>
        <v>0</v>
      </c>
      <c r="K10" s="60">
        <f t="shared" si="3"/>
        <v>5000</v>
      </c>
      <c r="L10" s="60">
        <f>IFERROR(__xludf.DUMMYFUNCTION("IFERROR(VALUE(SUBSTITUTE(REGEXEXTRACT(Raw_Data!F10,""\$([\d,]+) prior deposit applied""),"","","""")),0)"),0.0)</f>
        <v>0</v>
      </c>
      <c r="M10" s="60">
        <f t="shared" si="4"/>
        <v>5000</v>
      </c>
      <c r="N10" s="60">
        <f>IFERROR(__xludf.DUMMYFUNCTION("IFERROR(VALUE(SUBSTITUTE(REGEXEXTRACT(Raw_Data!F10,""^\$([\d,]+) cash""),"","","""")),0)"),0.0)</f>
        <v>0</v>
      </c>
      <c r="O10" s="60">
        <f t="shared" si="5"/>
        <v>5000</v>
      </c>
      <c r="P10" s="60">
        <f>IFERROR(__xludf.DUMMYFUNCTION("IFERROR(VALUE(SUBSTITUTE(REGEXEXTRACT(Raw_Data!J10,""labour \d+ h at \$\d+/h: \$([\d,]+)""),"","","""")),0)"),0.0)</f>
        <v>0</v>
      </c>
      <c r="Q10" s="60">
        <f t="shared" si="6"/>
        <v>5000</v>
      </c>
      <c r="R10" s="60" t="str">
        <f t="array" ref="R10">IF(INDEX(Rules!$B$2:$B$60,$D10)="","",INDEX(Rules!$B$2:$B$60,$D10))</f>
        <v>Equipment</v>
      </c>
      <c r="S10" s="60" t="str">
        <f t="array" ref="S10">IF(INDEX(Rules!$E$2:$E$60,$D10)="","",INDEX(Rules!$E$2:$E$60,$D10))</f>
        <v/>
      </c>
      <c r="T10" s="60" t="str">
        <f t="array" ref="T10">IF(INDEX(Rules!$H$2:$H$60,$D10)="","",INDEX(Rules!$H$2:$H$60,$D10))</f>
        <v/>
      </c>
      <c r="U10" s="60" t="str">
        <f t="array" ref="U10">IF(INDEX(Rules!$C$2:$C$60,$D10)="","",INDEX(Rules!$C$2:$C$60,$D10))</f>
        <v>Accounts Payable</v>
      </c>
      <c r="V10" s="60" t="str">
        <f t="array" ref="V10">IF(INDEX(Rules!$F$2:$F$60,$D10)="","",INDEX(Rules!$F$2:$F$60,$D10))</f>
        <v/>
      </c>
      <c r="W10" s="60" t="str">
        <f t="array" ref="W10">IF(INDEX(Rules!$I$2:$I$60,$D10)="","",INDEX(Rules!$I$2:$I$60,$D10))</f>
        <v/>
      </c>
      <c r="X10" s="60">
        <f t="array" ref="X10">IF(R10="","",INDEX($F10:$Q10,MATCH(INDEX(Rules!$D$2:$D$60,$D10),$F$1:$Q$1,0)))</f>
        <v>5000</v>
      </c>
      <c r="Y10" s="60" t="str">
        <f t="array" ref="Y10">IF(S10="","",INDEX($F10:$Q10,MATCH(INDEX(Rules!$G$2:$G$60,$D10),$F$1:$Q$1,0)))</f>
        <v/>
      </c>
      <c r="Z10" s="60" t="str">
        <f t="array" ref="Z10">IF(T10="","",INDEX($F10:$Q10,MATCH(INDEX(Rules!$J$2:$J$60,$D10),$F$1:$Q$1,0)))</f>
        <v/>
      </c>
      <c r="AA10" s="60" t="str">
        <f t="array" ref="AA10">IF(INDEX(Rules!$K$2:$K$60,$D10)="","",INDEX(Rules!$K$2:$K$60,$D10))</f>
        <v>POS lasts &gt;1 yr -&gt; equipment. paid by card so we owe it (AP)</v>
      </c>
      <c r="AB10" s="60" t="str">
        <f>IF(SUMPRODUCT((R10:W10&lt;&gt;"")*(ISNUMBER(SEARCH(Raw_Data!E10,R10:W10))+ISNUMBER(SEARCH(R10:W10,Raw_Data!E10))))&gt;0,"OK","CHECK")</f>
        <v>CHECK</v>
      </c>
    </row>
    <row r="11">
      <c r="A11" s="60" t="str">
        <f>Raw_Data!A11</f>
        <v>VVV-2024-010</v>
      </c>
      <c r="B11" s="60">
        <f>Raw_Data!D11</f>
        <v>4500</v>
      </c>
      <c r="C11" s="60" t="str">
        <f>LOWER(Raw_Data!C11&amp;" | "&amp;Raw_Data!F11)</f>
        <v>equipment rental receipts batch | cash and card receipts; settled</v>
      </c>
      <c r="D11" s="60">
        <f t="array" ref="D11">MATCH(1,ISNUMBER(SEARCH(Rules!$A$2:$A$60,C11))*(Rules!$A$2:$A$60&lt;&gt;""),0)</f>
        <v>26</v>
      </c>
      <c r="E11" s="60" t="str">
        <f t="array" ref="E11">INDEX(Rules!$A$2:$A$60,D11)</f>
        <v>rental receipts</v>
      </c>
      <c r="F11" s="60">
        <f t="shared" si="1"/>
        <v>4500</v>
      </c>
      <c r="G11" s="60">
        <f>IFERROR(__xludf.DUMMYFUNCTION("IFERROR(VALUE(SUBSTITUTE(REGEXEXTRACT(Raw_Data!J11,""Cost of goods sold: \$([\d,]+)""),"","","""")),0)"),0.0)</f>
        <v>0</v>
      </c>
      <c r="H11" s="60">
        <f>IFERROR(__xludf.DUMMYFUNCTION("IFERROR(VALUE(SUBSTITUTE(REGEXEXTRACT(Raw_Data!J11,""withheld a \$([\d,]+) fee""),"","","""")),0)"),0.0)</f>
        <v>0</v>
      </c>
      <c r="I11" s="60">
        <f t="shared" si="2"/>
        <v>4500</v>
      </c>
      <c r="J11" s="60">
        <f>IFERROR(__xludf.DUMMYFUNCTION("IFERROR(VALUE(SUBSTITUTE(REGEXEXTRACT(Raw_Data!J11,""(?i)interest \$([\d,]+)""),"","","""")),0)"),0.0)</f>
        <v>0</v>
      </c>
      <c r="K11" s="60">
        <f t="shared" si="3"/>
        <v>4500</v>
      </c>
      <c r="L11" s="60">
        <f>IFERROR(__xludf.DUMMYFUNCTION("IFERROR(VALUE(SUBSTITUTE(REGEXEXTRACT(Raw_Data!F11,""\$([\d,]+) prior deposit applied""),"","","""")),0)"),0.0)</f>
        <v>0</v>
      </c>
      <c r="M11" s="60">
        <f t="shared" si="4"/>
        <v>4500</v>
      </c>
      <c r="N11" s="60">
        <f>IFERROR(__xludf.DUMMYFUNCTION("IFERROR(VALUE(SUBSTITUTE(REGEXEXTRACT(Raw_Data!F11,""^\$([\d,]+) cash""),"","","""")),0)"),0.0)</f>
        <v>0</v>
      </c>
      <c r="O11" s="60">
        <f t="shared" si="5"/>
        <v>4500</v>
      </c>
      <c r="P11" s="60">
        <f>IFERROR(__xludf.DUMMYFUNCTION("IFERROR(VALUE(SUBSTITUTE(REGEXEXTRACT(Raw_Data!J11,""labour \d+ h at \$\d+/h: \$([\d,]+)""),"","","""")),0)"),0.0)</f>
        <v>0</v>
      </c>
      <c r="Q11" s="60">
        <f t="shared" si="6"/>
        <v>4500</v>
      </c>
      <c r="R11" s="60" t="str">
        <f t="array" ref="R11">IF(INDEX(Rules!$B$2:$B$60,$D11)="","",INDEX(Rules!$B$2:$B$60,$D11))</f>
        <v>Cash</v>
      </c>
      <c r="S11" s="60" t="str">
        <f t="array" ref="S11">IF(INDEX(Rules!$E$2:$E$60,$D11)="","",INDEX(Rules!$E$2:$E$60,$D11))</f>
        <v/>
      </c>
      <c r="T11" s="60" t="str">
        <f t="array" ref="T11">IF(INDEX(Rules!$H$2:$H$60,$D11)="","",INDEX(Rules!$H$2:$H$60,$D11))</f>
        <v/>
      </c>
      <c r="U11" s="60" t="str">
        <f t="array" ref="U11">IF(INDEX(Rules!$C$2:$C$60,$D11)="","",INDEX(Rules!$C$2:$C$60,$D11))</f>
        <v>Equipment Rental Revenue</v>
      </c>
      <c r="V11" s="60" t="str">
        <f t="array" ref="V11">IF(INDEX(Rules!$F$2:$F$60,$D11)="","",INDEX(Rules!$F$2:$F$60,$D11))</f>
        <v/>
      </c>
      <c r="W11" s="60" t="str">
        <f t="array" ref="W11">IF(INDEX(Rules!$I$2:$I$60,$D11)="","",INDEX(Rules!$I$2:$I$60,$D11))</f>
        <v/>
      </c>
      <c r="X11" s="60">
        <f t="array" ref="X11">IF(R11="","",INDEX($F11:$Q11,MATCH(INDEX(Rules!$D$2:$D$60,$D11),$F$1:$Q$1,0)))</f>
        <v>4500</v>
      </c>
      <c r="Y11" s="60" t="str">
        <f t="array" ref="Y11">IF(S11="","",INDEX($F11:$Q11,MATCH(INDEX(Rules!$G$2:$G$60,$D11),$F$1:$Q$1,0)))</f>
        <v/>
      </c>
      <c r="Z11" s="60" t="str">
        <f t="array" ref="Z11">IF(T11="","",INDEX($F11:$Q11,MATCH(INDEX(Rules!$J$2:$J$60,$D11),$F$1:$Q$1,0)))</f>
        <v/>
      </c>
      <c r="AA11" s="60" t="str">
        <f t="array" ref="AA11">IF(INDEX(Rules!$K$2:$K$60,$D11)="","",INDEX(Rules!$K$2:$K$60,$D11))</f>
        <v>rentals done and paid</v>
      </c>
      <c r="AB11" s="60" t="str">
        <f>IF(SUMPRODUCT((R11:W11&lt;&gt;"")*(ISNUMBER(SEARCH(Raw_Data!E11,R11:W11))+ISNUMBER(SEARCH(R11:W11,Raw_Data!E11))))&gt;0,"OK","CHECK")</f>
        <v>OK</v>
      </c>
    </row>
    <row r="12">
      <c r="A12" s="60" t="str">
        <f>Raw_Data!A12</f>
        <v>VVV-2024-011</v>
      </c>
      <c r="B12" s="60">
        <f>Raw_Data!D12</f>
        <v>1800</v>
      </c>
      <c r="C12" s="60" t="str">
        <f>LOWER(Raw_Data!C12&amp;" | "&amp;Raw_Data!F12)</f>
        <v>purchased office supplies | business debit card; settled</v>
      </c>
      <c r="D12" s="60">
        <f t="array" ref="D12">MATCH(1,ISNUMBER(SEARCH(Rules!$A$2:$A$60,C12))*(Rules!$A$2:$A$60&lt;&gt;""),0)</f>
        <v>21</v>
      </c>
      <c r="E12" s="60" t="str">
        <f t="array" ref="E12">INDEX(Rules!$A$2:$A$60,D12)</f>
        <v>office supplies</v>
      </c>
      <c r="F12" s="60">
        <f t="shared" si="1"/>
        <v>1800</v>
      </c>
      <c r="G12" s="60">
        <f>IFERROR(__xludf.DUMMYFUNCTION("IFERROR(VALUE(SUBSTITUTE(REGEXEXTRACT(Raw_Data!J12,""Cost of goods sold: \$([\d,]+)""),"","","""")),0)"),0.0)</f>
        <v>0</v>
      </c>
      <c r="H12" s="60">
        <f>IFERROR(__xludf.DUMMYFUNCTION("IFERROR(VALUE(SUBSTITUTE(REGEXEXTRACT(Raw_Data!J12,""withheld a \$([\d,]+) fee""),"","","""")),0)"),0.0)</f>
        <v>0</v>
      </c>
      <c r="I12" s="60">
        <f t="shared" si="2"/>
        <v>1800</v>
      </c>
      <c r="J12" s="60">
        <f>IFERROR(__xludf.DUMMYFUNCTION("IFERROR(VALUE(SUBSTITUTE(REGEXEXTRACT(Raw_Data!J12,""(?i)interest \$([\d,]+)""),"","","""")),0)"),0.0)</f>
        <v>0</v>
      </c>
      <c r="K12" s="60">
        <f t="shared" si="3"/>
        <v>1800</v>
      </c>
      <c r="L12" s="60">
        <f>IFERROR(__xludf.DUMMYFUNCTION("IFERROR(VALUE(SUBSTITUTE(REGEXEXTRACT(Raw_Data!F12,""\$([\d,]+) prior deposit applied""),"","","""")),0)"),0.0)</f>
        <v>0</v>
      </c>
      <c r="M12" s="60">
        <f t="shared" si="4"/>
        <v>1800</v>
      </c>
      <c r="N12" s="60">
        <f>IFERROR(__xludf.DUMMYFUNCTION("IFERROR(VALUE(SUBSTITUTE(REGEXEXTRACT(Raw_Data!F12,""^\$([\d,]+) cash""),"","","""")),0)"),0.0)</f>
        <v>0</v>
      </c>
      <c r="O12" s="60">
        <f t="shared" si="5"/>
        <v>1800</v>
      </c>
      <c r="P12" s="60">
        <f>IFERROR(__xludf.DUMMYFUNCTION("IFERROR(VALUE(SUBSTITUTE(REGEXEXTRACT(Raw_Data!J12,""labour \d+ h at \$\d+/h: \$([\d,]+)""),"","","""")),0)"),0.0)</f>
        <v>0</v>
      </c>
      <c r="Q12" s="60">
        <f t="shared" si="6"/>
        <v>1800</v>
      </c>
      <c r="R12" s="60" t="str">
        <f t="array" ref="R12">IF(INDEX(Rules!$B$2:$B$60,$D12)="","",INDEX(Rules!$B$2:$B$60,$D12))</f>
        <v>Office and Admin Expense</v>
      </c>
      <c r="S12" s="60" t="str">
        <f t="array" ref="S12">IF(INDEX(Rules!$E$2:$E$60,$D12)="","",INDEX(Rules!$E$2:$E$60,$D12))</f>
        <v/>
      </c>
      <c r="T12" s="60" t="str">
        <f t="array" ref="T12">IF(INDEX(Rules!$H$2:$H$60,$D12)="","",INDEX(Rules!$H$2:$H$60,$D12))</f>
        <v/>
      </c>
      <c r="U12" s="60" t="str">
        <f t="array" ref="U12">IF(INDEX(Rules!$C$2:$C$60,$D12)="","",INDEX(Rules!$C$2:$C$60,$D12))</f>
        <v>Cash</v>
      </c>
      <c r="V12" s="60" t="str">
        <f t="array" ref="V12">IF(INDEX(Rules!$F$2:$F$60,$D12)="","",INDEX(Rules!$F$2:$F$60,$D12))</f>
        <v/>
      </c>
      <c r="W12" s="60" t="str">
        <f t="array" ref="W12">IF(INDEX(Rules!$I$2:$I$60,$D12)="","",INDEX(Rules!$I$2:$I$60,$D12))</f>
        <v/>
      </c>
      <c r="X12" s="60">
        <f t="array" ref="X12">IF(R12="","",INDEX($F12:$Q12,MATCH(INDEX(Rules!$D$2:$D$60,$D12),$F$1:$Q$1,0)))</f>
        <v>1800</v>
      </c>
      <c r="Y12" s="60" t="str">
        <f t="array" ref="Y12">IF(S12="","",INDEX($F12:$Q12,MATCH(INDEX(Rules!$G$2:$G$60,$D12),$F$1:$Q$1,0)))</f>
        <v/>
      </c>
      <c r="Z12" s="60" t="str">
        <f t="array" ref="Z12">IF(T12="","",INDEX($F12:$Q12,MATCH(INDEX(Rules!$J$2:$J$60,$D12),$F$1:$Q$1,0)))</f>
        <v/>
      </c>
      <c r="AA12" s="60" t="str">
        <f t="array" ref="AA12">IF(INDEX(Rules!$K$2:$K$60,$D12)="","",INDEX(Rules!$K$2:$K$60,$D12))</f>
        <v>all used up in 2024</v>
      </c>
      <c r="AB12" s="60" t="str">
        <f>IF(SUMPRODUCT((R12:W12&lt;&gt;"")*(ISNUMBER(SEARCH(Raw_Data!E12,R12:W12))+ISNUMBER(SEARCH(R12:W12,Raw_Data!E12))))&gt;0,"OK","CHECK")</f>
        <v>CHECK</v>
      </c>
    </row>
    <row r="13">
      <c r="A13" s="60" t="str">
        <f>Raw_Data!A13</f>
        <v>VVV-2024-012</v>
      </c>
      <c r="B13" s="60">
        <f>Raw_Data!D13</f>
        <v>12000</v>
      </c>
      <c r="C13" s="60" t="str">
        <f>LOWER(Raw_Data!C13&amp;" | "&amp;Raw_Data!F13)</f>
        <v>purchased initial retail inventory | bank transfer; settled</v>
      </c>
      <c r="D13" s="60">
        <f t="array" ref="D13">MATCH(1,ISNUMBER(SEARCH(Rules!$A$2:$A$60,C13))*(Rules!$A$2:$A$60&lt;&gt;""),0)</f>
        <v>10</v>
      </c>
      <c r="E13" s="60" t="str">
        <f t="array" ref="E13">INDEX(Rules!$A$2:$A$60,D13)</f>
        <v>inventory</v>
      </c>
      <c r="F13" s="60">
        <f t="shared" si="1"/>
        <v>12000</v>
      </c>
      <c r="G13" s="60">
        <f>IFERROR(__xludf.DUMMYFUNCTION("IFERROR(VALUE(SUBSTITUTE(REGEXEXTRACT(Raw_Data!J13,""Cost of goods sold: \$([\d,]+)""),"","","""")),0)"),0.0)</f>
        <v>0</v>
      </c>
      <c r="H13" s="60">
        <f>IFERROR(__xludf.DUMMYFUNCTION("IFERROR(VALUE(SUBSTITUTE(REGEXEXTRACT(Raw_Data!J13,""withheld a \$([\d,]+) fee""),"","","""")),0)"),0.0)</f>
        <v>0</v>
      </c>
      <c r="I13" s="60">
        <f t="shared" si="2"/>
        <v>12000</v>
      </c>
      <c r="J13" s="60">
        <f>IFERROR(__xludf.DUMMYFUNCTION("IFERROR(VALUE(SUBSTITUTE(REGEXEXTRACT(Raw_Data!J13,""(?i)interest \$([\d,]+)""),"","","""")),0)"),0.0)</f>
        <v>0</v>
      </c>
      <c r="K13" s="60">
        <f t="shared" si="3"/>
        <v>12000</v>
      </c>
      <c r="L13" s="60">
        <f>IFERROR(__xludf.DUMMYFUNCTION("IFERROR(VALUE(SUBSTITUTE(REGEXEXTRACT(Raw_Data!F13,""\$([\d,]+) prior deposit applied""),"","","""")),0)"),0.0)</f>
        <v>0</v>
      </c>
      <c r="M13" s="60">
        <f t="shared" si="4"/>
        <v>12000</v>
      </c>
      <c r="N13" s="60">
        <f>IFERROR(__xludf.DUMMYFUNCTION("IFERROR(VALUE(SUBSTITUTE(REGEXEXTRACT(Raw_Data!F13,""^\$([\d,]+) cash""),"","","""")),0)"),0.0)</f>
        <v>0</v>
      </c>
      <c r="O13" s="60">
        <f t="shared" si="5"/>
        <v>12000</v>
      </c>
      <c r="P13" s="60">
        <f>IFERROR(__xludf.DUMMYFUNCTION("IFERROR(VALUE(SUBSTITUTE(REGEXEXTRACT(Raw_Data!J13,""labour \d+ h at \$\d+/h: \$([\d,]+)""),"","","""")),0)"),0.0)</f>
        <v>0</v>
      </c>
      <c r="Q13" s="60">
        <f t="shared" si="6"/>
        <v>12000</v>
      </c>
      <c r="R13" s="60" t="str">
        <f t="array" ref="R13">IF(INDEX(Rules!$B$2:$B$60,$D13)="","",INDEX(Rules!$B$2:$B$60,$D13))</f>
        <v>Inventory</v>
      </c>
      <c r="S13" s="60" t="str">
        <f t="array" ref="S13">IF(INDEX(Rules!$E$2:$E$60,$D13)="","",INDEX(Rules!$E$2:$E$60,$D13))</f>
        <v/>
      </c>
      <c r="T13" s="60" t="str">
        <f t="array" ref="T13">IF(INDEX(Rules!$H$2:$H$60,$D13)="","",INDEX(Rules!$H$2:$H$60,$D13))</f>
        <v/>
      </c>
      <c r="U13" s="60" t="str">
        <f t="array" ref="U13">IF(INDEX(Rules!$C$2:$C$60,$D13)="","",INDEX(Rules!$C$2:$C$60,$D13))</f>
        <v>Cash</v>
      </c>
      <c r="V13" s="60" t="str">
        <f t="array" ref="V13">IF(INDEX(Rules!$F$2:$F$60,$D13)="","",INDEX(Rules!$F$2:$F$60,$D13))</f>
        <v/>
      </c>
      <c r="W13" s="60" t="str">
        <f t="array" ref="W13">IF(INDEX(Rules!$I$2:$I$60,$D13)="","",INDEX(Rules!$I$2:$I$60,$D13))</f>
        <v/>
      </c>
      <c r="X13" s="60">
        <f t="array" ref="X13">IF(R13="","",INDEX($F13:$Q13,MATCH(INDEX(Rules!$D$2:$D$60,$D13),$F$1:$Q$1,0)))</f>
        <v>12000</v>
      </c>
      <c r="Y13" s="60" t="str">
        <f t="array" ref="Y13">IF(S13="","",INDEX($F13:$Q13,MATCH(INDEX(Rules!$G$2:$G$60,$D13),$F$1:$Q$1,0)))</f>
        <v/>
      </c>
      <c r="Z13" s="60" t="str">
        <f t="array" ref="Z13">IF(T13="","",INDEX($F13:$Q13,MATCH(INDEX(Rules!$J$2:$J$60,$D13),$F$1:$Q$1,0)))</f>
        <v/>
      </c>
      <c r="AA13" s="60" t="str">
        <f t="array" ref="AA13">IF(INDEX(Rules!$K$2:$K$60,$D13)="","",INDEX(Rules!$K$2:$K$60,$D13))</f>
        <v>stuff to resell, paid cash</v>
      </c>
      <c r="AB13" s="60" t="str">
        <f>IF(SUMPRODUCT((R13:W13&lt;&gt;"")*(ISNUMBER(SEARCH(Raw_Data!E13,R13:W13))+ISNUMBER(SEARCH(R13:W13,Raw_Data!E13))))&gt;0,"OK","CHECK")</f>
        <v>OK</v>
      </c>
    </row>
    <row r="14">
      <c r="A14" s="60" t="str">
        <f>Raw_Data!A14</f>
        <v>VVV-2024-013</v>
      </c>
      <c r="B14" s="60">
        <f>Raw_Data!D14</f>
        <v>2200</v>
      </c>
      <c r="C14" s="60" t="str">
        <f>LOWER(Raw_Data!C14&amp;" | "&amp;Raw_Data!F14)</f>
        <v>opening advertising campaign | business debit card; settled</v>
      </c>
      <c r="D14" s="60">
        <f t="array" ref="D14">MATCH(1,ISNUMBER(SEARCH(Rules!$A$2:$A$60,C14))*(Rules!$A$2:$A$60&lt;&gt;""),0)</f>
        <v>22</v>
      </c>
      <c r="E14" s="60" t="str">
        <f t="array" ref="E14">INDEX(Rules!$A$2:$A$60,D14)</f>
        <v>advertising</v>
      </c>
      <c r="F14" s="60">
        <f t="shared" si="1"/>
        <v>2200</v>
      </c>
      <c r="G14" s="60">
        <f>IFERROR(__xludf.DUMMYFUNCTION("IFERROR(VALUE(SUBSTITUTE(REGEXEXTRACT(Raw_Data!J14,""Cost of goods sold: \$([\d,]+)""),"","","""")),0)"),0.0)</f>
        <v>0</v>
      </c>
      <c r="H14" s="60">
        <f>IFERROR(__xludf.DUMMYFUNCTION("IFERROR(VALUE(SUBSTITUTE(REGEXEXTRACT(Raw_Data!J14,""withheld a \$([\d,]+) fee""),"","","""")),0)"),0.0)</f>
        <v>0</v>
      </c>
      <c r="I14" s="60">
        <f t="shared" si="2"/>
        <v>2200</v>
      </c>
      <c r="J14" s="60">
        <f>IFERROR(__xludf.DUMMYFUNCTION("IFERROR(VALUE(SUBSTITUTE(REGEXEXTRACT(Raw_Data!J14,""(?i)interest \$([\d,]+)""),"","","""")),0)"),0.0)</f>
        <v>0</v>
      </c>
      <c r="K14" s="60">
        <f t="shared" si="3"/>
        <v>2200</v>
      </c>
      <c r="L14" s="60">
        <f>IFERROR(__xludf.DUMMYFUNCTION("IFERROR(VALUE(SUBSTITUTE(REGEXEXTRACT(Raw_Data!F14,""\$([\d,]+) prior deposit applied""),"","","""")),0)"),0.0)</f>
        <v>0</v>
      </c>
      <c r="M14" s="60">
        <f t="shared" si="4"/>
        <v>2200</v>
      </c>
      <c r="N14" s="60">
        <f>IFERROR(__xludf.DUMMYFUNCTION("IFERROR(VALUE(SUBSTITUTE(REGEXEXTRACT(Raw_Data!F14,""^\$([\d,]+) cash""),"","","""")),0)"),0.0)</f>
        <v>0</v>
      </c>
      <c r="O14" s="60">
        <f t="shared" si="5"/>
        <v>2200</v>
      </c>
      <c r="P14" s="60">
        <f>IFERROR(__xludf.DUMMYFUNCTION("IFERROR(VALUE(SUBSTITUTE(REGEXEXTRACT(Raw_Data!J14,""labour \d+ h at \$\d+/h: \$([\d,]+)""),"","","""")),0)"),0.0)</f>
        <v>0</v>
      </c>
      <c r="Q14" s="60">
        <f t="shared" si="6"/>
        <v>2200</v>
      </c>
      <c r="R14" s="60" t="str">
        <f t="array" ref="R14">IF(INDEX(Rules!$B$2:$B$60,$D14)="","",INDEX(Rules!$B$2:$B$60,$D14))</f>
        <v>Marketing Expense</v>
      </c>
      <c r="S14" s="60" t="str">
        <f t="array" ref="S14">IF(INDEX(Rules!$E$2:$E$60,$D14)="","",INDEX(Rules!$E$2:$E$60,$D14))</f>
        <v/>
      </c>
      <c r="T14" s="60" t="str">
        <f t="array" ref="T14">IF(INDEX(Rules!$H$2:$H$60,$D14)="","",INDEX(Rules!$H$2:$H$60,$D14))</f>
        <v/>
      </c>
      <c r="U14" s="60" t="str">
        <f t="array" ref="U14">IF(INDEX(Rules!$C$2:$C$60,$D14)="","",INDEX(Rules!$C$2:$C$60,$D14))</f>
        <v>Cash</v>
      </c>
      <c r="V14" s="60" t="str">
        <f t="array" ref="V14">IF(INDEX(Rules!$F$2:$F$60,$D14)="","",INDEX(Rules!$F$2:$F$60,$D14))</f>
        <v/>
      </c>
      <c r="W14" s="60" t="str">
        <f t="array" ref="W14">IF(INDEX(Rules!$I$2:$I$60,$D14)="","",INDEX(Rules!$I$2:$I$60,$D14))</f>
        <v/>
      </c>
      <c r="X14" s="60">
        <f t="array" ref="X14">IF(R14="","",INDEX($F14:$Q14,MATCH(INDEX(Rules!$D$2:$D$60,$D14),$F$1:$Q$1,0)))</f>
        <v>2200</v>
      </c>
      <c r="Y14" s="60" t="str">
        <f t="array" ref="Y14">IF(S14="","",INDEX($F14:$Q14,MATCH(INDEX(Rules!$G$2:$G$60,$D14),$F$1:$Q$1,0)))</f>
        <v/>
      </c>
      <c r="Z14" s="60" t="str">
        <f t="array" ref="Z14">IF(T14="","",INDEX($F14:$Q14,MATCH(INDEX(Rules!$J$2:$J$60,$D14),$F$1:$Q$1,0)))</f>
        <v/>
      </c>
      <c r="AA14" s="60" t="str">
        <f t="array" ref="AA14">IF(INDEX(Rules!$K$2:$K$60,$D14)="","",INDEX(Rules!$K$2:$K$60,$D14))</f>
        <v>ads</v>
      </c>
      <c r="AB14" s="60" t="str">
        <f>IF(SUMPRODUCT((R14:W14&lt;&gt;"")*(ISNUMBER(SEARCH(Raw_Data!E14,R14:W14))+ISNUMBER(SEARCH(R14:W14,Raw_Data!E14))))&gt;0,"OK","CHECK")</f>
        <v>OK</v>
      </c>
    </row>
    <row r="15">
      <c r="A15" s="60" t="str">
        <f>Raw_Data!A15</f>
        <v>VVV-2024-014</v>
      </c>
      <c r="B15" s="60">
        <f>Raw_Data!D15</f>
        <v>3000</v>
      </c>
      <c r="C15" s="60" t="str">
        <f>LOWER(Raw_Data!C15&amp;" | "&amp;Raw_Data!F15)</f>
        <v>retail camping-supply sales | cash and card receipts; settled</v>
      </c>
      <c r="D15" s="60">
        <f t="array" ref="D15">MATCH(1,ISNUMBER(SEARCH(Rules!$A$2:$A$60,C15))*(Rules!$A$2:$A$60&lt;&gt;""),0)</f>
        <v>12</v>
      </c>
      <c r="E15" s="60" t="str">
        <f t="array" ref="E15">INDEX(Rules!$A$2:$A$60,D15)</f>
        <v>camping-supply sales</v>
      </c>
      <c r="F15" s="60">
        <f t="shared" si="1"/>
        <v>3000</v>
      </c>
      <c r="G15" s="60">
        <f>IFERROR(__xludf.DUMMYFUNCTION("IFERROR(VALUE(SUBSTITUTE(REGEXEXTRACT(Raw_Data!J15,""Cost of goods sold: \$([\d,]+)""),"","","""")),0)"),1800.0)</f>
        <v>1800</v>
      </c>
      <c r="H15" s="60">
        <f>IFERROR(__xludf.DUMMYFUNCTION("IFERROR(VALUE(SUBSTITUTE(REGEXEXTRACT(Raw_Data!J15,""withheld a \$([\d,]+) fee""),"","","""")),0)"),0.0)</f>
        <v>0</v>
      </c>
      <c r="I15" s="60">
        <f t="shared" si="2"/>
        <v>3000</v>
      </c>
      <c r="J15" s="60">
        <f>IFERROR(__xludf.DUMMYFUNCTION("IFERROR(VALUE(SUBSTITUTE(REGEXEXTRACT(Raw_Data!J15,""(?i)interest \$([\d,]+)""),"","","""")),0)"),0.0)</f>
        <v>0</v>
      </c>
      <c r="K15" s="60">
        <f t="shared" si="3"/>
        <v>3000</v>
      </c>
      <c r="L15" s="60">
        <f>IFERROR(__xludf.DUMMYFUNCTION("IFERROR(VALUE(SUBSTITUTE(REGEXEXTRACT(Raw_Data!F15,""\$([\d,]+) prior deposit applied""),"","","""")),0)"),0.0)</f>
        <v>0</v>
      </c>
      <c r="M15" s="60">
        <f t="shared" si="4"/>
        <v>3000</v>
      </c>
      <c r="N15" s="60">
        <f>IFERROR(__xludf.DUMMYFUNCTION("IFERROR(VALUE(SUBSTITUTE(REGEXEXTRACT(Raw_Data!F15,""^\$([\d,]+) cash""),"","","""")),0)"),0.0)</f>
        <v>0</v>
      </c>
      <c r="O15" s="60">
        <f t="shared" si="5"/>
        <v>3000</v>
      </c>
      <c r="P15" s="60">
        <f>IFERROR(__xludf.DUMMYFUNCTION("IFERROR(VALUE(SUBSTITUTE(REGEXEXTRACT(Raw_Data!J15,""labour \d+ h at \$\d+/h: \$([\d,]+)""),"","","""")),0)"),0.0)</f>
        <v>0</v>
      </c>
      <c r="Q15" s="60">
        <f t="shared" si="6"/>
        <v>3000</v>
      </c>
      <c r="R15" s="60" t="str">
        <f t="array" ref="R15">IF(INDEX(Rules!$B$2:$B$60,$D15)="","",INDEX(Rules!$B$2:$B$60,$D15))</f>
        <v>Cash</v>
      </c>
      <c r="S15" s="60" t="str">
        <f t="array" ref="S15">IF(INDEX(Rules!$E$2:$E$60,$D15)="","",INDEX(Rules!$E$2:$E$60,$D15))</f>
        <v>Cost of Goods Sold</v>
      </c>
      <c r="T15" s="60" t="str">
        <f t="array" ref="T15">IF(INDEX(Rules!$H$2:$H$60,$D15)="","",INDEX(Rules!$H$2:$H$60,$D15))</f>
        <v/>
      </c>
      <c r="U15" s="60" t="str">
        <f t="array" ref="U15">IF(INDEX(Rules!$C$2:$C$60,$D15)="","",INDEX(Rules!$C$2:$C$60,$D15))</f>
        <v>Retail Sales Revenue</v>
      </c>
      <c r="V15" s="60" t="str">
        <f t="array" ref="V15">IF(INDEX(Rules!$F$2:$F$60,$D15)="","",INDEX(Rules!$F$2:$F$60,$D15))</f>
        <v>Inventory</v>
      </c>
      <c r="W15" s="60" t="str">
        <f t="array" ref="W15">IF(INDEX(Rules!$I$2:$I$60,$D15)="","",INDEX(Rules!$I$2:$I$60,$D15))</f>
        <v/>
      </c>
      <c r="X15" s="60">
        <f t="array" ref="X15">IF(R15="","",INDEX($F15:$Q15,MATCH(INDEX(Rules!$D$2:$D$60,$D15),$F$1:$Q$1,0)))</f>
        <v>3000</v>
      </c>
      <c r="Y15" s="60">
        <f t="array" ref="Y15">IF(S15="","",INDEX($F15:$Q15,MATCH(INDEX(Rules!$G$2:$G$60,$D15),$F$1:$Q$1,0)))</f>
        <v>1800</v>
      </c>
      <c r="Z15" s="60" t="str">
        <f t="array" ref="Z15">IF(T15="","",INDEX($F15:$Q15,MATCH(INDEX(Rules!$J$2:$J$60,$D15),$F$1:$Q$1,0)))</f>
        <v/>
      </c>
      <c r="AA15" s="60" t="str">
        <f t="array" ref="AA15">IF(INDEX(Rules!$K$2:$K$60,$D15)="","",INDEX(Rules!$K$2:$K$60,$D15))</f>
        <v>sale + cost of the goods comes out of inventory (COGS)</v>
      </c>
      <c r="AB15" s="60" t="str">
        <f>IF(SUMPRODUCT((R15:W15&lt;&gt;"")*(ISNUMBER(SEARCH(Raw_Data!E15,R15:W15))+ISNUMBER(SEARCH(R15:W15,Raw_Data!E15))))&gt;0,"OK","CHECK")</f>
        <v>OK</v>
      </c>
    </row>
    <row r="16">
      <c r="A16" s="60" t="str">
        <f>Raw_Data!A16</f>
        <v>VVV-2024-015</v>
      </c>
      <c r="B16" s="60">
        <f>Raw_Data!D16</f>
        <v>7200</v>
      </c>
      <c r="C16" s="60" t="str">
        <f>LOWER(Raw_Data!C16&amp;" | "&amp;Raw_Data!F16)</f>
        <v>employee payroll settlement | payroll and claims paid from business bank account</v>
      </c>
      <c r="D16" s="60">
        <f t="array" ref="D16">MATCH(1,ISNUMBER(SEARCH(Rules!$A$2:$A$60,C16))*(Rules!$A$2:$A$60&lt;&gt;""),0)</f>
        <v>23</v>
      </c>
      <c r="E16" s="60" t="str">
        <f t="array" ref="E16">INDEX(Rules!$A$2:$A$60,D16)</f>
        <v>payroll</v>
      </c>
      <c r="F16" s="60">
        <f t="shared" si="1"/>
        <v>7200</v>
      </c>
      <c r="G16" s="60">
        <f>IFERROR(__xludf.DUMMYFUNCTION("IFERROR(VALUE(SUBSTITUTE(REGEXEXTRACT(Raw_Data!J16,""Cost of goods sold: \$([\d,]+)""),"","","""")),0)"),0.0)</f>
        <v>0</v>
      </c>
      <c r="H16" s="60">
        <f>IFERROR(__xludf.DUMMYFUNCTION("IFERROR(VALUE(SUBSTITUTE(REGEXEXTRACT(Raw_Data!J16,""withheld a \$([\d,]+) fee""),"","","""")),0)"),0.0)</f>
        <v>0</v>
      </c>
      <c r="I16" s="60">
        <f t="shared" si="2"/>
        <v>7200</v>
      </c>
      <c r="J16" s="60">
        <f>IFERROR(__xludf.DUMMYFUNCTION("IFERROR(VALUE(SUBSTITUTE(REGEXEXTRACT(Raw_Data!J16,""(?i)interest \$([\d,]+)""),"","","""")),0)"),0.0)</f>
        <v>0</v>
      </c>
      <c r="K16" s="60">
        <f t="shared" si="3"/>
        <v>7200</v>
      </c>
      <c r="L16" s="60">
        <f>IFERROR(__xludf.DUMMYFUNCTION("IFERROR(VALUE(SUBSTITUTE(REGEXEXTRACT(Raw_Data!F16,""\$([\d,]+) prior deposit applied""),"","","""")),0)"),0.0)</f>
        <v>0</v>
      </c>
      <c r="M16" s="60">
        <f t="shared" si="4"/>
        <v>7200</v>
      </c>
      <c r="N16" s="60">
        <f>IFERROR(__xludf.DUMMYFUNCTION("IFERROR(VALUE(SUBSTITUTE(REGEXEXTRACT(Raw_Data!F16,""^\$([\d,]+) cash""),"","","""")),0)"),0.0)</f>
        <v>0</v>
      </c>
      <c r="O16" s="60">
        <f t="shared" si="5"/>
        <v>7200</v>
      </c>
      <c r="P16" s="60">
        <f>IFERROR(__xludf.DUMMYFUNCTION("IFERROR(VALUE(SUBSTITUTE(REGEXEXTRACT(Raw_Data!J16,""labour \d+ h at \$\d+/h: \$([\d,]+)""),"","","""")),0)"),0.0)</f>
        <v>0</v>
      </c>
      <c r="Q16" s="60">
        <f t="shared" si="6"/>
        <v>7200</v>
      </c>
      <c r="R16" s="60" t="str">
        <f t="array" ref="R16">IF(INDEX(Rules!$B$2:$B$60,$D16)="","",INDEX(Rules!$B$2:$B$60,$D16))</f>
        <v>Wages Expense</v>
      </c>
      <c r="S16" s="60" t="str">
        <f t="array" ref="S16">IF(INDEX(Rules!$E$2:$E$60,$D16)="","",INDEX(Rules!$E$2:$E$60,$D16))</f>
        <v/>
      </c>
      <c r="T16" s="60" t="str">
        <f t="array" ref="T16">IF(INDEX(Rules!$H$2:$H$60,$D16)="","",INDEX(Rules!$H$2:$H$60,$D16))</f>
        <v/>
      </c>
      <c r="U16" s="60" t="str">
        <f t="array" ref="U16">IF(INDEX(Rules!$C$2:$C$60,$D16)="","",INDEX(Rules!$C$2:$C$60,$D16))</f>
        <v>Cash</v>
      </c>
      <c r="V16" s="60" t="str">
        <f t="array" ref="V16">IF(INDEX(Rules!$F$2:$F$60,$D16)="","",INDEX(Rules!$F$2:$F$60,$D16))</f>
        <v/>
      </c>
      <c r="W16" s="60" t="str">
        <f t="array" ref="W16">IF(INDEX(Rules!$I$2:$I$60,$D16)="","",INDEX(Rules!$I$2:$I$60,$D16))</f>
        <v/>
      </c>
      <c r="X16" s="60">
        <f t="array" ref="X16">IF(R16="","",INDEX($F16:$Q16,MATCH(INDEX(Rules!$D$2:$D$60,$D16),$F$1:$Q$1,0)))</f>
        <v>7200</v>
      </c>
      <c r="Y16" s="60" t="str">
        <f t="array" ref="Y16">IF(S16="","",INDEX($F16:$Q16,MATCH(INDEX(Rules!$G$2:$G$60,$D16),$F$1:$Q$1,0)))</f>
        <v/>
      </c>
      <c r="Z16" s="60" t="str">
        <f t="array" ref="Z16">IF(T16="","",INDEX($F16:$Q16,MATCH(INDEX(Rules!$J$2:$J$60,$D16),$F$1:$Q$1,0)))</f>
        <v/>
      </c>
      <c r="AA16" s="60" t="str">
        <f t="array" ref="AA16">IF(INDEX(Rules!$K$2:$K$60,$D16)="","",INDEX(Rules!$K$2:$K$60,$D16))</f>
        <v>wages, includes E04's $200 travel claim</v>
      </c>
      <c r="AB16" s="60" t="str">
        <f>IF(SUMPRODUCT((R16:W16&lt;&gt;"")*(ISNUMBER(SEARCH(Raw_Data!E16,R16:W16))+ISNUMBER(SEARCH(R16:W16,Raw_Data!E16))))&gt;0,"OK","CHECK")</f>
        <v>OK</v>
      </c>
    </row>
    <row r="17">
      <c r="A17" s="60" t="str">
        <f>Raw_Data!A17</f>
        <v>VVV-2024-016</v>
      </c>
      <c r="B17" s="60">
        <f>Raw_Data!D17</f>
        <v>694</v>
      </c>
      <c r="C17" s="60" t="str">
        <f>LOWER(Raw_Data!C17&amp;" | "&amp;Raw_Data!F17)</f>
        <v>monthly utility settlement | paid from business bank account</v>
      </c>
      <c r="D17" s="60">
        <f t="array" ref="D17">MATCH(1,ISNUMBER(SEARCH(Rules!$A$2:$A$60,C17))*(Rules!$A$2:$A$60&lt;&gt;""),0)</f>
        <v>24</v>
      </c>
      <c r="E17" s="60" t="str">
        <f t="array" ref="E17">INDEX(Rules!$A$2:$A$60,D17)</f>
        <v>utility</v>
      </c>
      <c r="F17" s="60">
        <f t="shared" si="1"/>
        <v>694</v>
      </c>
      <c r="G17" s="60">
        <f>IFERROR(__xludf.DUMMYFUNCTION("IFERROR(VALUE(SUBSTITUTE(REGEXEXTRACT(Raw_Data!J17,""Cost of goods sold: \$([\d,]+)""),"","","""")),0)"),0.0)</f>
        <v>0</v>
      </c>
      <c r="H17" s="60">
        <f>IFERROR(__xludf.DUMMYFUNCTION("IFERROR(VALUE(SUBSTITUTE(REGEXEXTRACT(Raw_Data!J17,""withheld a \$([\d,]+) fee""),"","","""")),0)"),0.0)</f>
        <v>0</v>
      </c>
      <c r="I17" s="60">
        <f t="shared" si="2"/>
        <v>694</v>
      </c>
      <c r="J17" s="60">
        <f>IFERROR(__xludf.DUMMYFUNCTION("IFERROR(VALUE(SUBSTITUTE(REGEXEXTRACT(Raw_Data!J17,""(?i)interest \$([\d,]+)""),"","","""")),0)"),0.0)</f>
        <v>0</v>
      </c>
      <c r="K17" s="60">
        <f t="shared" si="3"/>
        <v>694</v>
      </c>
      <c r="L17" s="60">
        <f>IFERROR(__xludf.DUMMYFUNCTION("IFERROR(VALUE(SUBSTITUTE(REGEXEXTRACT(Raw_Data!F17,""\$([\d,]+) prior deposit applied""),"","","""")),0)"),0.0)</f>
        <v>0</v>
      </c>
      <c r="M17" s="60">
        <f t="shared" si="4"/>
        <v>694</v>
      </c>
      <c r="N17" s="60">
        <f>IFERROR(__xludf.DUMMYFUNCTION("IFERROR(VALUE(SUBSTITUTE(REGEXEXTRACT(Raw_Data!F17,""^\$([\d,]+) cash""),"","","""")),0)"),0.0)</f>
        <v>0</v>
      </c>
      <c r="O17" s="60">
        <f t="shared" si="5"/>
        <v>694</v>
      </c>
      <c r="P17" s="60">
        <f>IFERROR(__xludf.DUMMYFUNCTION("IFERROR(VALUE(SUBSTITUTE(REGEXEXTRACT(Raw_Data!J17,""labour \d+ h at \$\d+/h: \$([\d,]+)""),"","","""")),0)"),0.0)</f>
        <v>0</v>
      </c>
      <c r="Q17" s="60">
        <f t="shared" si="6"/>
        <v>694</v>
      </c>
      <c r="R17" s="60" t="str">
        <f t="array" ref="R17">IF(INDEX(Rules!$B$2:$B$60,$D17)="","",INDEX(Rules!$B$2:$B$60,$D17))</f>
        <v>Utilities Expense</v>
      </c>
      <c r="S17" s="60" t="str">
        <f t="array" ref="S17">IF(INDEX(Rules!$E$2:$E$60,$D17)="","",INDEX(Rules!$E$2:$E$60,$D17))</f>
        <v/>
      </c>
      <c r="T17" s="60" t="str">
        <f t="array" ref="T17">IF(INDEX(Rules!$H$2:$H$60,$D17)="","",INDEX(Rules!$H$2:$H$60,$D17))</f>
        <v/>
      </c>
      <c r="U17" s="60" t="str">
        <f t="array" ref="U17">IF(INDEX(Rules!$C$2:$C$60,$D17)="","",INDEX(Rules!$C$2:$C$60,$D17))</f>
        <v>Cash</v>
      </c>
      <c r="V17" s="60" t="str">
        <f t="array" ref="V17">IF(INDEX(Rules!$F$2:$F$60,$D17)="","",INDEX(Rules!$F$2:$F$60,$D17))</f>
        <v/>
      </c>
      <c r="W17" s="60" t="str">
        <f t="array" ref="W17">IF(INDEX(Rules!$I$2:$I$60,$D17)="","",INDEX(Rules!$I$2:$I$60,$D17))</f>
        <v/>
      </c>
      <c r="X17" s="60">
        <f t="array" ref="X17">IF(R17="","",INDEX($F17:$Q17,MATCH(INDEX(Rules!$D$2:$D$60,$D17),$F$1:$Q$1,0)))</f>
        <v>694</v>
      </c>
      <c r="Y17" s="60" t="str">
        <f t="array" ref="Y17">IF(S17="","",INDEX($F17:$Q17,MATCH(INDEX(Rules!$G$2:$G$60,$D17),$F$1:$Q$1,0)))</f>
        <v/>
      </c>
      <c r="Z17" s="60" t="str">
        <f t="array" ref="Z17">IF(T17="","",INDEX($F17:$Q17,MATCH(INDEX(Rules!$J$2:$J$60,$D17),$F$1:$Q$1,0)))</f>
        <v/>
      </c>
      <c r="AA17" s="60" t="str">
        <f t="array" ref="AA17">IF(INDEX(Rules!$K$2:$K$60,$D17)="","",INDEX(Rules!$K$2:$K$60,$D17))</f>
        <v>monthly utilities</v>
      </c>
      <c r="AB17" s="60" t="str">
        <f>IF(SUMPRODUCT((R17:W17&lt;&gt;"")*(ISNUMBER(SEARCH(Raw_Data!E17,R17:W17))+ISNUMBER(SEARCH(R17:W17,Raw_Data!E17))))&gt;0,"OK","CHECK")</f>
        <v>OK</v>
      </c>
    </row>
    <row r="18">
      <c r="A18" s="60" t="str">
        <f>Raw_Data!A18</f>
        <v>VVV-2024-017</v>
      </c>
      <c r="B18" s="60">
        <f>Raw_Data!D18</f>
        <v>5400</v>
      </c>
      <c r="C18" s="60" t="str">
        <f>LOWER(Raw_Data!C18&amp;" | "&amp;Raw_Data!F18)</f>
        <v>monthly facility rent | automatic bank transfer; settled</v>
      </c>
      <c r="D18" s="60">
        <f t="array" ref="D18">MATCH(1,ISNUMBER(SEARCH(Rules!$A$2:$A$60,C18))*(Rules!$A$2:$A$60&lt;&gt;""),0)</f>
        <v>15</v>
      </c>
      <c r="E18" s="60" t="str">
        <f t="array" ref="E18">INDEX(Rules!$A$2:$A$60,D18)</f>
        <v>facility rent</v>
      </c>
      <c r="F18" s="60">
        <f t="shared" si="1"/>
        <v>5400</v>
      </c>
      <c r="G18" s="60">
        <f>IFERROR(__xludf.DUMMYFUNCTION("IFERROR(VALUE(SUBSTITUTE(REGEXEXTRACT(Raw_Data!J18,""Cost of goods sold: \$([\d,]+)""),"","","""")),0)"),0.0)</f>
        <v>0</v>
      </c>
      <c r="H18" s="60">
        <f>IFERROR(__xludf.DUMMYFUNCTION("IFERROR(VALUE(SUBSTITUTE(REGEXEXTRACT(Raw_Data!J18,""withheld a \$([\d,]+) fee""),"","","""")),0)"),0.0)</f>
        <v>0</v>
      </c>
      <c r="I18" s="60">
        <f t="shared" si="2"/>
        <v>5400</v>
      </c>
      <c r="J18" s="60">
        <f>IFERROR(__xludf.DUMMYFUNCTION("IFERROR(VALUE(SUBSTITUTE(REGEXEXTRACT(Raw_Data!J18,""(?i)interest \$([\d,]+)""),"","","""")),0)"),0.0)</f>
        <v>0</v>
      </c>
      <c r="K18" s="60">
        <f t="shared" si="3"/>
        <v>5400</v>
      </c>
      <c r="L18" s="60">
        <f>IFERROR(__xludf.DUMMYFUNCTION("IFERROR(VALUE(SUBSTITUTE(REGEXEXTRACT(Raw_Data!F18,""\$([\d,]+) prior deposit applied""),"","","""")),0)"),0.0)</f>
        <v>0</v>
      </c>
      <c r="M18" s="60">
        <f t="shared" si="4"/>
        <v>5400</v>
      </c>
      <c r="N18" s="60">
        <f>IFERROR(__xludf.DUMMYFUNCTION("IFERROR(VALUE(SUBSTITUTE(REGEXEXTRACT(Raw_Data!F18,""^\$([\d,]+) cash""),"","","""")),0)"),0.0)</f>
        <v>0</v>
      </c>
      <c r="O18" s="60">
        <f t="shared" si="5"/>
        <v>5400</v>
      </c>
      <c r="P18" s="60">
        <f>IFERROR(__xludf.DUMMYFUNCTION("IFERROR(VALUE(SUBSTITUTE(REGEXEXTRACT(Raw_Data!J18,""labour \d+ h at \$\d+/h: \$([\d,]+)""),"","","""")),0)"),0.0)</f>
        <v>0</v>
      </c>
      <c r="Q18" s="60">
        <f t="shared" si="6"/>
        <v>5400</v>
      </c>
      <c r="R18" s="60" t="str">
        <f t="array" ref="R18">IF(INDEX(Rules!$B$2:$B$60,$D18)="","",INDEX(Rules!$B$2:$B$60,$D18))</f>
        <v>Rent Expense</v>
      </c>
      <c r="S18" s="60" t="str">
        <f t="array" ref="S18">IF(INDEX(Rules!$E$2:$E$60,$D18)="","",INDEX(Rules!$E$2:$E$60,$D18))</f>
        <v/>
      </c>
      <c r="T18" s="60" t="str">
        <f t="array" ref="T18">IF(INDEX(Rules!$H$2:$H$60,$D18)="","",INDEX(Rules!$H$2:$H$60,$D18))</f>
        <v/>
      </c>
      <c r="U18" s="60" t="str">
        <f t="array" ref="U18">IF(INDEX(Rules!$C$2:$C$60,$D18)="","",INDEX(Rules!$C$2:$C$60,$D18))</f>
        <v>Cash</v>
      </c>
      <c r="V18" s="60" t="str">
        <f t="array" ref="V18">IF(INDEX(Rules!$F$2:$F$60,$D18)="","",INDEX(Rules!$F$2:$F$60,$D18))</f>
        <v/>
      </c>
      <c r="W18" s="60" t="str">
        <f t="array" ref="W18">IF(INDEX(Rules!$I$2:$I$60,$D18)="","",INDEX(Rules!$I$2:$I$60,$D18))</f>
        <v/>
      </c>
      <c r="X18" s="60">
        <f t="array" ref="X18">IF(R18="","",INDEX($F18:$Q18,MATCH(INDEX(Rules!$D$2:$D$60,$D18),$F$1:$Q$1,0)))</f>
        <v>5400</v>
      </c>
      <c r="Y18" s="60" t="str">
        <f t="array" ref="Y18">IF(S18="","",INDEX($F18:$Q18,MATCH(INDEX(Rules!$G$2:$G$60,$D18),$F$1:$Q$1,0)))</f>
        <v/>
      </c>
      <c r="Z18" s="60" t="str">
        <f t="array" ref="Z18">IF(T18="","",INDEX($F18:$Q18,MATCH(INDEX(Rules!$J$2:$J$60,$D18),$F$1:$Q$1,0)))</f>
        <v/>
      </c>
      <c r="AA18" s="60" t="str">
        <f t="array" ref="AA18">IF(INDEX(Rules!$K$2:$K$60,$D18)="","",INDEX(Rules!$K$2:$K$60,$D18))</f>
        <v>monthly rent</v>
      </c>
      <c r="AB18" s="60" t="str">
        <f>IF(SUMPRODUCT((R18:W18&lt;&gt;"")*(ISNUMBER(SEARCH(Raw_Data!E18,R18:W18))+ISNUMBER(SEARCH(R18:W18,Raw_Data!E18))))&gt;0,"OK","CHECK")</f>
        <v>OK</v>
      </c>
    </row>
    <row r="19">
      <c r="A19" s="60" t="str">
        <f>Raw_Data!A19</f>
        <v>VVV-2024-018</v>
      </c>
      <c r="B19" s="60">
        <f>Raw_Data!D19</f>
        <v>5000</v>
      </c>
      <c r="C19" s="60" t="str">
        <f>LOWER(Raw_Data!C19&amp;" | "&amp;Raw_Data!F19)</f>
        <v>paid business card balance for computer/pos purchase | online payment; settled</v>
      </c>
      <c r="D19" s="60">
        <f t="array" ref="D19">MATCH(1,ISNUMBER(SEARCH(Rules!$A$2:$A$60,C19))*(Rules!$A$2:$A$60&lt;&gt;""),0)</f>
        <v>3</v>
      </c>
      <c r="E19" s="60" t="str">
        <f t="array" ref="E19">INDEX(Rules!$A$2:$A$60,D19)</f>
        <v>card balance</v>
      </c>
      <c r="F19" s="60">
        <f t="shared" si="1"/>
        <v>5000</v>
      </c>
      <c r="G19" s="60">
        <f>IFERROR(__xludf.DUMMYFUNCTION("IFERROR(VALUE(SUBSTITUTE(REGEXEXTRACT(Raw_Data!J19,""Cost of goods sold: \$([\d,]+)""),"","","""")),0)"),0.0)</f>
        <v>0</v>
      </c>
      <c r="H19" s="60">
        <f>IFERROR(__xludf.DUMMYFUNCTION("IFERROR(VALUE(SUBSTITUTE(REGEXEXTRACT(Raw_Data!J19,""withheld a \$([\d,]+) fee""),"","","""")),0)"),0.0)</f>
        <v>0</v>
      </c>
      <c r="I19" s="60">
        <f t="shared" si="2"/>
        <v>5000</v>
      </c>
      <c r="J19" s="60">
        <f>IFERROR(__xludf.DUMMYFUNCTION("IFERROR(VALUE(SUBSTITUTE(REGEXEXTRACT(Raw_Data!J19,""(?i)interest \$([\d,]+)""),"","","""")),0)"),0.0)</f>
        <v>0</v>
      </c>
      <c r="K19" s="60">
        <f t="shared" si="3"/>
        <v>5000</v>
      </c>
      <c r="L19" s="60">
        <f>IFERROR(__xludf.DUMMYFUNCTION("IFERROR(VALUE(SUBSTITUTE(REGEXEXTRACT(Raw_Data!F19,""\$([\d,]+) prior deposit applied""),"","","""")),0)"),0.0)</f>
        <v>0</v>
      </c>
      <c r="M19" s="60">
        <f t="shared" si="4"/>
        <v>5000</v>
      </c>
      <c r="N19" s="60">
        <f>IFERROR(__xludf.DUMMYFUNCTION("IFERROR(VALUE(SUBSTITUTE(REGEXEXTRACT(Raw_Data!F19,""^\$([\d,]+) cash""),"","","""")),0)"),0.0)</f>
        <v>0</v>
      </c>
      <c r="O19" s="60">
        <f t="shared" si="5"/>
        <v>5000</v>
      </c>
      <c r="P19" s="60">
        <f>IFERROR(__xludf.DUMMYFUNCTION("IFERROR(VALUE(SUBSTITUTE(REGEXEXTRACT(Raw_Data!J19,""labour \d+ h at \$\d+/h: \$([\d,]+)""),"","","""")),0)"),0.0)</f>
        <v>0</v>
      </c>
      <c r="Q19" s="60">
        <f t="shared" si="6"/>
        <v>5000</v>
      </c>
      <c r="R19" s="60" t="str">
        <f t="array" ref="R19">IF(INDEX(Rules!$B$2:$B$60,$D19)="","",INDEX(Rules!$B$2:$B$60,$D19))</f>
        <v>Accounts Payable</v>
      </c>
      <c r="S19" s="60" t="str">
        <f t="array" ref="S19">IF(INDEX(Rules!$E$2:$E$60,$D19)="","",INDEX(Rules!$E$2:$E$60,$D19))</f>
        <v/>
      </c>
      <c r="T19" s="60" t="str">
        <f t="array" ref="T19">IF(INDEX(Rules!$H$2:$H$60,$D19)="","",INDEX(Rules!$H$2:$H$60,$D19))</f>
        <v/>
      </c>
      <c r="U19" s="60" t="str">
        <f t="array" ref="U19">IF(INDEX(Rules!$C$2:$C$60,$D19)="","",INDEX(Rules!$C$2:$C$60,$D19))</f>
        <v>Cash</v>
      </c>
      <c r="V19" s="60" t="str">
        <f t="array" ref="V19">IF(INDEX(Rules!$F$2:$F$60,$D19)="","",INDEX(Rules!$F$2:$F$60,$D19))</f>
        <v/>
      </c>
      <c r="W19" s="60" t="str">
        <f t="array" ref="W19">IF(INDEX(Rules!$I$2:$I$60,$D19)="","",INDEX(Rules!$I$2:$I$60,$D19))</f>
        <v/>
      </c>
      <c r="X19" s="60">
        <f t="array" ref="X19">IF(R19="","",INDEX($F19:$Q19,MATCH(INDEX(Rules!$D$2:$D$60,$D19),$F$1:$Q$1,0)))</f>
        <v>5000</v>
      </c>
      <c r="Y19" s="60" t="str">
        <f t="array" ref="Y19">IF(S19="","",INDEX($F19:$Q19,MATCH(INDEX(Rules!$G$2:$G$60,$D19),$F$1:$Q$1,0)))</f>
        <v/>
      </c>
      <c r="Z19" s="60" t="str">
        <f t="array" ref="Z19">IF(T19="","",INDEX($F19:$Q19,MATCH(INDEX(Rules!$J$2:$J$60,$D19),$F$1:$Q$1,0)))</f>
        <v/>
      </c>
      <c r="AA19" s="60" t="str">
        <f t="array" ref="AA19">IF(INDEX(Rules!$K$2:$K$60,$D19)="","",INDEX(Rules!$K$2:$K$60,$D19))</f>
        <v>paying off the card, not a new expense</v>
      </c>
      <c r="AB19" s="60" t="str">
        <f>IF(SUMPRODUCT((R19:W19&lt;&gt;"")*(ISNUMBER(SEARCH(Raw_Data!E19,R19:W19))+ISNUMBER(SEARCH(R19:W19,Raw_Data!E19))))&gt;0,"OK","CHECK")</f>
        <v>CHECK</v>
      </c>
    </row>
    <row r="20">
      <c r="A20" s="60" t="str">
        <f>Raw_Data!A20</f>
        <v>VVV-2024-019</v>
      </c>
      <c r="B20" s="60">
        <f>Raw_Data!D20</f>
        <v>600</v>
      </c>
      <c r="C20" s="60" t="str">
        <f>LOWER(Raw_Data!C20&amp;" | "&amp;Raw_Data!F20)</f>
        <v>monthly business insurance premium | automatic bank transfer; settled</v>
      </c>
      <c r="D20" s="60">
        <f t="array" ref="D20">MATCH(1,ISNUMBER(SEARCH(Rules!$A$2:$A$60,C20))*(Rules!$A$2:$A$60&lt;&gt;""),0)</f>
        <v>20</v>
      </c>
      <c r="E20" s="60" t="str">
        <f t="array" ref="E20">INDEX(Rules!$A$2:$A$60,D20)</f>
        <v>insurance</v>
      </c>
      <c r="F20" s="60">
        <f t="shared" si="1"/>
        <v>600</v>
      </c>
      <c r="G20" s="60">
        <f>IFERROR(__xludf.DUMMYFUNCTION("IFERROR(VALUE(SUBSTITUTE(REGEXEXTRACT(Raw_Data!J20,""Cost of goods sold: \$([\d,]+)""),"","","""")),0)"),0.0)</f>
        <v>0</v>
      </c>
      <c r="H20" s="60">
        <f>IFERROR(__xludf.DUMMYFUNCTION("IFERROR(VALUE(SUBSTITUTE(REGEXEXTRACT(Raw_Data!J20,""withheld a \$([\d,]+) fee""),"","","""")),0)"),0.0)</f>
        <v>0</v>
      </c>
      <c r="I20" s="60">
        <f t="shared" si="2"/>
        <v>600</v>
      </c>
      <c r="J20" s="60">
        <f>IFERROR(__xludf.DUMMYFUNCTION("IFERROR(VALUE(SUBSTITUTE(REGEXEXTRACT(Raw_Data!J20,""(?i)interest \$([\d,]+)""),"","","""")),0)"),0.0)</f>
        <v>0</v>
      </c>
      <c r="K20" s="60">
        <f t="shared" si="3"/>
        <v>600</v>
      </c>
      <c r="L20" s="60">
        <f>IFERROR(__xludf.DUMMYFUNCTION("IFERROR(VALUE(SUBSTITUTE(REGEXEXTRACT(Raw_Data!F20,""\$([\d,]+) prior deposit applied""),"","","""")),0)"),0.0)</f>
        <v>0</v>
      </c>
      <c r="M20" s="60">
        <f t="shared" si="4"/>
        <v>600</v>
      </c>
      <c r="N20" s="60">
        <f>IFERROR(__xludf.DUMMYFUNCTION("IFERROR(VALUE(SUBSTITUTE(REGEXEXTRACT(Raw_Data!F20,""^\$([\d,]+) cash""),"","","""")),0)"),0.0)</f>
        <v>0</v>
      </c>
      <c r="O20" s="60">
        <f t="shared" si="5"/>
        <v>600</v>
      </c>
      <c r="P20" s="60">
        <f>IFERROR(__xludf.DUMMYFUNCTION("IFERROR(VALUE(SUBSTITUTE(REGEXEXTRACT(Raw_Data!J20,""labour \d+ h at \$\d+/h: \$([\d,]+)""),"","","""")),0)"),0.0)</f>
        <v>0</v>
      </c>
      <c r="Q20" s="60">
        <f t="shared" si="6"/>
        <v>600</v>
      </c>
      <c r="R20" s="60" t="str">
        <f t="array" ref="R20">IF(INDEX(Rules!$B$2:$B$60,$D20)="","",INDEX(Rules!$B$2:$B$60,$D20))</f>
        <v>Insurance Expense</v>
      </c>
      <c r="S20" s="60" t="str">
        <f t="array" ref="S20">IF(INDEX(Rules!$E$2:$E$60,$D20)="","",INDEX(Rules!$E$2:$E$60,$D20))</f>
        <v/>
      </c>
      <c r="T20" s="60" t="str">
        <f t="array" ref="T20">IF(INDEX(Rules!$H$2:$H$60,$D20)="","",INDEX(Rules!$H$2:$H$60,$D20))</f>
        <v/>
      </c>
      <c r="U20" s="60" t="str">
        <f t="array" ref="U20">IF(INDEX(Rules!$C$2:$C$60,$D20)="","",INDEX(Rules!$C$2:$C$60,$D20))</f>
        <v>Cash</v>
      </c>
      <c r="V20" s="60" t="str">
        <f t="array" ref="V20">IF(INDEX(Rules!$F$2:$F$60,$D20)="","",INDEX(Rules!$F$2:$F$60,$D20))</f>
        <v/>
      </c>
      <c r="W20" s="60" t="str">
        <f t="array" ref="W20">IF(INDEX(Rules!$I$2:$I$60,$D20)="","",INDEX(Rules!$I$2:$I$60,$D20))</f>
        <v/>
      </c>
      <c r="X20" s="60">
        <f t="array" ref="X20">IF(R20="","",INDEX($F20:$Q20,MATCH(INDEX(Rules!$D$2:$D$60,$D20),$F$1:$Q$1,0)))</f>
        <v>600</v>
      </c>
      <c r="Y20" s="60" t="str">
        <f t="array" ref="Y20">IF(S20="","",INDEX($F20:$Q20,MATCH(INDEX(Rules!$G$2:$G$60,$D20),$F$1:$Q$1,0)))</f>
        <v/>
      </c>
      <c r="Z20" s="60" t="str">
        <f t="array" ref="Z20">IF(T20="","",INDEX($F20:$Q20,MATCH(INDEX(Rules!$J$2:$J$60,$D20),$F$1:$Q$1,0)))</f>
        <v/>
      </c>
      <c r="AA20" s="60" t="str">
        <f t="array" ref="AA20">IF(INDEX(Rules!$K$2:$K$60,$D20)="","",INDEX(Rules!$K$2:$K$60,$D20))</f>
        <v>monthly insurance</v>
      </c>
      <c r="AB20" s="60" t="str">
        <f>IF(SUMPRODUCT((R20:W20&lt;&gt;"")*(ISNUMBER(SEARCH(Raw_Data!E20,R20:W20))+ISNUMBER(SEARCH(R20:W20,Raw_Data!E20))))&gt;0,"OK","CHECK")</f>
        <v>OK</v>
      </c>
    </row>
    <row r="21">
      <c r="A21" s="60" t="str">
        <f>Raw_Data!A21</f>
        <v>VVV-2024-020</v>
      </c>
      <c r="B21" s="60">
        <f>Raw_Data!D21</f>
        <v>5500</v>
      </c>
      <c r="C21" s="60" t="str">
        <f>LOWER(Raw_Data!C21&amp;" | "&amp;Raw_Data!F21)</f>
        <v>equipment rental receipts batch | cash and card receipts; settled</v>
      </c>
      <c r="D21" s="60">
        <f t="array" ref="D21">MATCH(1,ISNUMBER(SEARCH(Rules!$A$2:$A$60,C21))*(Rules!$A$2:$A$60&lt;&gt;""),0)</f>
        <v>26</v>
      </c>
      <c r="E21" s="60" t="str">
        <f t="array" ref="E21">INDEX(Rules!$A$2:$A$60,D21)</f>
        <v>rental receipts</v>
      </c>
      <c r="F21" s="60">
        <f t="shared" si="1"/>
        <v>5500</v>
      </c>
      <c r="G21" s="60">
        <f>IFERROR(__xludf.DUMMYFUNCTION("IFERROR(VALUE(SUBSTITUTE(REGEXEXTRACT(Raw_Data!J21,""Cost of goods sold: \$([\d,]+)""),"","","""")),0)"),0.0)</f>
        <v>0</v>
      </c>
      <c r="H21" s="60">
        <f>IFERROR(__xludf.DUMMYFUNCTION("IFERROR(VALUE(SUBSTITUTE(REGEXEXTRACT(Raw_Data!J21,""withheld a \$([\d,]+) fee""),"","","""")),0)"),0.0)</f>
        <v>0</v>
      </c>
      <c r="I21" s="60">
        <f t="shared" si="2"/>
        <v>5500</v>
      </c>
      <c r="J21" s="60">
        <f>IFERROR(__xludf.DUMMYFUNCTION("IFERROR(VALUE(SUBSTITUTE(REGEXEXTRACT(Raw_Data!J21,""(?i)interest \$([\d,]+)""),"","","""")),0)"),0.0)</f>
        <v>0</v>
      </c>
      <c r="K21" s="60">
        <f t="shared" si="3"/>
        <v>5500</v>
      </c>
      <c r="L21" s="60">
        <f>IFERROR(__xludf.DUMMYFUNCTION("IFERROR(VALUE(SUBSTITUTE(REGEXEXTRACT(Raw_Data!F21,""\$([\d,]+) prior deposit applied""),"","","""")),0)"),0.0)</f>
        <v>0</v>
      </c>
      <c r="M21" s="60">
        <f t="shared" si="4"/>
        <v>5500</v>
      </c>
      <c r="N21" s="60">
        <f>IFERROR(__xludf.DUMMYFUNCTION("IFERROR(VALUE(SUBSTITUTE(REGEXEXTRACT(Raw_Data!F21,""^\$([\d,]+) cash""),"","","""")),0)"),0.0)</f>
        <v>0</v>
      </c>
      <c r="O21" s="60">
        <f t="shared" si="5"/>
        <v>5500</v>
      </c>
      <c r="P21" s="60">
        <f>IFERROR(__xludf.DUMMYFUNCTION("IFERROR(VALUE(SUBSTITUTE(REGEXEXTRACT(Raw_Data!J21,""labour \d+ h at \$\d+/h: \$([\d,]+)""),"","","""")),0)"),0.0)</f>
        <v>0</v>
      </c>
      <c r="Q21" s="60">
        <f t="shared" si="6"/>
        <v>5500</v>
      </c>
      <c r="R21" s="60" t="str">
        <f t="array" ref="R21">IF(INDEX(Rules!$B$2:$B$60,$D21)="","",INDEX(Rules!$B$2:$B$60,$D21))</f>
        <v>Cash</v>
      </c>
      <c r="S21" s="60" t="str">
        <f t="array" ref="S21">IF(INDEX(Rules!$E$2:$E$60,$D21)="","",INDEX(Rules!$E$2:$E$60,$D21))</f>
        <v/>
      </c>
      <c r="T21" s="60" t="str">
        <f t="array" ref="T21">IF(INDEX(Rules!$H$2:$H$60,$D21)="","",INDEX(Rules!$H$2:$H$60,$D21))</f>
        <v/>
      </c>
      <c r="U21" s="60" t="str">
        <f t="array" ref="U21">IF(INDEX(Rules!$C$2:$C$60,$D21)="","",INDEX(Rules!$C$2:$C$60,$D21))</f>
        <v>Equipment Rental Revenue</v>
      </c>
      <c r="V21" s="60" t="str">
        <f t="array" ref="V21">IF(INDEX(Rules!$F$2:$F$60,$D21)="","",INDEX(Rules!$F$2:$F$60,$D21))</f>
        <v/>
      </c>
      <c r="W21" s="60" t="str">
        <f t="array" ref="W21">IF(INDEX(Rules!$I$2:$I$60,$D21)="","",INDEX(Rules!$I$2:$I$60,$D21))</f>
        <v/>
      </c>
      <c r="X21" s="60">
        <f t="array" ref="X21">IF(R21="","",INDEX($F21:$Q21,MATCH(INDEX(Rules!$D$2:$D$60,$D21),$F$1:$Q$1,0)))</f>
        <v>5500</v>
      </c>
      <c r="Y21" s="60" t="str">
        <f t="array" ref="Y21">IF(S21="","",INDEX($F21:$Q21,MATCH(INDEX(Rules!$G$2:$G$60,$D21),$F$1:$Q$1,0)))</f>
        <v/>
      </c>
      <c r="Z21" s="60" t="str">
        <f t="array" ref="Z21">IF(T21="","",INDEX($F21:$Q21,MATCH(INDEX(Rules!$J$2:$J$60,$D21),$F$1:$Q$1,0)))</f>
        <v/>
      </c>
      <c r="AA21" s="60" t="str">
        <f t="array" ref="AA21">IF(INDEX(Rules!$K$2:$K$60,$D21)="","",INDEX(Rules!$K$2:$K$60,$D21))</f>
        <v>rentals done and paid</v>
      </c>
      <c r="AB21" s="60" t="str">
        <f>IF(SUMPRODUCT((R21:W21&lt;&gt;"")*(ISNUMBER(SEARCH(Raw_Data!E21,R21:W21))+ISNUMBER(SEARCH(R21:W21,Raw_Data!E21))))&gt;0,"OK","CHECK")</f>
        <v>OK</v>
      </c>
    </row>
    <row r="22">
      <c r="A22" s="60" t="str">
        <f>Raw_Data!A22</f>
        <v>VVV-2024-021</v>
      </c>
      <c r="B22" s="60">
        <f>Raw_Data!D22</f>
        <v>4000</v>
      </c>
      <c r="C22" s="60" t="str">
        <f>LOWER(Raw_Data!C22&amp;" | "&amp;Raw_Data!F22)</f>
        <v>customer deposit for may corporate tour | bank transfer received; tour scheduled for may</v>
      </c>
      <c r="D22" s="60">
        <f t="array" ref="D22">MATCH(1,ISNUMBER(SEARCH(Rules!$A$2:$A$60,C22))*(Rules!$A$2:$A$60&lt;&gt;""),0)</f>
        <v>31</v>
      </c>
      <c r="E22" s="60" t="str">
        <f t="array" ref="E22">INDEX(Rules!$A$2:$A$60,D22)</f>
        <v>deposit</v>
      </c>
      <c r="F22" s="60">
        <f t="shared" si="1"/>
        <v>4000</v>
      </c>
      <c r="G22" s="60">
        <f>IFERROR(__xludf.DUMMYFUNCTION("IFERROR(VALUE(SUBSTITUTE(REGEXEXTRACT(Raw_Data!J22,""Cost of goods sold: \$([\d,]+)""),"","","""")),0)"),0.0)</f>
        <v>0</v>
      </c>
      <c r="H22" s="60">
        <f>IFERROR(__xludf.DUMMYFUNCTION("IFERROR(VALUE(SUBSTITUTE(REGEXEXTRACT(Raw_Data!J22,""withheld a \$([\d,]+) fee""),"","","""")),0)"),0.0)</f>
        <v>0</v>
      </c>
      <c r="I22" s="60">
        <f t="shared" si="2"/>
        <v>4000</v>
      </c>
      <c r="J22" s="60">
        <f>IFERROR(__xludf.DUMMYFUNCTION("IFERROR(VALUE(SUBSTITUTE(REGEXEXTRACT(Raw_Data!J22,""(?i)interest \$([\d,]+)""),"","","""")),0)"),0.0)</f>
        <v>0</v>
      </c>
      <c r="K22" s="60">
        <f t="shared" si="3"/>
        <v>4000</v>
      </c>
      <c r="L22" s="60">
        <f>IFERROR(__xludf.DUMMYFUNCTION("IFERROR(VALUE(SUBSTITUTE(REGEXEXTRACT(Raw_Data!F22,""\$([\d,]+) prior deposit applied""),"","","""")),0)"),0.0)</f>
        <v>0</v>
      </c>
      <c r="M22" s="60">
        <f t="shared" si="4"/>
        <v>4000</v>
      </c>
      <c r="N22" s="60">
        <f>IFERROR(__xludf.DUMMYFUNCTION("IFERROR(VALUE(SUBSTITUTE(REGEXEXTRACT(Raw_Data!F22,""^\$([\d,]+) cash""),"","","""")),0)"),0.0)</f>
        <v>0</v>
      </c>
      <c r="O22" s="60">
        <f t="shared" si="5"/>
        <v>4000</v>
      </c>
      <c r="P22" s="60">
        <f>IFERROR(__xludf.DUMMYFUNCTION("IFERROR(VALUE(SUBSTITUTE(REGEXEXTRACT(Raw_Data!J22,""labour \d+ h at \$\d+/h: \$([\d,]+)""),"","","""")),0)"),0.0)</f>
        <v>0</v>
      </c>
      <c r="Q22" s="60">
        <f t="shared" si="6"/>
        <v>4000</v>
      </c>
      <c r="R22" s="60" t="str">
        <f t="array" ref="R22">IF(INDEX(Rules!$B$2:$B$60,$D22)="","",INDEX(Rules!$B$2:$B$60,$D22))</f>
        <v>Cash</v>
      </c>
      <c r="S22" s="60" t="str">
        <f t="array" ref="S22">IF(INDEX(Rules!$E$2:$E$60,$D22)="","",INDEX(Rules!$E$2:$E$60,$D22))</f>
        <v/>
      </c>
      <c r="T22" s="60" t="str">
        <f t="array" ref="T22">IF(INDEX(Rules!$H$2:$H$60,$D22)="","",INDEX(Rules!$H$2:$H$60,$D22))</f>
        <v/>
      </c>
      <c r="U22" s="60" t="str">
        <f t="array" ref="U22">IF(INDEX(Rules!$C$2:$C$60,$D22)="","",INDEX(Rules!$C$2:$C$60,$D22))</f>
        <v>Unearned Revenue</v>
      </c>
      <c r="V22" s="60" t="str">
        <f t="array" ref="V22">IF(INDEX(Rules!$F$2:$F$60,$D22)="","",INDEX(Rules!$F$2:$F$60,$D22))</f>
        <v/>
      </c>
      <c r="W22" s="60" t="str">
        <f t="array" ref="W22">IF(INDEX(Rules!$I$2:$I$60,$D22)="","",INDEX(Rules!$I$2:$I$60,$D22))</f>
        <v/>
      </c>
      <c r="X22" s="60">
        <f t="array" ref="X22">IF(R22="","",INDEX($F22:$Q22,MATCH(INDEX(Rules!$D$2:$D$60,$D22),$F$1:$Q$1,0)))</f>
        <v>4000</v>
      </c>
      <c r="Y22" s="60" t="str">
        <f t="array" ref="Y22">IF(S22="","",INDEX($F22:$Q22,MATCH(INDEX(Rules!$G$2:$G$60,$D22),$F$1:$Q$1,0)))</f>
        <v/>
      </c>
      <c r="Z22" s="60" t="str">
        <f t="array" ref="Z22">IF(T22="","",INDEX($F22:$Q22,MATCH(INDEX(Rules!$J$2:$J$60,$D22),$F$1:$Q$1,0)))</f>
        <v/>
      </c>
      <c r="AA22" s="60" t="str">
        <f t="array" ref="AA22">IF(INDEX(Rules!$K$2:$K$60,$D22)="","",INDEX(Rules!$K$2:$K$60,$D22))</f>
        <v>paid before the service -&gt; not earned yet (unearned)</v>
      </c>
      <c r="AB22" s="60" t="str">
        <f>IF(SUMPRODUCT((R22:W22&lt;&gt;"")*(ISNUMBER(SEARCH(Raw_Data!E22,R22:W22))+ISNUMBER(SEARCH(R22:W22,Raw_Data!E22))))&gt;0,"OK","CHECK")</f>
        <v>CHECK</v>
      </c>
    </row>
    <row r="23">
      <c r="A23" s="60" t="str">
        <f>Raw_Data!A23</f>
        <v>VVV-2024-022</v>
      </c>
      <c r="B23" s="60">
        <f>Raw_Data!D23</f>
        <v>6000</v>
      </c>
      <c r="C23" s="60" t="str">
        <f>LOWER(Raw_Data!C23&amp;" | "&amp;Raw_Data!F23)</f>
        <v>purchased retail inventory on account | supplier invoice; payment by agreed instalments</v>
      </c>
      <c r="D23" s="60">
        <f t="array" ref="D23">MATCH(1,ISNUMBER(SEARCH(Rules!$A$2:$A$60,C23))*(Rules!$A$2:$A$60&lt;&gt;""),0)</f>
        <v>9</v>
      </c>
      <c r="E23" s="60" t="str">
        <f t="array" ref="E23">INDEX(Rules!$A$2:$A$60,D23)</f>
        <v>inventory on account</v>
      </c>
      <c r="F23" s="60">
        <f t="shared" si="1"/>
        <v>6000</v>
      </c>
      <c r="G23" s="60">
        <f>IFERROR(__xludf.DUMMYFUNCTION("IFERROR(VALUE(SUBSTITUTE(REGEXEXTRACT(Raw_Data!J23,""Cost of goods sold: \$([\d,]+)""),"","","""")),0)"),0.0)</f>
        <v>0</v>
      </c>
      <c r="H23" s="60">
        <f>IFERROR(__xludf.DUMMYFUNCTION("IFERROR(VALUE(SUBSTITUTE(REGEXEXTRACT(Raw_Data!J23,""withheld a \$([\d,]+) fee""),"","","""")),0)"),0.0)</f>
        <v>0</v>
      </c>
      <c r="I23" s="60">
        <f t="shared" si="2"/>
        <v>6000</v>
      </c>
      <c r="J23" s="60">
        <f>IFERROR(__xludf.DUMMYFUNCTION("IFERROR(VALUE(SUBSTITUTE(REGEXEXTRACT(Raw_Data!J23,""(?i)interest \$([\d,]+)""),"","","""")),0)"),0.0)</f>
        <v>0</v>
      </c>
      <c r="K23" s="60">
        <f t="shared" si="3"/>
        <v>6000</v>
      </c>
      <c r="L23" s="60">
        <f>IFERROR(__xludf.DUMMYFUNCTION("IFERROR(VALUE(SUBSTITUTE(REGEXEXTRACT(Raw_Data!F23,""\$([\d,]+) prior deposit applied""),"","","""")),0)"),0.0)</f>
        <v>0</v>
      </c>
      <c r="M23" s="60">
        <f t="shared" si="4"/>
        <v>6000</v>
      </c>
      <c r="N23" s="60">
        <f>IFERROR(__xludf.DUMMYFUNCTION("IFERROR(VALUE(SUBSTITUTE(REGEXEXTRACT(Raw_Data!F23,""^\$([\d,]+) cash""),"","","""")),0)"),0.0)</f>
        <v>0</v>
      </c>
      <c r="O23" s="60">
        <f t="shared" si="5"/>
        <v>6000</v>
      </c>
      <c r="P23" s="60">
        <f>IFERROR(__xludf.DUMMYFUNCTION("IFERROR(VALUE(SUBSTITUTE(REGEXEXTRACT(Raw_Data!J23,""labour \d+ h at \$\d+/h: \$([\d,]+)""),"","","""")),0)"),0.0)</f>
        <v>0</v>
      </c>
      <c r="Q23" s="60">
        <f t="shared" si="6"/>
        <v>6000</v>
      </c>
      <c r="R23" s="60" t="str">
        <f t="array" ref="R23">IF(INDEX(Rules!$B$2:$B$60,$D23)="","",INDEX(Rules!$B$2:$B$60,$D23))</f>
        <v>Inventory</v>
      </c>
      <c r="S23" s="60" t="str">
        <f t="array" ref="S23">IF(INDEX(Rules!$E$2:$E$60,$D23)="","",INDEX(Rules!$E$2:$E$60,$D23))</f>
        <v/>
      </c>
      <c r="T23" s="60" t="str">
        <f t="array" ref="T23">IF(INDEX(Rules!$H$2:$H$60,$D23)="","",INDEX(Rules!$H$2:$H$60,$D23))</f>
        <v/>
      </c>
      <c r="U23" s="60" t="str">
        <f t="array" ref="U23">IF(INDEX(Rules!$C$2:$C$60,$D23)="","",INDEX(Rules!$C$2:$C$60,$D23))</f>
        <v>Accounts Payable</v>
      </c>
      <c r="V23" s="60" t="str">
        <f t="array" ref="V23">IF(INDEX(Rules!$F$2:$F$60,$D23)="","",INDEX(Rules!$F$2:$F$60,$D23))</f>
        <v/>
      </c>
      <c r="W23" s="60" t="str">
        <f t="array" ref="W23">IF(INDEX(Rules!$I$2:$I$60,$D23)="","",INDEX(Rules!$I$2:$I$60,$D23))</f>
        <v/>
      </c>
      <c r="X23" s="60">
        <f t="array" ref="X23">IF(R23="","",INDEX($F23:$Q23,MATCH(INDEX(Rules!$D$2:$D$60,$D23),$F$1:$Q$1,0)))</f>
        <v>6000</v>
      </c>
      <c r="Y23" s="60" t="str">
        <f t="array" ref="Y23">IF(S23="","",INDEX($F23:$Q23,MATCH(INDEX(Rules!$G$2:$G$60,$D23),$F$1:$Q$1,0)))</f>
        <v/>
      </c>
      <c r="Z23" s="60" t="str">
        <f t="array" ref="Z23">IF(T23="","",INDEX($F23:$Q23,MATCH(INDEX(Rules!$J$2:$J$60,$D23),$F$1:$Q$1,0)))</f>
        <v/>
      </c>
      <c r="AA23" s="60" t="str">
        <f t="array" ref="AA23">IF(INDEX(Rules!$K$2:$K$60,$D23)="","",INDEX(Rules!$K$2:$K$60,$D23))</f>
        <v>stuff to resell, bought on credit</v>
      </c>
      <c r="AB23" s="60" t="str">
        <f>IF(SUMPRODUCT((R23:W23&lt;&gt;"")*(ISNUMBER(SEARCH(Raw_Data!E23,R23:W23))+ISNUMBER(SEARCH(R23:W23,Raw_Data!E23))))&gt;0,"OK","CHECK")</f>
        <v>CHECK</v>
      </c>
    </row>
    <row r="24">
      <c r="A24" s="60" t="str">
        <f>Raw_Data!A24</f>
        <v>VVV-2024-023</v>
      </c>
      <c r="B24" s="60">
        <f>Raw_Data!D24</f>
        <v>4000</v>
      </c>
      <c r="C24" s="60" t="str">
        <f>LOWER(Raw_Data!C24&amp;" | "&amp;Raw_Data!F24)</f>
        <v>retail camping-supply sales | cash and card receipts; settled</v>
      </c>
      <c r="D24" s="60">
        <f t="array" ref="D24">MATCH(1,ISNUMBER(SEARCH(Rules!$A$2:$A$60,C24))*(Rules!$A$2:$A$60&lt;&gt;""),0)</f>
        <v>12</v>
      </c>
      <c r="E24" s="60" t="str">
        <f t="array" ref="E24">INDEX(Rules!$A$2:$A$60,D24)</f>
        <v>camping-supply sales</v>
      </c>
      <c r="F24" s="60">
        <f t="shared" si="1"/>
        <v>4000</v>
      </c>
      <c r="G24" s="60">
        <f>IFERROR(__xludf.DUMMYFUNCTION("IFERROR(VALUE(SUBSTITUTE(REGEXEXTRACT(Raw_Data!J24,""Cost of goods sold: \$([\d,]+)""),"","","""")),0)"),2400.0)</f>
        <v>2400</v>
      </c>
      <c r="H24" s="60">
        <f>IFERROR(__xludf.DUMMYFUNCTION("IFERROR(VALUE(SUBSTITUTE(REGEXEXTRACT(Raw_Data!J24,""withheld a \$([\d,]+) fee""),"","","""")),0)"),0.0)</f>
        <v>0</v>
      </c>
      <c r="I24" s="60">
        <f t="shared" si="2"/>
        <v>4000</v>
      </c>
      <c r="J24" s="60">
        <f>IFERROR(__xludf.DUMMYFUNCTION("IFERROR(VALUE(SUBSTITUTE(REGEXEXTRACT(Raw_Data!J24,""(?i)interest \$([\d,]+)""),"","","""")),0)"),0.0)</f>
        <v>0</v>
      </c>
      <c r="K24" s="60">
        <f t="shared" si="3"/>
        <v>4000</v>
      </c>
      <c r="L24" s="60">
        <f>IFERROR(__xludf.DUMMYFUNCTION("IFERROR(VALUE(SUBSTITUTE(REGEXEXTRACT(Raw_Data!F24,""\$([\d,]+) prior deposit applied""),"","","""")),0)"),0.0)</f>
        <v>0</v>
      </c>
      <c r="M24" s="60">
        <f t="shared" si="4"/>
        <v>4000</v>
      </c>
      <c r="N24" s="60">
        <f>IFERROR(__xludf.DUMMYFUNCTION("IFERROR(VALUE(SUBSTITUTE(REGEXEXTRACT(Raw_Data!F24,""^\$([\d,]+) cash""),"","","""")),0)"),0.0)</f>
        <v>0</v>
      </c>
      <c r="O24" s="60">
        <f t="shared" si="5"/>
        <v>4000</v>
      </c>
      <c r="P24" s="60">
        <f>IFERROR(__xludf.DUMMYFUNCTION("IFERROR(VALUE(SUBSTITUTE(REGEXEXTRACT(Raw_Data!J24,""labour \d+ h at \$\d+/h: \$([\d,]+)""),"","","""")),0)"),0.0)</f>
        <v>0</v>
      </c>
      <c r="Q24" s="60">
        <f t="shared" si="6"/>
        <v>4000</v>
      </c>
      <c r="R24" s="60" t="str">
        <f t="array" ref="R24">IF(INDEX(Rules!$B$2:$B$60,$D24)="","",INDEX(Rules!$B$2:$B$60,$D24))</f>
        <v>Cash</v>
      </c>
      <c r="S24" s="60" t="str">
        <f t="array" ref="S24">IF(INDEX(Rules!$E$2:$E$60,$D24)="","",INDEX(Rules!$E$2:$E$60,$D24))</f>
        <v>Cost of Goods Sold</v>
      </c>
      <c r="T24" s="60" t="str">
        <f t="array" ref="T24">IF(INDEX(Rules!$H$2:$H$60,$D24)="","",INDEX(Rules!$H$2:$H$60,$D24))</f>
        <v/>
      </c>
      <c r="U24" s="60" t="str">
        <f t="array" ref="U24">IF(INDEX(Rules!$C$2:$C$60,$D24)="","",INDEX(Rules!$C$2:$C$60,$D24))</f>
        <v>Retail Sales Revenue</v>
      </c>
      <c r="V24" s="60" t="str">
        <f t="array" ref="V24">IF(INDEX(Rules!$F$2:$F$60,$D24)="","",INDEX(Rules!$F$2:$F$60,$D24))</f>
        <v>Inventory</v>
      </c>
      <c r="W24" s="60" t="str">
        <f t="array" ref="W24">IF(INDEX(Rules!$I$2:$I$60,$D24)="","",INDEX(Rules!$I$2:$I$60,$D24))</f>
        <v/>
      </c>
      <c r="X24" s="60">
        <f t="array" ref="X24">IF(R24="","",INDEX($F24:$Q24,MATCH(INDEX(Rules!$D$2:$D$60,$D24),$F$1:$Q$1,0)))</f>
        <v>4000</v>
      </c>
      <c r="Y24" s="60">
        <f t="array" ref="Y24">IF(S24="","",INDEX($F24:$Q24,MATCH(INDEX(Rules!$G$2:$G$60,$D24),$F$1:$Q$1,0)))</f>
        <v>2400</v>
      </c>
      <c r="Z24" s="60" t="str">
        <f t="array" ref="Z24">IF(T24="","",INDEX($F24:$Q24,MATCH(INDEX(Rules!$J$2:$J$60,$D24),$F$1:$Q$1,0)))</f>
        <v/>
      </c>
      <c r="AA24" s="60" t="str">
        <f t="array" ref="AA24">IF(INDEX(Rules!$K$2:$K$60,$D24)="","",INDEX(Rules!$K$2:$K$60,$D24))</f>
        <v>sale + cost of the goods comes out of inventory (COGS)</v>
      </c>
      <c r="AB24" s="60" t="str">
        <f>IF(SUMPRODUCT((R24:W24&lt;&gt;"")*(ISNUMBER(SEARCH(Raw_Data!E24,R24:W24))+ISNUMBER(SEARCH(R24:W24,Raw_Data!E24))))&gt;0,"OK","CHECK")</f>
        <v>OK</v>
      </c>
    </row>
    <row r="25">
      <c r="A25" s="60" t="str">
        <f>Raw_Data!A25</f>
        <v>VVV-2024-024</v>
      </c>
      <c r="B25" s="60">
        <f>Raw_Data!D25</f>
        <v>3500</v>
      </c>
      <c r="C25" s="60" t="str">
        <f>LOWER(Raw_Data!C25&amp;" | "&amp;Raw_Data!F25)</f>
        <v>guided tour revenue | cash and card receipts; settled</v>
      </c>
      <c r="D25" s="60">
        <f t="array" ref="D25">MATCH(1,ISNUMBER(SEARCH(Rules!$A$2:$A$60,C25))*(Rules!$A$2:$A$60&lt;&gt;""),0)</f>
        <v>32</v>
      </c>
      <c r="E25" s="60" t="str">
        <f t="array" ref="E25">INDEX(Rules!$A$2:$A$60,D25)</f>
        <v>tour revenue</v>
      </c>
      <c r="F25" s="60">
        <f t="shared" si="1"/>
        <v>3500</v>
      </c>
      <c r="G25" s="60">
        <f>IFERROR(__xludf.DUMMYFUNCTION("IFERROR(VALUE(SUBSTITUTE(REGEXEXTRACT(Raw_Data!J25,""Cost of goods sold: \$([\d,]+)""),"","","""")),0)"),0.0)</f>
        <v>0</v>
      </c>
      <c r="H25" s="60">
        <f>IFERROR(__xludf.DUMMYFUNCTION("IFERROR(VALUE(SUBSTITUTE(REGEXEXTRACT(Raw_Data!J25,""withheld a \$([\d,]+) fee""),"","","""")),0)"),0.0)</f>
        <v>0</v>
      </c>
      <c r="I25" s="60">
        <f t="shared" si="2"/>
        <v>3500</v>
      </c>
      <c r="J25" s="60">
        <f>IFERROR(__xludf.DUMMYFUNCTION("IFERROR(VALUE(SUBSTITUTE(REGEXEXTRACT(Raw_Data!J25,""(?i)interest \$([\d,]+)""),"","","""")),0)"),0.0)</f>
        <v>0</v>
      </c>
      <c r="K25" s="60">
        <f t="shared" si="3"/>
        <v>3500</v>
      </c>
      <c r="L25" s="60">
        <f>IFERROR(__xludf.DUMMYFUNCTION("IFERROR(VALUE(SUBSTITUTE(REGEXEXTRACT(Raw_Data!F25,""\$([\d,]+) prior deposit applied""),"","","""")),0)"),0.0)</f>
        <v>0</v>
      </c>
      <c r="M25" s="60">
        <f t="shared" si="4"/>
        <v>3500</v>
      </c>
      <c r="N25" s="60">
        <f>IFERROR(__xludf.DUMMYFUNCTION("IFERROR(VALUE(SUBSTITUTE(REGEXEXTRACT(Raw_Data!F25,""^\$([\d,]+) cash""),"","","""")),0)"),0.0)</f>
        <v>0</v>
      </c>
      <c r="O25" s="60">
        <f t="shared" si="5"/>
        <v>3500</v>
      </c>
      <c r="P25" s="60">
        <f>IFERROR(__xludf.DUMMYFUNCTION("IFERROR(VALUE(SUBSTITUTE(REGEXEXTRACT(Raw_Data!J25,""labour \d+ h at \$\d+/h: \$([\d,]+)""),"","","""")),0)"),0.0)</f>
        <v>0</v>
      </c>
      <c r="Q25" s="60">
        <f t="shared" si="6"/>
        <v>3500</v>
      </c>
      <c r="R25" s="60" t="str">
        <f t="array" ref="R25">IF(INDEX(Rules!$B$2:$B$60,$D25)="","",INDEX(Rules!$B$2:$B$60,$D25))</f>
        <v>Cash</v>
      </c>
      <c r="S25" s="60" t="str">
        <f t="array" ref="S25">IF(INDEX(Rules!$E$2:$E$60,$D25)="","",INDEX(Rules!$E$2:$E$60,$D25))</f>
        <v/>
      </c>
      <c r="T25" s="60" t="str">
        <f t="array" ref="T25">IF(INDEX(Rules!$H$2:$H$60,$D25)="","",INDEX(Rules!$H$2:$H$60,$D25))</f>
        <v/>
      </c>
      <c r="U25" s="60" t="str">
        <f t="array" ref="U25">IF(INDEX(Rules!$C$2:$C$60,$D25)="","",INDEX(Rules!$C$2:$C$60,$D25))</f>
        <v>Tour Revenue</v>
      </c>
      <c r="V25" s="60" t="str">
        <f t="array" ref="V25">IF(INDEX(Rules!$F$2:$F$60,$D25)="","",INDEX(Rules!$F$2:$F$60,$D25))</f>
        <v/>
      </c>
      <c r="W25" s="60" t="str">
        <f t="array" ref="W25">IF(INDEX(Rules!$I$2:$I$60,$D25)="","",INDEX(Rules!$I$2:$I$60,$D25))</f>
        <v/>
      </c>
      <c r="X25" s="60">
        <f t="array" ref="X25">IF(R25="","",INDEX($F25:$Q25,MATCH(INDEX(Rules!$D$2:$D$60,$D25),$F$1:$Q$1,0)))</f>
        <v>3500</v>
      </c>
      <c r="Y25" s="60" t="str">
        <f t="array" ref="Y25">IF(S25="","",INDEX($F25:$Q25,MATCH(INDEX(Rules!$G$2:$G$60,$D25),$F$1:$Q$1,0)))</f>
        <v/>
      </c>
      <c r="Z25" s="60" t="str">
        <f t="array" ref="Z25">IF(T25="","",INDEX($F25:$Q25,MATCH(INDEX(Rules!$J$2:$J$60,$D25),$F$1:$Q$1,0)))</f>
        <v/>
      </c>
      <c r="AA25" s="60" t="str">
        <f t="array" ref="AA25">IF(INDEX(Rules!$K$2:$K$60,$D25)="","",INDEX(Rules!$K$2:$K$60,$D25))</f>
        <v>tours done and paid</v>
      </c>
      <c r="AB25" s="60" t="str">
        <f>IF(SUMPRODUCT((R25:W25&lt;&gt;"")*(ISNUMBER(SEARCH(Raw_Data!E25,R25:W25))+ISNUMBER(SEARCH(R25:W25,Raw_Data!E25))))&gt;0,"OK","CHECK")</f>
        <v>OK</v>
      </c>
    </row>
    <row r="26">
      <c r="A26" s="60" t="str">
        <f>Raw_Data!A26</f>
        <v>VVV-2024-025</v>
      </c>
      <c r="B26" s="60">
        <f>Raw_Data!D26</f>
        <v>8200</v>
      </c>
      <c r="C26" s="60" t="str">
        <f>LOWER(Raw_Data!C26&amp;" | "&amp;Raw_Data!F26)</f>
        <v>employee payroll settlement | payroll and claims paid from business bank account</v>
      </c>
      <c r="D26" s="60">
        <f t="array" ref="D26">MATCH(1,ISNUMBER(SEARCH(Rules!$A$2:$A$60,C26))*(Rules!$A$2:$A$60&lt;&gt;""),0)</f>
        <v>23</v>
      </c>
      <c r="E26" s="60" t="str">
        <f t="array" ref="E26">INDEX(Rules!$A$2:$A$60,D26)</f>
        <v>payroll</v>
      </c>
      <c r="F26" s="60">
        <f t="shared" si="1"/>
        <v>8200</v>
      </c>
      <c r="G26" s="60">
        <f>IFERROR(__xludf.DUMMYFUNCTION("IFERROR(VALUE(SUBSTITUTE(REGEXEXTRACT(Raw_Data!J26,""Cost of goods sold: \$([\d,]+)""),"","","""")),0)"),0.0)</f>
        <v>0</v>
      </c>
      <c r="H26" s="60">
        <f>IFERROR(__xludf.DUMMYFUNCTION("IFERROR(VALUE(SUBSTITUTE(REGEXEXTRACT(Raw_Data!J26,""withheld a \$([\d,]+) fee""),"","","""")),0)"),0.0)</f>
        <v>0</v>
      </c>
      <c r="I26" s="60">
        <f t="shared" si="2"/>
        <v>8200</v>
      </c>
      <c r="J26" s="60">
        <f>IFERROR(__xludf.DUMMYFUNCTION("IFERROR(VALUE(SUBSTITUTE(REGEXEXTRACT(Raw_Data!J26,""(?i)interest \$([\d,]+)""),"","","""")),0)"),0.0)</f>
        <v>0</v>
      </c>
      <c r="K26" s="60">
        <f t="shared" si="3"/>
        <v>8200</v>
      </c>
      <c r="L26" s="60">
        <f>IFERROR(__xludf.DUMMYFUNCTION("IFERROR(VALUE(SUBSTITUTE(REGEXEXTRACT(Raw_Data!F26,""\$([\d,]+) prior deposit applied""),"","","""")),0)"),0.0)</f>
        <v>0</v>
      </c>
      <c r="M26" s="60">
        <f t="shared" si="4"/>
        <v>8200</v>
      </c>
      <c r="N26" s="60">
        <f>IFERROR(__xludf.DUMMYFUNCTION("IFERROR(VALUE(SUBSTITUTE(REGEXEXTRACT(Raw_Data!F26,""^\$([\d,]+) cash""),"","","""")),0)"),0.0)</f>
        <v>0</v>
      </c>
      <c r="O26" s="60">
        <f t="shared" si="5"/>
        <v>8200</v>
      </c>
      <c r="P26" s="60">
        <f>IFERROR(__xludf.DUMMYFUNCTION("IFERROR(VALUE(SUBSTITUTE(REGEXEXTRACT(Raw_Data!J26,""labour \d+ h at \$\d+/h: \$([\d,]+)""),"","","""")),0)"),0.0)</f>
        <v>0</v>
      </c>
      <c r="Q26" s="60">
        <f t="shared" si="6"/>
        <v>8200</v>
      </c>
      <c r="R26" s="60" t="str">
        <f t="array" ref="R26">IF(INDEX(Rules!$B$2:$B$60,$D26)="","",INDEX(Rules!$B$2:$B$60,$D26))</f>
        <v>Wages Expense</v>
      </c>
      <c r="S26" s="60" t="str">
        <f t="array" ref="S26">IF(INDEX(Rules!$E$2:$E$60,$D26)="","",INDEX(Rules!$E$2:$E$60,$D26))</f>
        <v/>
      </c>
      <c r="T26" s="60" t="str">
        <f t="array" ref="T26">IF(INDEX(Rules!$H$2:$H$60,$D26)="","",INDEX(Rules!$H$2:$H$60,$D26))</f>
        <v/>
      </c>
      <c r="U26" s="60" t="str">
        <f t="array" ref="U26">IF(INDEX(Rules!$C$2:$C$60,$D26)="","",INDEX(Rules!$C$2:$C$60,$D26))</f>
        <v>Cash</v>
      </c>
      <c r="V26" s="60" t="str">
        <f t="array" ref="V26">IF(INDEX(Rules!$F$2:$F$60,$D26)="","",INDEX(Rules!$F$2:$F$60,$D26))</f>
        <v/>
      </c>
      <c r="W26" s="60" t="str">
        <f t="array" ref="W26">IF(INDEX(Rules!$I$2:$I$60,$D26)="","",INDEX(Rules!$I$2:$I$60,$D26))</f>
        <v/>
      </c>
      <c r="X26" s="60">
        <f t="array" ref="X26">IF(R26="","",INDEX($F26:$Q26,MATCH(INDEX(Rules!$D$2:$D$60,$D26),$F$1:$Q$1,0)))</f>
        <v>8200</v>
      </c>
      <c r="Y26" s="60" t="str">
        <f t="array" ref="Y26">IF(S26="","",INDEX($F26:$Q26,MATCH(INDEX(Rules!$G$2:$G$60,$D26),$F$1:$Q$1,0)))</f>
        <v/>
      </c>
      <c r="Z26" s="60" t="str">
        <f t="array" ref="Z26">IF(T26="","",INDEX($F26:$Q26,MATCH(INDEX(Rules!$J$2:$J$60,$D26),$F$1:$Q$1,0)))</f>
        <v/>
      </c>
      <c r="AA26" s="60" t="str">
        <f t="array" ref="AA26">IF(INDEX(Rules!$K$2:$K$60,$D26)="","",INDEX(Rules!$K$2:$K$60,$D26))</f>
        <v>wages, includes E04's $200 travel claim</v>
      </c>
      <c r="AB26" s="60" t="str">
        <f>IF(SUMPRODUCT((R26:W26&lt;&gt;"")*(ISNUMBER(SEARCH(Raw_Data!E26,R26:W26))+ISNUMBER(SEARCH(R26:W26,Raw_Data!E26))))&gt;0,"OK","CHECK")</f>
        <v>OK</v>
      </c>
    </row>
    <row r="27">
      <c r="A27" s="60" t="str">
        <f>Raw_Data!A27</f>
        <v>VVV-2024-026</v>
      </c>
      <c r="B27" s="60">
        <f>Raw_Data!D27</f>
        <v>754</v>
      </c>
      <c r="C27" s="60" t="str">
        <f>LOWER(Raw_Data!C27&amp;" | "&amp;Raw_Data!F27)</f>
        <v>monthly utility settlement | paid from business bank account</v>
      </c>
      <c r="D27" s="60">
        <f t="array" ref="D27">MATCH(1,ISNUMBER(SEARCH(Rules!$A$2:$A$60,C27))*(Rules!$A$2:$A$60&lt;&gt;""),0)</f>
        <v>24</v>
      </c>
      <c r="E27" s="60" t="str">
        <f t="array" ref="E27">INDEX(Rules!$A$2:$A$60,D27)</f>
        <v>utility</v>
      </c>
      <c r="F27" s="60">
        <f t="shared" si="1"/>
        <v>754</v>
      </c>
      <c r="G27" s="60">
        <f>IFERROR(__xludf.DUMMYFUNCTION("IFERROR(VALUE(SUBSTITUTE(REGEXEXTRACT(Raw_Data!J27,""Cost of goods sold: \$([\d,]+)""),"","","""")),0)"),0.0)</f>
        <v>0</v>
      </c>
      <c r="H27" s="60">
        <f>IFERROR(__xludf.DUMMYFUNCTION("IFERROR(VALUE(SUBSTITUTE(REGEXEXTRACT(Raw_Data!J27,""withheld a \$([\d,]+) fee""),"","","""")),0)"),0.0)</f>
        <v>0</v>
      </c>
      <c r="I27" s="60">
        <f t="shared" si="2"/>
        <v>754</v>
      </c>
      <c r="J27" s="60">
        <f>IFERROR(__xludf.DUMMYFUNCTION("IFERROR(VALUE(SUBSTITUTE(REGEXEXTRACT(Raw_Data!J27,""(?i)interest \$([\d,]+)""),"","","""")),0)"),0.0)</f>
        <v>0</v>
      </c>
      <c r="K27" s="60">
        <f t="shared" si="3"/>
        <v>754</v>
      </c>
      <c r="L27" s="60">
        <f>IFERROR(__xludf.DUMMYFUNCTION("IFERROR(VALUE(SUBSTITUTE(REGEXEXTRACT(Raw_Data!F27,""\$([\d,]+) prior deposit applied""),"","","""")),0)"),0.0)</f>
        <v>0</v>
      </c>
      <c r="M27" s="60">
        <f t="shared" si="4"/>
        <v>754</v>
      </c>
      <c r="N27" s="60">
        <f>IFERROR(__xludf.DUMMYFUNCTION("IFERROR(VALUE(SUBSTITUTE(REGEXEXTRACT(Raw_Data!F27,""^\$([\d,]+) cash""),"","","""")),0)"),0.0)</f>
        <v>0</v>
      </c>
      <c r="O27" s="60">
        <f t="shared" si="5"/>
        <v>754</v>
      </c>
      <c r="P27" s="60">
        <f>IFERROR(__xludf.DUMMYFUNCTION("IFERROR(VALUE(SUBSTITUTE(REGEXEXTRACT(Raw_Data!J27,""labour \d+ h at \$\d+/h: \$([\d,]+)""),"","","""")),0)"),0.0)</f>
        <v>0</v>
      </c>
      <c r="Q27" s="60">
        <f t="shared" si="6"/>
        <v>754</v>
      </c>
      <c r="R27" s="60" t="str">
        <f t="array" ref="R27">IF(INDEX(Rules!$B$2:$B$60,$D27)="","",INDEX(Rules!$B$2:$B$60,$D27))</f>
        <v>Utilities Expense</v>
      </c>
      <c r="S27" s="60" t="str">
        <f t="array" ref="S27">IF(INDEX(Rules!$E$2:$E$60,$D27)="","",INDEX(Rules!$E$2:$E$60,$D27))</f>
        <v/>
      </c>
      <c r="T27" s="60" t="str">
        <f t="array" ref="T27">IF(INDEX(Rules!$H$2:$H$60,$D27)="","",INDEX(Rules!$H$2:$H$60,$D27))</f>
        <v/>
      </c>
      <c r="U27" s="60" t="str">
        <f t="array" ref="U27">IF(INDEX(Rules!$C$2:$C$60,$D27)="","",INDEX(Rules!$C$2:$C$60,$D27))</f>
        <v>Cash</v>
      </c>
      <c r="V27" s="60" t="str">
        <f t="array" ref="V27">IF(INDEX(Rules!$F$2:$F$60,$D27)="","",INDEX(Rules!$F$2:$F$60,$D27))</f>
        <v/>
      </c>
      <c r="W27" s="60" t="str">
        <f t="array" ref="W27">IF(INDEX(Rules!$I$2:$I$60,$D27)="","",INDEX(Rules!$I$2:$I$60,$D27))</f>
        <v/>
      </c>
      <c r="X27" s="60">
        <f t="array" ref="X27">IF(R27="","",INDEX($F27:$Q27,MATCH(INDEX(Rules!$D$2:$D$60,$D27),$F$1:$Q$1,0)))</f>
        <v>754</v>
      </c>
      <c r="Y27" s="60" t="str">
        <f t="array" ref="Y27">IF(S27="","",INDEX($F27:$Q27,MATCH(INDEX(Rules!$G$2:$G$60,$D27),$F$1:$Q$1,0)))</f>
        <v/>
      </c>
      <c r="Z27" s="60" t="str">
        <f t="array" ref="Z27">IF(T27="","",INDEX($F27:$Q27,MATCH(INDEX(Rules!$J$2:$J$60,$D27),$F$1:$Q$1,0)))</f>
        <v/>
      </c>
      <c r="AA27" s="60" t="str">
        <f t="array" ref="AA27">IF(INDEX(Rules!$K$2:$K$60,$D27)="","",INDEX(Rules!$K$2:$K$60,$D27))</f>
        <v>monthly utilities</v>
      </c>
      <c r="AB27" s="60" t="str">
        <f>IF(SUMPRODUCT((R27:W27&lt;&gt;"")*(ISNUMBER(SEARCH(Raw_Data!E27,R27:W27))+ISNUMBER(SEARCH(R27:W27,Raw_Data!E27))))&gt;0,"OK","CHECK")</f>
        <v>OK</v>
      </c>
    </row>
    <row r="28">
      <c r="A28" s="60" t="str">
        <f>Raw_Data!A28</f>
        <v>VVV-2024-027</v>
      </c>
      <c r="B28" s="60">
        <f>Raw_Data!D28</f>
        <v>5400</v>
      </c>
      <c r="C28" s="60" t="str">
        <f>LOWER(Raw_Data!C28&amp;" | "&amp;Raw_Data!F28)</f>
        <v>monthly facility rent | automatic bank transfer; settled</v>
      </c>
      <c r="D28" s="60">
        <f t="array" ref="D28">MATCH(1,ISNUMBER(SEARCH(Rules!$A$2:$A$60,C28))*(Rules!$A$2:$A$60&lt;&gt;""),0)</f>
        <v>15</v>
      </c>
      <c r="E28" s="60" t="str">
        <f t="array" ref="E28">INDEX(Rules!$A$2:$A$60,D28)</f>
        <v>facility rent</v>
      </c>
      <c r="F28" s="60">
        <f t="shared" si="1"/>
        <v>5400</v>
      </c>
      <c r="G28" s="60">
        <f>IFERROR(__xludf.DUMMYFUNCTION("IFERROR(VALUE(SUBSTITUTE(REGEXEXTRACT(Raw_Data!J28,""Cost of goods sold: \$([\d,]+)""),"","","""")),0)"),0.0)</f>
        <v>0</v>
      </c>
      <c r="H28" s="60">
        <f>IFERROR(__xludf.DUMMYFUNCTION("IFERROR(VALUE(SUBSTITUTE(REGEXEXTRACT(Raw_Data!J28,""withheld a \$([\d,]+) fee""),"","","""")),0)"),0.0)</f>
        <v>0</v>
      </c>
      <c r="I28" s="60">
        <f t="shared" si="2"/>
        <v>5400</v>
      </c>
      <c r="J28" s="60">
        <f>IFERROR(__xludf.DUMMYFUNCTION("IFERROR(VALUE(SUBSTITUTE(REGEXEXTRACT(Raw_Data!J28,""(?i)interest \$([\d,]+)""),"","","""")),0)"),0.0)</f>
        <v>0</v>
      </c>
      <c r="K28" s="60">
        <f t="shared" si="3"/>
        <v>5400</v>
      </c>
      <c r="L28" s="60">
        <f>IFERROR(__xludf.DUMMYFUNCTION("IFERROR(VALUE(SUBSTITUTE(REGEXEXTRACT(Raw_Data!F28,""\$([\d,]+) prior deposit applied""),"","","""")),0)"),0.0)</f>
        <v>0</v>
      </c>
      <c r="M28" s="60">
        <f t="shared" si="4"/>
        <v>5400</v>
      </c>
      <c r="N28" s="60">
        <f>IFERROR(__xludf.DUMMYFUNCTION("IFERROR(VALUE(SUBSTITUTE(REGEXEXTRACT(Raw_Data!F28,""^\$([\d,]+) cash""),"","","""")),0)"),0.0)</f>
        <v>0</v>
      </c>
      <c r="O28" s="60">
        <f t="shared" si="5"/>
        <v>5400</v>
      </c>
      <c r="P28" s="60">
        <f>IFERROR(__xludf.DUMMYFUNCTION("IFERROR(VALUE(SUBSTITUTE(REGEXEXTRACT(Raw_Data!J28,""labour \d+ h at \$\d+/h: \$([\d,]+)""),"","","""")),0)"),0.0)</f>
        <v>0</v>
      </c>
      <c r="Q28" s="60">
        <f t="shared" si="6"/>
        <v>5400</v>
      </c>
      <c r="R28" s="60" t="str">
        <f t="array" ref="R28">IF(INDEX(Rules!$B$2:$B$60,$D28)="","",INDEX(Rules!$B$2:$B$60,$D28))</f>
        <v>Rent Expense</v>
      </c>
      <c r="S28" s="60" t="str">
        <f t="array" ref="S28">IF(INDEX(Rules!$E$2:$E$60,$D28)="","",INDEX(Rules!$E$2:$E$60,$D28))</f>
        <v/>
      </c>
      <c r="T28" s="60" t="str">
        <f t="array" ref="T28">IF(INDEX(Rules!$H$2:$H$60,$D28)="","",INDEX(Rules!$H$2:$H$60,$D28))</f>
        <v/>
      </c>
      <c r="U28" s="60" t="str">
        <f t="array" ref="U28">IF(INDEX(Rules!$C$2:$C$60,$D28)="","",INDEX(Rules!$C$2:$C$60,$D28))</f>
        <v>Cash</v>
      </c>
      <c r="V28" s="60" t="str">
        <f t="array" ref="V28">IF(INDEX(Rules!$F$2:$F$60,$D28)="","",INDEX(Rules!$F$2:$F$60,$D28))</f>
        <v/>
      </c>
      <c r="W28" s="60" t="str">
        <f t="array" ref="W28">IF(INDEX(Rules!$I$2:$I$60,$D28)="","",INDEX(Rules!$I$2:$I$60,$D28))</f>
        <v/>
      </c>
      <c r="X28" s="60">
        <f t="array" ref="X28">IF(R28="","",INDEX($F28:$Q28,MATCH(INDEX(Rules!$D$2:$D$60,$D28),$F$1:$Q$1,0)))</f>
        <v>5400</v>
      </c>
      <c r="Y28" s="60" t="str">
        <f t="array" ref="Y28">IF(S28="","",INDEX($F28:$Q28,MATCH(INDEX(Rules!$G$2:$G$60,$D28),$F$1:$Q$1,0)))</f>
        <v/>
      </c>
      <c r="Z28" s="60" t="str">
        <f t="array" ref="Z28">IF(T28="","",INDEX($F28:$Q28,MATCH(INDEX(Rules!$J$2:$J$60,$D28),$F$1:$Q$1,0)))</f>
        <v/>
      </c>
      <c r="AA28" s="60" t="str">
        <f t="array" ref="AA28">IF(INDEX(Rules!$K$2:$K$60,$D28)="","",INDEX(Rules!$K$2:$K$60,$D28))</f>
        <v>monthly rent</v>
      </c>
      <c r="AB28" s="60" t="str">
        <f>IF(SUMPRODUCT((R28:W28&lt;&gt;"")*(ISNUMBER(SEARCH(Raw_Data!E28,R28:W28))+ISNUMBER(SEARCH(R28:W28,Raw_Data!E28))))&gt;0,"OK","CHECK")</f>
        <v>OK</v>
      </c>
    </row>
    <row r="29">
      <c r="A29" s="60" t="str">
        <f>Raw_Data!A29</f>
        <v>VVV-2024-028</v>
      </c>
      <c r="B29" s="60">
        <f>Raw_Data!D29</f>
        <v>600</v>
      </c>
      <c r="C29" s="60" t="str">
        <f>LOWER(Raw_Data!C29&amp;" | "&amp;Raw_Data!F29)</f>
        <v>monthly business insurance premium | automatic bank transfer; settled</v>
      </c>
      <c r="D29" s="60">
        <f t="array" ref="D29">MATCH(1,ISNUMBER(SEARCH(Rules!$A$2:$A$60,C29))*(Rules!$A$2:$A$60&lt;&gt;""),0)</f>
        <v>20</v>
      </c>
      <c r="E29" s="60" t="str">
        <f t="array" ref="E29">INDEX(Rules!$A$2:$A$60,D29)</f>
        <v>insurance</v>
      </c>
      <c r="F29" s="60">
        <f t="shared" si="1"/>
        <v>600</v>
      </c>
      <c r="G29" s="60">
        <f>IFERROR(__xludf.DUMMYFUNCTION("IFERROR(VALUE(SUBSTITUTE(REGEXEXTRACT(Raw_Data!J29,""Cost of goods sold: \$([\d,]+)""),"","","""")),0)"),0.0)</f>
        <v>0</v>
      </c>
      <c r="H29" s="60">
        <f>IFERROR(__xludf.DUMMYFUNCTION("IFERROR(VALUE(SUBSTITUTE(REGEXEXTRACT(Raw_Data!J29,""withheld a \$([\d,]+) fee""),"","","""")),0)"),0.0)</f>
        <v>0</v>
      </c>
      <c r="I29" s="60">
        <f t="shared" si="2"/>
        <v>600</v>
      </c>
      <c r="J29" s="60">
        <f>IFERROR(__xludf.DUMMYFUNCTION("IFERROR(VALUE(SUBSTITUTE(REGEXEXTRACT(Raw_Data!J29,""(?i)interest \$([\d,]+)""),"","","""")),0)"),0.0)</f>
        <v>0</v>
      </c>
      <c r="K29" s="60">
        <f t="shared" si="3"/>
        <v>600</v>
      </c>
      <c r="L29" s="60">
        <f>IFERROR(__xludf.DUMMYFUNCTION("IFERROR(VALUE(SUBSTITUTE(REGEXEXTRACT(Raw_Data!F29,""\$([\d,]+) prior deposit applied""),"","","""")),0)"),0.0)</f>
        <v>0</v>
      </c>
      <c r="M29" s="60">
        <f t="shared" si="4"/>
        <v>600</v>
      </c>
      <c r="N29" s="60">
        <f>IFERROR(__xludf.DUMMYFUNCTION("IFERROR(VALUE(SUBSTITUTE(REGEXEXTRACT(Raw_Data!F29,""^\$([\d,]+) cash""),"","","""")),0)"),0.0)</f>
        <v>0</v>
      </c>
      <c r="O29" s="60">
        <f t="shared" si="5"/>
        <v>600</v>
      </c>
      <c r="P29" s="60">
        <f>IFERROR(__xludf.DUMMYFUNCTION("IFERROR(VALUE(SUBSTITUTE(REGEXEXTRACT(Raw_Data!J29,""labour \d+ h at \$\d+/h: \$([\d,]+)""),"","","""")),0)"),0.0)</f>
        <v>0</v>
      </c>
      <c r="Q29" s="60">
        <f t="shared" si="6"/>
        <v>600</v>
      </c>
      <c r="R29" s="60" t="str">
        <f t="array" ref="R29">IF(INDEX(Rules!$B$2:$B$60,$D29)="","",INDEX(Rules!$B$2:$B$60,$D29))</f>
        <v>Insurance Expense</v>
      </c>
      <c r="S29" s="60" t="str">
        <f t="array" ref="S29">IF(INDEX(Rules!$E$2:$E$60,$D29)="","",INDEX(Rules!$E$2:$E$60,$D29))</f>
        <v/>
      </c>
      <c r="T29" s="60" t="str">
        <f t="array" ref="T29">IF(INDEX(Rules!$H$2:$H$60,$D29)="","",INDEX(Rules!$H$2:$H$60,$D29))</f>
        <v/>
      </c>
      <c r="U29" s="60" t="str">
        <f t="array" ref="U29">IF(INDEX(Rules!$C$2:$C$60,$D29)="","",INDEX(Rules!$C$2:$C$60,$D29))</f>
        <v>Cash</v>
      </c>
      <c r="V29" s="60" t="str">
        <f t="array" ref="V29">IF(INDEX(Rules!$F$2:$F$60,$D29)="","",INDEX(Rules!$F$2:$F$60,$D29))</f>
        <v/>
      </c>
      <c r="W29" s="60" t="str">
        <f t="array" ref="W29">IF(INDEX(Rules!$I$2:$I$60,$D29)="","",INDEX(Rules!$I$2:$I$60,$D29))</f>
        <v/>
      </c>
      <c r="X29" s="60">
        <f t="array" ref="X29">IF(R29="","",INDEX($F29:$Q29,MATCH(INDEX(Rules!$D$2:$D$60,$D29),$F$1:$Q$1,0)))</f>
        <v>600</v>
      </c>
      <c r="Y29" s="60" t="str">
        <f t="array" ref="Y29">IF(S29="","",INDEX($F29:$Q29,MATCH(INDEX(Rules!$G$2:$G$60,$D29),$F$1:$Q$1,0)))</f>
        <v/>
      </c>
      <c r="Z29" s="60" t="str">
        <f t="array" ref="Z29">IF(T29="","",INDEX($F29:$Q29,MATCH(INDEX(Rules!$J$2:$J$60,$D29),$F$1:$Q$1,0)))</f>
        <v/>
      </c>
      <c r="AA29" s="60" t="str">
        <f t="array" ref="AA29">IF(INDEX(Rules!$K$2:$K$60,$D29)="","",INDEX(Rules!$K$2:$K$60,$D29))</f>
        <v>monthly insurance</v>
      </c>
      <c r="AB29" s="60" t="str">
        <f>IF(SUMPRODUCT((R29:W29&lt;&gt;"")*(ISNUMBER(SEARCH(Raw_Data!E29,R29:W29))+ISNUMBER(SEARCH(R29:W29,Raw_Data!E29))))&gt;0,"OK","CHECK")</f>
        <v>OK</v>
      </c>
    </row>
    <row r="30">
      <c r="A30" s="60" t="str">
        <f>Raw_Data!A30</f>
        <v>VVV-2024-029</v>
      </c>
      <c r="B30" s="60">
        <f>Raw_Data!D30</f>
        <v>4000</v>
      </c>
      <c r="C30" s="60" t="str">
        <f>LOWER(Raw_Data!C30&amp;" | "&amp;Raw_Data!F30)</f>
        <v>partial payment to inventory supplier | bank transfer; settled</v>
      </c>
      <c r="D30" s="60">
        <f t="array" ref="D30">MATCH(1,ISNUMBER(SEARCH(Rules!$A$2:$A$60,C30))*(Rules!$A$2:$A$60&lt;&gt;""),0)</f>
        <v>8</v>
      </c>
      <c r="E30" s="60" t="str">
        <f t="array" ref="E30">INDEX(Rules!$A$2:$A$60,D30)</f>
        <v>payment to inventory supplier</v>
      </c>
      <c r="F30" s="60">
        <f t="shared" si="1"/>
        <v>4000</v>
      </c>
      <c r="G30" s="60">
        <f>IFERROR(__xludf.DUMMYFUNCTION("IFERROR(VALUE(SUBSTITUTE(REGEXEXTRACT(Raw_Data!J30,""Cost of goods sold: \$([\d,]+)""),"","","""")),0)"),0.0)</f>
        <v>0</v>
      </c>
      <c r="H30" s="60">
        <f>IFERROR(__xludf.DUMMYFUNCTION("IFERROR(VALUE(SUBSTITUTE(REGEXEXTRACT(Raw_Data!J30,""withheld a \$([\d,]+) fee""),"","","""")),0)"),0.0)</f>
        <v>0</v>
      </c>
      <c r="I30" s="60">
        <f t="shared" si="2"/>
        <v>4000</v>
      </c>
      <c r="J30" s="60">
        <f>IFERROR(__xludf.DUMMYFUNCTION("IFERROR(VALUE(SUBSTITUTE(REGEXEXTRACT(Raw_Data!J30,""(?i)interest \$([\d,]+)""),"","","""")),0)"),0.0)</f>
        <v>0</v>
      </c>
      <c r="K30" s="60">
        <f t="shared" si="3"/>
        <v>4000</v>
      </c>
      <c r="L30" s="60">
        <f>IFERROR(__xludf.DUMMYFUNCTION("IFERROR(VALUE(SUBSTITUTE(REGEXEXTRACT(Raw_Data!F30,""\$([\d,]+) prior deposit applied""),"","","""")),0)"),0.0)</f>
        <v>0</v>
      </c>
      <c r="M30" s="60">
        <f t="shared" si="4"/>
        <v>4000</v>
      </c>
      <c r="N30" s="60">
        <f>IFERROR(__xludf.DUMMYFUNCTION("IFERROR(VALUE(SUBSTITUTE(REGEXEXTRACT(Raw_Data!F30,""^\$([\d,]+) cash""),"","","""")),0)"),0.0)</f>
        <v>0</v>
      </c>
      <c r="O30" s="60">
        <f t="shared" si="5"/>
        <v>4000</v>
      </c>
      <c r="P30" s="60">
        <f>IFERROR(__xludf.DUMMYFUNCTION("IFERROR(VALUE(SUBSTITUTE(REGEXEXTRACT(Raw_Data!J30,""labour \d+ h at \$\d+/h: \$([\d,]+)""),"","","""")),0)"),0.0)</f>
        <v>0</v>
      </c>
      <c r="Q30" s="60">
        <f t="shared" si="6"/>
        <v>4000</v>
      </c>
      <c r="R30" s="60" t="str">
        <f t="array" ref="R30">IF(INDEX(Rules!$B$2:$B$60,$D30)="","",INDEX(Rules!$B$2:$B$60,$D30))</f>
        <v>Accounts Payable</v>
      </c>
      <c r="S30" s="60" t="str">
        <f t="array" ref="S30">IF(INDEX(Rules!$E$2:$E$60,$D30)="","",INDEX(Rules!$E$2:$E$60,$D30))</f>
        <v/>
      </c>
      <c r="T30" s="60" t="str">
        <f t="array" ref="T30">IF(INDEX(Rules!$H$2:$H$60,$D30)="","",INDEX(Rules!$H$2:$H$60,$D30))</f>
        <v/>
      </c>
      <c r="U30" s="60" t="str">
        <f t="array" ref="U30">IF(INDEX(Rules!$C$2:$C$60,$D30)="","",INDEX(Rules!$C$2:$C$60,$D30))</f>
        <v>Cash</v>
      </c>
      <c r="V30" s="60" t="str">
        <f t="array" ref="V30">IF(INDEX(Rules!$F$2:$F$60,$D30)="","",INDEX(Rules!$F$2:$F$60,$D30))</f>
        <v/>
      </c>
      <c r="W30" s="60" t="str">
        <f t="array" ref="W30">IF(INDEX(Rules!$I$2:$I$60,$D30)="","",INDEX(Rules!$I$2:$I$60,$D30))</f>
        <v/>
      </c>
      <c r="X30" s="60">
        <f t="array" ref="X30">IF(R30="","",INDEX($F30:$Q30,MATCH(INDEX(Rules!$D$2:$D$60,$D30),$F$1:$Q$1,0)))</f>
        <v>4000</v>
      </c>
      <c r="Y30" s="60" t="str">
        <f t="array" ref="Y30">IF(S30="","",INDEX($F30:$Q30,MATCH(INDEX(Rules!$G$2:$G$60,$D30),$F$1:$Q$1,0)))</f>
        <v/>
      </c>
      <c r="Z30" s="60" t="str">
        <f t="array" ref="Z30">IF(T30="","",INDEX($F30:$Q30,MATCH(INDEX(Rules!$J$2:$J$60,$D30),$F$1:$Q$1,0)))</f>
        <v/>
      </c>
      <c r="AA30" s="60" t="str">
        <f t="array" ref="AA30">IF(INDEX(Rules!$K$2:$K$60,$D30)="","",INDEX(Rules!$K$2:$K$60,$D30))</f>
        <v>paying the supplier back, reduces AP</v>
      </c>
      <c r="AB30" s="60" t="str">
        <f>IF(SUMPRODUCT((R30:W30&lt;&gt;"")*(ISNUMBER(SEARCH(Raw_Data!E30,R30:W30))+ISNUMBER(SEARCH(R30:W30,Raw_Data!E30))))&gt;0,"OK","CHECK")</f>
        <v>OK</v>
      </c>
    </row>
    <row r="31">
      <c r="A31" s="60" t="str">
        <f>Raw_Data!A31</f>
        <v>VVV-2024-030</v>
      </c>
      <c r="B31" s="60">
        <f>Raw_Data!D31</f>
        <v>7500</v>
      </c>
      <c r="C31" s="60" t="str">
        <f>LOWER(Raw_Data!C31&amp;" | "&amp;Raw_Data!F31)</f>
        <v>equipment rental receipts batch | cash and card receipts; settled</v>
      </c>
      <c r="D31" s="60">
        <f t="array" ref="D31">MATCH(1,ISNUMBER(SEARCH(Rules!$A$2:$A$60,C31))*(Rules!$A$2:$A$60&lt;&gt;""),0)</f>
        <v>26</v>
      </c>
      <c r="E31" s="60" t="str">
        <f t="array" ref="E31">INDEX(Rules!$A$2:$A$60,D31)</f>
        <v>rental receipts</v>
      </c>
      <c r="F31" s="60">
        <f t="shared" si="1"/>
        <v>7500</v>
      </c>
      <c r="G31" s="60">
        <f>IFERROR(__xludf.DUMMYFUNCTION("IFERROR(VALUE(SUBSTITUTE(REGEXEXTRACT(Raw_Data!J31,""Cost of goods sold: \$([\d,]+)""),"","","""")),0)"),0.0)</f>
        <v>0</v>
      </c>
      <c r="H31" s="60">
        <f>IFERROR(__xludf.DUMMYFUNCTION("IFERROR(VALUE(SUBSTITUTE(REGEXEXTRACT(Raw_Data!J31,""withheld a \$([\d,]+) fee""),"","","""")),0)"),0.0)</f>
        <v>0</v>
      </c>
      <c r="I31" s="60">
        <f t="shared" si="2"/>
        <v>7500</v>
      </c>
      <c r="J31" s="60">
        <f>IFERROR(__xludf.DUMMYFUNCTION("IFERROR(VALUE(SUBSTITUTE(REGEXEXTRACT(Raw_Data!J31,""(?i)interest \$([\d,]+)""),"","","""")),0)"),0.0)</f>
        <v>0</v>
      </c>
      <c r="K31" s="60">
        <f t="shared" si="3"/>
        <v>7500</v>
      </c>
      <c r="L31" s="60">
        <f>IFERROR(__xludf.DUMMYFUNCTION("IFERROR(VALUE(SUBSTITUTE(REGEXEXTRACT(Raw_Data!F31,""\$([\d,]+) prior deposit applied""),"","","""")),0)"),0.0)</f>
        <v>0</v>
      </c>
      <c r="M31" s="60">
        <f t="shared" si="4"/>
        <v>7500</v>
      </c>
      <c r="N31" s="60">
        <f>IFERROR(__xludf.DUMMYFUNCTION("IFERROR(VALUE(SUBSTITUTE(REGEXEXTRACT(Raw_Data!F31,""^\$([\d,]+) cash""),"","","""")),0)"),0.0)</f>
        <v>0</v>
      </c>
      <c r="O31" s="60">
        <f t="shared" si="5"/>
        <v>7500</v>
      </c>
      <c r="P31" s="60">
        <f>IFERROR(__xludf.DUMMYFUNCTION("IFERROR(VALUE(SUBSTITUTE(REGEXEXTRACT(Raw_Data!J31,""labour \d+ h at \$\d+/h: \$([\d,]+)""),"","","""")),0)"),0.0)</f>
        <v>0</v>
      </c>
      <c r="Q31" s="60">
        <f t="shared" si="6"/>
        <v>7500</v>
      </c>
      <c r="R31" s="60" t="str">
        <f t="array" ref="R31">IF(INDEX(Rules!$B$2:$B$60,$D31)="","",INDEX(Rules!$B$2:$B$60,$D31))</f>
        <v>Cash</v>
      </c>
      <c r="S31" s="60" t="str">
        <f t="array" ref="S31">IF(INDEX(Rules!$E$2:$E$60,$D31)="","",INDEX(Rules!$E$2:$E$60,$D31))</f>
        <v/>
      </c>
      <c r="T31" s="60" t="str">
        <f t="array" ref="T31">IF(INDEX(Rules!$H$2:$H$60,$D31)="","",INDEX(Rules!$H$2:$H$60,$D31))</f>
        <v/>
      </c>
      <c r="U31" s="60" t="str">
        <f t="array" ref="U31">IF(INDEX(Rules!$C$2:$C$60,$D31)="","",INDEX(Rules!$C$2:$C$60,$D31))</f>
        <v>Equipment Rental Revenue</v>
      </c>
      <c r="V31" s="60" t="str">
        <f t="array" ref="V31">IF(INDEX(Rules!$F$2:$F$60,$D31)="","",INDEX(Rules!$F$2:$F$60,$D31))</f>
        <v/>
      </c>
      <c r="W31" s="60" t="str">
        <f t="array" ref="W31">IF(INDEX(Rules!$I$2:$I$60,$D31)="","",INDEX(Rules!$I$2:$I$60,$D31))</f>
        <v/>
      </c>
      <c r="X31" s="60">
        <f t="array" ref="X31">IF(R31="","",INDEX($F31:$Q31,MATCH(INDEX(Rules!$D$2:$D$60,$D31),$F$1:$Q$1,0)))</f>
        <v>7500</v>
      </c>
      <c r="Y31" s="60" t="str">
        <f t="array" ref="Y31">IF(S31="","",INDEX($F31:$Q31,MATCH(INDEX(Rules!$G$2:$G$60,$D31),$F$1:$Q$1,0)))</f>
        <v/>
      </c>
      <c r="Z31" s="60" t="str">
        <f t="array" ref="Z31">IF(T31="","",INDEX($F31:$Q31,MATCH(INDEX(Rules!$J$2:$J$60,$D31),$F$1:$Q$1,0)))</f>
        <v/>
      </c>
      <c r="AA31" s="60" t="str">
        <f t="array" ref="AA31">IF(INDEX(Rules!$K$2:$K$60,$D31)="","",INDEX(Rules!$K$2:$K$60,$D31))</f>
        <v>rentals done and paid</v>
      </c>
      <c r="AB31" s="60" t="str">
        <f>IF(SUMPRODUCT((R31:W31&lt;&gt;"")*(ISNUMBER(SEARCH(Raw_Data!E31,R31:W31))+ISNUMBER(SEARCH(R31:W31,Raw_Data!E31))))&gt;0,"OK","CHECK")</f>
        <v>OK</v>
      </c>
    </row>
    <row r="32">
      <c r="A32" s="60" t="str">
        <f>Raw_Data!A32</f>
        <v>VVV-2024-031</v>
      </c>
      <c r="B32" s="60">
        <f>Raw_Data!D32</f>
        <v>5000</v>
      </c>
      <c r="C32" s="60" t="str">
        <f>LOWER(Raw_Data!C32&amp;" | "&amp;Raw_Data!F32)</f>
        <v>retail camping-supply sales | cash and card receipts; settled</v>
      </c>
      <c r="D32" s="60">
        <f t="array" ref="D32">MATCH(1,ISNUMBER(SEARCH(Rules!$A$2:$A$60,C32))*(Rules!$A$2:$A$60&lt;&gt;""),0)</f>
        <v>12</v>
      </c>
      <c r="E32" s="60" t="str">
        <f t="array" ref="E32">INDEX(Rules!$A$2:$A$60,D32)</f>
        <v>camping-supply sales</v>
      </c>
      <c r="F32" s="60">
        <f t="shared" si="1"/>
        <v>5000</v>
      </c>
      <c r="G32" s="60">
        <f>IFERROR(__xludf.DUMMYFUNCTION("IFERROR(VALUE(SUBSTITUTE(REGEXEXTRACT(Raw_Data!J32,""Cost of goods sold: \$([\d,]+)""),"","","""")),0)"),3000.0)</f>
        <v>3000</v>
      </c>
      <c r="H32" s="60">
        <f>IFERROR(__xludf.DUMMYFUNCTION("IFERROR(VALUE(SUBSTITUTE(REGEXEXTRACT(Raw_Data!J32,""withheld a \$([\d,]+) fee""),"","","""")),0)"),0.0)</f>
        <v>0</v>
      </c>
      <c r="I32" s="60">
        <f t="shared" si="2"/>
        <v>5000</v>
      </c>
      <c r="J32" s="60">
        <f>IFERROR(__xludf.DUMMYFUNCTION("IFERROR(VALUE(SUBSTITUTE(REGEXEXTRACT(Raw_Data!J32,""(?i)interest \$([\d,]+)""),"","","""")),0)"),0.0)</f>
        <v>0</v>
      </c>
      <c r="K32" s="60">
        <f t="shared" si="3"/>
        <v>5000</v>
      </c>
      <c r="L32" s="60">
        <f>IFERROR(__xludf.DUMMYFUNCTION("IFERROR(VALUE(SUBSTITUTE(REGEXEXTRACT(Raw_Data!F32,""\$([\d,]+) prior deposit applied""),"","","""")),0)"),0.0)</f>
        <v>0</v>
      </c>
      <c r="M32" s="60">
        <f t="shared" si="4"/>
        <v>5000</v>
      </c>
      <c r="N32" s="60">
        <f>IFERROR(__xludf.DUMMYFUNCTION("IFERROR(VALUE(SUBSTITUTE(REGEXEXTRACT(Raw_Data!F32,""^\$([\d,]+) cash""),"","","""")),0)"),0.0)</f>
        <v>0</v>
      </c>
      <c r="O32" s="60">
        <f t="shared" si="5"/>
        <v>5000</v>
      </c>
      <c r="P32" s="60">
        <f>IFERROR(__xludf.DUMMYFUNCTION("IFERROR(VALUE(SUBSTITUTE(REGEXEXTRACT(Raw_Data!J32,""labour \d+ h at \$\d+/h: \$([\d,]+)""),"","","""")),0)"),0.0)</f>
        <v>0</v>
      </c>
      <c r="Q32" s="60">
        <f t="shared" si="6"/>
        <v>5000</v>
      </c>
      <c r="R32" s="60" t="str">
        <f t="array" ref="R32">IF(INDEX(Rules!$B$2:$B$60,$D32)="","",INDEX(Rules!$B$2:$B$60,$D32))</f>
        <v>Cash</v>
      </c>
      <c r="S32" s="60" t="str">
        <f t="array" ref="S32">IF(INDEX(Rules!$E$2:$E$60,$D32)="","",INDEX(Rules!$E$2:$E$60,$D32))</f>
        <v>Cost of Goods Sold</v>
      </c>
      <c r="T32" s="60" t="str">
        <f t="array" ref="T32">IF(INDEX(Rules!$H$2:$H$60,$D32)="","",INDEX(Rules!$H$2:$H$60,$D32))</f>
        <v/>
      </c>
      <c r="U32" s="60" t="str">
        <f t="array" ref="U32">IF(INDEX(Rules!$C$2:$C$60,$D32)="","",INDEX(Rules!$C$2:$C$60,$D32))</f>
        <v>Retail Sales Revenue</v>
      </c>
      <c r="V32" s="60" t="str">
        <f t="array" ref="V32">IF(INDEX(Rules!$F$2:$F$60,$D32)="","",INDEX(Rules!$F$2:$F$60,$D32))</f>
        <v>Inventory</v>
      </c>
      <c r="W32" s="60" t="str">
        <f t="array" ref="W32">IF(INDEX(Rules!$I$2:$I$60,$D32)="","",INDEX(Rules!$I$2:$I$60,$D32))</f>
        <v/>
      </c>
      <c r="X32" s="60">
        <f t="array" ref="X32">IF(R32="","",INDEX($F32:$Q32,MATCH(INDEX(Rules!$D$2:$D$60,$D32),$F$1:$Q$1,0)))</f>
        <v>5000</v>
      </c>
      <c r="Y32" s="60">
        <f t="array" ref="Y32">IF(S32="","",INDEX($F32:$Q32,MATCH(INDEX(Rules!$G$2:$G$60,$D32),$F$1:$Q$1,0)))</f>
        <v>3000</v>
      </c>
      <c r="Z32" s="60" t="str">
        <f t="array" ref="Z32">IF(T32="","",INDEX($F32:$Q32,MATCH(INDEX(Rules!$J$2:$J$60,$D32),$F$1:$Q$1,0)))</f>
        <v/>
      </c>
      <c r="AA32" s="60" t="str">
        <f t="array" ref="AA32">IF(INDEX(Rules!$K$2:$K$60,$D32)="","",INDEX(Rules!$K$2:$K$60,$D32))</f>
        <v>sale + cost of the goods comes out of inventory (COGS)</v>
      </c>
      <c r="AB32" s="60" t="str">
        <f>IF(SUMPRODUCT((R32:W32&lt;&gt;"")*(ISNUMBER(SEARCH(Raw_Data!E32,R32:W32))+ISNUMBER(SEARCH(R32:W32,Raw_Data!E32))))&gt;0,"OK","CHECK")</f>
        <v>OK</v>
      </c>
    </row>
    <row r="33">
      <c r="A33" s="60" t="str">
        <f>Raw_Data!A33</f>
        <v>VVV-2024-032</v>
      </c>
      <c r="B33" s="60">
        <f>Raw_Data!D33</f>
        <v>3400</v>
      </c>
      <c r="C33" s="60" t="str">
        <f>LOWER(Raw_Data!C33&amp;" | "&amp;Raw_Data!F33)</f>
        <v>fleet service and dispatch | paid from business bank account</v>
      </c>
      <c r="D33" s="60">
        <f t="array" ref="D33">MATCH(1,ISNUMBER(SEARCH(Rules!$A$2:$A$60,C33))*(Rules!$A$2:$A$60&lt;&gt;""),0)</f>
        <v>4</v>
      </c>
      <c r="E33" s="60" t="str">
        <f t="array" ref="E33">INDEX(Rules!$A$2:$A$60,D33)</f>
        <v>fleet service and dispatch</v>
      </c>
      <c r="F33" s="60">
        <f t="shared" si="1"/>
        <v>3400</v>
      </c>
      <c r="G33" s="60">
        <f>IFERROR(__xludf.DUMMYFUNCTION("IFERROR(VALUE(SUBSTITUTE(REGEXEXTRACT(Raw_Data!J33,""Cost of goods sold: \$([\d,]+)""),"","","""")),0)"),0.0)</f>
        <v>0</v>
      </c>
      <c r="H33" s="60">
        <f>IFERROR(__xludf.DUMMYFUNCTION("IFERROR(VALUE(SUBSTITUTE(REGEXEXTRACT(Raw_Data!J33,""withheld a \$([\d,]+) fee""),"","","""")),0)"),0.0)</f>
        <v>0</v>
      </c>
      <c r="I33" s="60">
        <f t="shared" si="2"/>
        <v>3400</v>
      </c>
      <c r="J33" s="60">
        <f>IFERROR(__xludf.DUMMYFUNCTION("IFERROR(VALUE(SUBSTITUTE(REGEXEXTRACT(Raw_Data!J33,""(?i)interest \$([\d,]+)""),"","","""")),0)"),0.0)</f>
        <v>0</v>
      </c>
      <c r="K33" s="60">
        <f t="shared" si="3"/>
        <v>3400</v>
      </c>
      <c r="L33" s="60">
        <f>IFERROR(__xludf.DUMMYFUNCTION("IFERROR(VALUE(SUBSTITUTE(REGEXEXTRACT(Raw_Data!F33,""\$([\d,]+) prior deposit applied""),"","","""")),0)"),0.0)</f>
        <v>0</v>
      </c>
      <c r="M33" s="60">
        <f t="shared" si="4"/>
        <v>3400</v>
      </c>
      <c r="N33" s="60">
        <f>IFERROR(__xludf.DUMMYFUNCTION("IFERROR(VALUE(SUBSTITUTE(REGEXEXTRACT(Raw_Data!F33,""^\$([\d,]+) cash""),"","","""")),0)"),0.0)</f>
        <v>0</v>
      </c>
      <c r="O33" s="60">
        <f t="shared" si="5"/>
        <v>3400</v>
      </c>
      <c r="P33" s="60">
        <f>IFERROR(__xludf.DUMMYFUNCTION("IFERROR(VALUE(SUBSTITUTE(REGEXEXTRACT(Raw_Data!J33,""labour \d+ h at \$\d+/h: \$([\d,]+)""),"","","""")),0)"),2800.0)</f>
        <v>2800</v>
      </c>
      <c r="Q33" s="60">
        <f t="shared" si="6"/>
        <v>600</v>
      </c>
      <c r="R33" s="60" t="str">
        <f t="array" ref="R33">IF(INDEX(Rules!$B$2:$B$60,$D33)="","",INDEX(Rules!$B$2:$B$60,$D33))</f>
        <v>Repairs and Maintenance Expense</v>
      </c>
      <c r="S33" s="60" t="str">
        <f t="array" ref="S33">IF(INDEX(Rules!$E$2:$E$60,$D33)="","",INDEX(Rules!$E$2:$E$60,$D33))</f>
        <v>School Group Expense</v>
      </c>
      <c r="T33" s="60" t="str">
        <f t="array" ref="T33">IF(INDEX(Rules!$H$2:$H$60,$D33)="","",INDEX(Rules!$H$2:$H$60,$D33))</f>
        <v/>
      </c>
      <c r="U33" s="60" t="str">
        <f t="array" ref="U33">IF(INDEX(Rules!$C$2:$C$60,$D33)="","",INDEX(Rules!$C$2:$C$60,$D33))</f>
        <v>Cash</v>
      </c>
      <c r="V33" s="60" t="str">
        <f t="array" ref="V33">IF(INDEX(Rules!$F$2:$F$60,$D33)="","",INDEX(Rules!$F$2:$F$60,$D33))</f>
        <v>Cash</v>
      </c>
      <c r="W33" s="60" t="str">
        <f t="array" ref="W33">IF(INDEX(Rules!$I$2:$I$60,$D33)="","",INDEX(Rules!$I$2:$I$60,$D33))</f>
        <v/>
      </c>
      <c r="X33" s="60">
        <f t="array" ref="X33">IF(R33="","",INDEX($F33:$Q33,MATCH(INDEX(Rules!$D$2:$D$60,$D33),$F$1:$Q$1,0)))</f>
        <v>2800</v>
      </c>
      <c r="Y33" s="60">
        <f t="array" ref="Y33">IF(S33="","",INDEX($F33:$Q33,MATCH(INDEX(Rules!$G$2:$G$60,$D33),$F$1:$Q$1,0)))</f>
        <v>600</v>
      </c>
      <c r="Z33" s="60" t="str">
        <f t="array" ref="Z33">IF(T33="","",INDEX($F33:$Q33,MATCH(INDEX(Rules!$J$2:$J$60,$D33),$F$1:$Q$1,0)))</f>
        <v/>
      </c>
      <c r="AA33" s="60" t="str">
        <f t="array" ref="AA33">IF(INDEX(Rules!$K$2:$K$60,$D33)="","",INDEX(Rules!$K$2:$K$60,$D33))</f>
        <v>only workshop labour is repairs, shuttle/materials go to school group</v>
      </c>
      <c r="AB33" s="60" t="str">
        <f>IF(SUMPRODUCT((R33:W33&lt;&gt;"")*(ISNUMBER(SEARCH(Raw_Data!E33,R33:W33))+ISNUMBER(SEARCH(R33:W33,Raw_Data!E33))))&gt;0,"OK","CHECK")</f>
        <v>OK</v>
      </c>
    </row>
    <row r="34">
      <c r="A34" s="60" t="str">
        <f>Raw_Data!A34</f>
        <v>VVV-2024-033</v>
      </c>
      <c r="B34" s="60">
        <f>Raw_Data!D34</f>
        <v>2450</v>
      </c>
      <c r="C34" s="60" t="str">
        <f>LOWER(Raw_Data!C34&amp;" | "&amp;Raw_Data!F34)</f>
        <v>fleet service and dispatch | paid from business bank account</v>
      </c>
      <c r="D34" s="60">
        <f t="array" ref="D34">MATCH(1,ISNUMBER(SEARCH(Rules!$A$2:$A$60,C34))*(Rules!$A$2:$A$60&lt;&gt;""),0)</f>
        <v>4</v>
      </c>
      <c r="E34" s="60" t="str">
        <f t="array" ref="E34">INDEX(Rules!$A$2:$A$60,D34)</f>
        <v>fleet service and dispatch</v>
      </c>
      <c r="F34" s="60">
        <f t="shared" si="1"/>
        <v>2450</v>
      </c>
      <c r="G34" s="60">
        <f>IFERROR(__xludf.DUMMYFUNCTION("IFERROR(VALUE(SUBSTITUTE(REGEXEXTRACT(Raw_Data!J34,""Cost of goods sold: \$([\d,]+)""),"","","""")),0)"),0.0)</f>
        <v>0</v>
      </c>
      <c r="H34" s="60">
        <f>IFERROR(__xludf.DUMMYFUNCTION("IFERROR(VALUE(SUBSTITUTE(REGEXEXTRACT(Raw_Data!J34,""withheld a \$([\d,]+) fee""),"","","""")),0)"),0.0)</f>
        <v>0</v>
      </c>
      <c r="I34" s="60">
        <f t="shared" si="2"/>
        <v>2450</v>
      </c>
      <c r="J34" s="60">
        <f>IFERROR(__xludf.DUMMYFUNCTION("IFERROR(VALUE(SUBSTITUTE(REGEXEXTRACT(Raw_Data!J34,""(?i)interest \$([\d,]+)""),"","","""")),0)"),0.0)</f>
        <v>0</v>
      </c>
      <c r="K34" s="60">
        <f t="shared" si="3"/>
        <v>2450</v>
      </c>
      <c r="L34" s="60">
        <f>IFERROR(__xludf.DUMMYFUNCTION("IFERROR(VALUE(SUBSTITUTE(REGEXEXTRACT(Raw_Data!F34,""\$([\d,]+) prior deposit applied""),"","","""")),0)"),0.0)</f>
        <v>0</v>
      </c>
      <c r="M34" s="60">
        <f t="shared" si="4"/>
        <v>2450</v>
      </c>
      <c r="N34" s="60">
        <f>IFERROR(__xludf.DUMMYFUNCTION("IFERROR(VALUE(SUBSTITUTE(REGEXEXTRACT(Raw_Data!F34,""^\$([\d,]+) cash""),"","","""")),0)"),0.0)</f>
        <v>0</v>
      </c>
      <c r="O34" s="60">
        <f t="shared" si="5"/>
        <v>2450</v>
      </c>
      <c r="P34" s="60">
        <f>IFERROR(__xludf.DUMMYFUNCTION("IFERROR(VALUE(SUBSTITUTE(REGEXEXTRACT(Raw_Data!J34,""labour \d+ h at \$\d+/h: \$([\d,]+)""),"","","""")),0)"),1800.0)</f>
        <v>1800</v>
      </c>
      <c r="Q34" s="60">
        <f t="shared" si="6"/>
        <v>650</v>
      </c>
      <c r="R34" s="60" t="str">
        <f t="array" ref="R34">IF(INDEX(Rules!$B$2:$B$60,$D34)="","",INDEX(Rules!$B$2:$B$60,$D34))</f>
        <v>Repairs and Maintenance Expense</v>
      </c>
      <c r="S34" s="60" t="str">
        <f t="array" ref="S34">IF(INDEX(Rules!$E$2:$E$60,$D34)="","",INDEX(Rules!$E$2:$E$60,$D34))</f>
        <v>School Group Expense</v>
      </c>
      <c r="T34" s="60" t="str">
        <f t="array" ref="T34">IF(INDEX(Rules!$H$2:$H$60,$D34)="","",INDEX(Rules!$H$2:$H$60,$D34))</f>
        <v/>
      </c>
      <c r="U34" s="60" t="str">
        <f t="array" ref="U34">IF(INDEX(Rules!$C$2:$C$60,$D34)="","",INDEX(Rules!$C$2:$C$60,$D34))</f>
        <v>Cash</v>
      </c>
      <c r="V34" s="60" t="str">
        <f t="array" ref="V34">IF(INDEX(Rules!$F$2:$F$60,$D34)="","",INDEX(Rules!$F$2:$F$60,$D34))</f>
        <v>Cash</v>
      </c>
      <c r="W34" s="60" t="str">
        <f t="array" ref="W34">IF(INDEX(Rules!$I$2:$I$60,$D34)="","",INDEX(Rules!$I$2:$I$60,$D34))</f>
        <v/>
      </c>
      <c r="X34" s="60">
        <f t="array" ref="X34">IF(R34="","",INDEX($F34:$Q34,MATCH(INDEX(Rules!$D$2:$D$60,$D34),$F$1:$Q$1,0)))</f>
        <v>1800</v>
      </c>
      <c r="Y34" s="60">
        <f t="array" ref="Y34">IF(S34="","",INDEX($F34:$Q34,MATCH(INDEX(Rules!$G$2:$G$60,$D34),$F$1:$Q$1,0)))</f>
        <v>650</v>
      </c>
      <c r="Z34" s="60" t="str">
        <f t="array" ref="Z34">IF(T34="","",INDEX($F34:$Q34,MATCH(INDEX(Rules!$J$2:$J$60,$D34),$F$1:$Q$1,0)))</f>
        <v/>
      </c>
      <c r="AA34" s="60" t="str">
        <f t="array" ref="AA34">IF(INDEX(Rules!$K$2:$K$60,$D34)="","",INDEX(Rules!$K$2:$K$60,$D34))</f>
        <v>only workshop labour is repairs, shuttle/materials go to school group</v>
      </c>
      <c r="AB34" s="60" t="str">
        <f>IF(SUMPRODUCT((R34:W34&lt;&gt;"")*(ISNUMBER(SEARCH(Raw_Data!E34,R34:W34))+ISNUMBER(SEARCH(R34:W34,Raw_Data!E34))))&gt;0,"OK","CHECK")</f>
        <v>OK</v>
      </c>
    </row>
    <row r="35">
      <c r="A35" s="60" t="str">
        <f>Raw_Data!A35</f>
        <v>VVV-2024-034</v>
      </c>
      <c r="B35" s="60">
        <f>Raw_Data!D35</f>
        <v>6000</v>
      </c>
      <c r="C35" s="60" t="str">
        <f>LOWER(Raw_Data!C35&amp;" | "&amp;Raw_Data!F35)</f>
        <v>corporate guided tour completed on account | invoice; due in 60 days</v>
      </c>
      <c r="D35" s="60">
        <f t="array" ref="D35">MATCH(1,ISNUMBER(SEARCH(Rules!$A$2:$A$60,C35))*(Rules!$A$2:$A$60&lt;&gt;""),0)</f>
        <v>29</v>
      </c>
      <c r="E35" s="60" t="str">
        <f t="array" ref="E35">INDEX(Rules!$A$2:$A$60,D35)</f>
        <v>completed on account</v>
      </c>
      <c r="F35" s="60">
        <f t="shared" si="1"/>
        <v>6000</v>
      </c>
      <c r="G35" s="60">
        <f>IFERROR(__xludf.DUMMYFUNCTION("IFERROR(VALUE(SUBSTITUTE(REGEXEXTRACT(Raw_Data!J35,""Cost of goods sold: \$([\d,]+)""),"","","""")),0)"),0.0)</f>
        <v>0</v>
      </c>
      <c r="H35" s="60">
        <f>IFERROR(__xludf.DUMMYFUNCTION("IFERROR(VALUE(SUBSTITUTE(REGEXEXTRACT(Raw_Data!J35,""withheld a \$([\d,]+) fee""),"","","""")),0)"),0.0)</f>
        <v>0</v>
      </c>
      <c r="I35" s="60">
        <f t="shared" si="2"/>
        <v>6000</v>
      </c>
      <c r="J35" s="60">
        <f>IFERROR(__xludf.DUMMYFUNCTION("IFERROR(VALUE(SUBSTITUTE(REGEXEXTRACT(Raw_Data!J35,""(?i)interest \$([\d,]+)""),"","","""")),0)"),0.0)</f>
        <v>0</v>
      </c>
      <c r="K35" s="60">
        <f t="shared" si="3"/>
        <v>6000</v>
      </c>
      <c r="L35" s="60">
        <f>IFERROR(__xludf.DUMMYFUNCTION("IFERROR(VALUE(SUBSTITUTE(REGEXEXTRACT(Raw_Data!F35,""\$([\d,]+) prior deposit applied""),"","","""")),0)"),0.0)</f>
        <v>0</v>
      </c>
      <c r="M35" s="60">
        <f t="shared" si="4"/>
        <v>6000</v>
      </c>
      <c r="N35" s="60">
        <f>IFERROR(__xludf.DUMMYFUNCTION("IFERROR(VALUE(SUBSTITUTE(REGEXEXTRACT(Raw_Data!F35,""^\$([\d,]+) cash""),"","","""")),0)"),0.0)</f>
        <v>0</v>
      </c>
      <c r="O35" s="60">
        <f t="shared" si="5"/>
        <v>6000</v>
      </c>
      <c r="P35" s="60">
        <f>IFERROR(__xludf.DUMMYFUNCTION("IFERROR(VALUE(SUBSTITUTE(REGEXEXTRACT(Raw_Data!J35,""labour \d+ h at \$\d+/h: \$([\d,]+)""),"","","""")),0)"),0.0)</f>
        <v>0</v>
      </c>
      <c r="Q35" s="60">
        <f t="shared" si="6"/>
        <v>6000</v>
      </c>
      <c r="R35" s="60" t="str">
        <f t="array" ref="R35">IF(INDEX(Rules!$B$2:$B$60,$D35)="","",INDEX(Rules!$B$2:$B$60,$D35))</f>
        <v>Accounts Receivable</v>
      </c>
      <c r="S35" s="60" t="str">
        <f t="array" ref="S35">IF(INDEX(Rules!$E$2:$E$60,$D35)="","",INDEX(Rules!$E$2:$E$60,$D35))</f>
        <v/>
      </c>
      <c r="T35" s="60" t="str">
        <f t="array" ref="T35">IF(INDEX(Rules!$H$2:$H$60,$D35)="","",INDEX(Rules!$H$2:$H$60,$D35))</f>
        <v/>
      </c>
      <c r="U35" s="60" t="str">
        <f t="array" ref="U35">IF(INDEX(Rules!$C$2:$C$60,$D35)="","",INDEX(Rules!$C$2:$C$60,$D35))</f>
        <v>Tour Revenue</v>
      </c>
      <c r="V35" s="60" t="str">
        <f t="array" ref="V35">IF(INDEX(Rules!$F$2:$F$60,$D35)="","",INDEX(Rules!$F$2:$F$60,$D35))</f>
        <v/>
      </c>
      <c r="W35" s="60" t="str">
        <f t="array" ref="W35">IF(INDEX(Rules!$I$2:$I$60,$D35)="","",INDEX(Rules!$I$2:$I$60,$D35))</f>
        <v/>
      </c>
      <c r="X35" s="60">
        <f t="array" ref="X35">IF(R35="","",INDEX($F35:$Q35,MATCH(INDEX(Rules!$D$2:$D$60,$D35),$F$1:$Q$1,0)))</f>
        <v>6000</v>
      </c>
      <c r="Y35" s="60" t="str">
        <f t="array" ref="Y35">IF(S35="","",INDEX($F35:$Q35,MATCH(INDEX(Rules!$G$2:$G$60,$D35),$F$1:$Q$1,0)))</f>
        <v/>
      </c>
      <c r="Z35" s="60" t="str">
        <f t="array" ref="Z35">IF(T35="","",INDEX($F35:$Q35,MATCH(INDEX(Rules!$J$2:$J$60,$D35),$F$1:$Q$1,0)))</f>
        <v/>
      </c>
      <c r="AA35" s="60" t="str">
        <f t="array" ref="AA35">IF(INDEX(Rules!$K$2:$K$60,$D35)="","",INDEX(Rules!$K$2:$K$60,$D35))</f>
        <v>tour done so revenue now, cash later</v>
      </c>
      <c r="AB35" s="60" t="str">
        <f>IF(SUMPRODUCT((R35:W35&lt;&gt;"")*(ISNUMBER(SEARCH(Raw_Data!E35,R35:W35))+ISNUMBER(SEARCH(R35:W35,Raw_Data!E35))))&gt;0,"OK","CHECK")</f>
        <v>OK</v>
      </c>
    </row>
    <row r="36">
      <c r="A36" s="60" t="str">
        <f>Raw_Data!A36</f>
        <v>VVV-2024-035</v>
      </c>
      <c r="B36" s="60">
        <f>Raw_Data!D36</f>
        <v>9200</v>
      </c>
      <c r="C36" s="60" t="str">
        <f>LOWER(Raw_Data!C36&amp;" | "&amp;Raw_Data!F36)</f>
        <v>employee payroll settlement | payroll and claims paid from business bank account</v>
      </c>
      <c r="D36" s="60">
        <f t="array" ref="D36">MATCH(1,ISNUMBER(SEARCH(Rules!$A$2:$A$60,C36))*(Rules!$A$2:$A$60&lt;&gt;""),0)</f>
        <v>23</v>
      </c>
      <c r="E36" s="60" t="str">
        <f t="array" ref="E36">INDEX(Rules!$A$2:$A$60,D36)</f>
        <v>payroll</v>
      </c>
      <c r="F36" s="60">
        <f t="shared" si="1"/>
        <v>9200</v>
      </c>
      <c r="G36" s="60">
        <f>IFERROR(__xludf.DUMMYFUNCTION("IFERROR(VALUE(SUBSTITUTE(REGEXEXTRACT(Raw_Data!J36,""Cost of goods sold: \$([\d,]+)""),"","","""")),0)"),0.0)</f>
        <v>0</v>
      </c>
      <c r="H36" s="60">
        <f>IFERROR(__xludf.DUMMYFUNCTION("IFERROR(VALUE(SUBSTITUTE(REGEXEXTRACT(Raw_Data!J36,""withheld a \$([\d,]+) fee""),"","","""")),0)"),0.0)</f>
        <v>0</v>
      </c>
      <c r="I36" s="60">
        <f t="shared" si="2"/>
        <v>9200</v>
      </c>
      <c r="J36" s="60">
        <f>IFERROR(__xludf.DUMMYFUNCTION("IFERROR(VALUE(SUBSTITUTE(REGEXEXTRACT(Raw_Data!J36,""(?i)interest \$([\d,]+)""),"","","""")),0)"),0.0)</f>
        <v>0</v>
      </c>
      <c r="K36" s="60">
        <f t="shared" si="3"/>
        <v>9200</v>
      </c>
      <c r="L36" s="60">
        <f>IFERROR(__xludf.DUMMYFUNCTION("IFERROR(VALUE(SUBSTITUTE(REGEXEXTRACT(Raw_Data!F36,""\$([\d,]+) prior deposit applied""),"","","""")),0)"),0.0)</f>
        <v>0</v>
      </c>
      <c r="M36" s="60">
        <f t="shared" si="4"/>
        <v>9200</v>
      </c>
      <c r="N36" s="60">
        <f>IFERROR(__xludf.DUMMYFUNCTION("IFERROR(VALUE(SUBSTITUTE(REGEXEXTRACT(Raw_Data!F36,""^\$([\d,]+) cash""),"","","""")),0)"),0.0)</f>
        <v>0</v>
      </c>
      <c r="O36" s="60">
        <f t="shared" si="5"/>
        <v>9200</v>
      </c>
      <c r="P36" s="60">
        <f>IFERROR(__xludf.DUMMYFUNCTION("IFERROR(VALUE(SUBSTITUTE(REGEXEXTRACT(Raw_Data!J36,""labour \d+ h at \$\d+/h: \$([\d,]+)""),"","","""")),0)"),0.0)</f>
        <v>0</v>
      </c>
      <c r="Q36" s="60">
        <f t="shared" si="6"/>
        <v>9200</v>
      </c>
      <c r="R36" s="60" t="str">
        <f t="array" ref="R36">IF(INDEX(Rules!$B$2:$B$60,$D36)="","",INDEX(Rules!$B$2:$B$60,$D36))</f>
        <v>Wages Expense</v>
      </c>
      <c r="S36" s="60" t="str">
        <f t="array" ref="S36">IF(INDEX(Rules!$E$2:$E$60,$D36)="","",INDEX(Rules!$E$2:$E$60,$D36))</f>
        <v/>
      </c>
      <c r="T36" s="60" t="str">
        <f t="array" ref="T36">IF(INDEX(Rules!$H$2:$H$60,$D36)="","",INDEX(Rules!$H$2:$H$60,$D36))</f>
        <v/>
      </c>
      <c r="U36" s="60" t="str">
        <f t="array" ref="U36">IF(INDEX(Rules!$C$2:$C$60,$D36)="","",INDEX(Rules!$C$2:$C$60,$D36))</f>
        <v>Cash</v>
      </c>
      <c r="V36" s="60" t="str">
        <f t="array" ref="V36">IF(INDEX(Rules!$F$2:$F$60,$D36)="","",INDEX(Rules!$F$2:$F$60,$D36))</f>
        <v/>
      </c>
      <c r="W36" s="60" t="str">
        <f t="array" ref="W36">IF(INDEX(Rules!$I$2:$I$60,$D36)="","",INDEX(Rules!$I$2:$I$60,$D36))</f>
        <v/>
      </c>
      <c r="X36" s="60">
        <f t="array" ref="X36">IF(R36="","",INDEX($F36:$Q36,MATCH(INDEX(Rules!$D$2:$D$60,$D36),$F$1:$Q$1,0)))</f>
        <v>9200</v>
      </c>
      <c r="Y36" s="60" t="str">
        <f t="array" ref="Y36">IF(S36="","",INDEX($F36:$Q36,MATCH(INDEX(Rules!$G$2:$G$60,$D36),$F$1:$Q$1,0)))</f>
        <v/>
      </c>
      <c r="Z36" s="60" t="str">
        <f t="array" ref="Z36">IF(T36="","",INDEX($F36:$Q36,MATCH(INDEX(Rules!$J$2:$J$60,$D36),$F$1:$Q$1,0)))</f>
        <v/>
      </c>
      <c r="AA36" s="60" t="str">
        <f t="array" ref="AA36">IF(INDEX(Rules!$K$2:$K$60,$D36)="","",INDEX(Rules!$K$2:$K$60,$D36))</f>
        <v>wages, includes E04's $200 travel claim</v>
      </c>
      <c r="AB36" s="60" t="str">
        <f>IF(SUMPRODUCT((R36:W36&lt;&gt;"")*(ISNUMBER(SEARCH(Raw_Data!E36,R36:W36))+ISNUMBER(SEARCH(R36:W36,Raw_Data!E36))))&gt;0,"OK","CHECK")</f>
        <v>OK</v>
      </c>
    </row>
    <row r="37">
      <c r="A37" s="60" t="str">
        <f>Raw_Data!A37</f>
        <v>VVV-2024-036</v>
      </c>
      <c r="B37" s="60">
        <f>Raw_Data!D37</f>
        <v>833</v>
      </c>
      <c r="C37" s="60" t="str">
        <f>LOWER(Raw_Data!C37&amp;" | "&amp;Raw_Data!F37)</f>
        <v>monthly utility settlement | paid from business bank account</v>
      </c>
      <c r="D37" s="60">
        <f t="array" ref="D37">MATCH(1,ISNUMBER(SEARCH(Rules!$A$2:$A$60,C37))*(Rules!$A$2:$A$60&lt;&gt;""),0)</f>
        <v>24</v>
      </c>
      <c r="E37" s="60" t="str">
        <f t="array" ref="E37">INDEX(Rules!$A$2:$A$60,D37)</f>
        <v>utility</v>
      </c>
      <c r="F37" s="60">
        <f t="shared" si="1"/>
        <v>833</v>
      </c>
      <c r="G37" s="60">
        <f>IFERROR(__xludf.DUMMYFUNCTION("IFERROR(VALUE(SUBSTITUTE(REGEXEXTRACT(Raw_Data!J37,""Cost of goods sold: \$([\d,]+)""),"","","""")),0)"),0.0)</f>
        <v>0</v>
      </c>
      <c r="H37" s="60">
        <f>IFERROR(__xludf.DUMMYFUNCTION("IFERROR(VALUE(SUBSTITUTE(REGEXEXTRACT(Raw_Data!J37,""withheld a \$([\d,]+) fee""),"","","""")),0)"),0.0)</f>
        <v>0</v>
      </c>
      <c r="I37" s="60">
        <f t="shared" si="2"/>
        <v>833</v>
      </c>
      <c r="J37" s="60">
        <f>IFERROR(__xludf.DUMMYFUNCTION("IFERROR(VALUE(SUBSTITUTE(REGEXEXTRACT(Raw_Data!J37,""(?i)interest \$([\d,]+)""),"","","""")),0)"),0.0)</f>
        <v>0</v>
      </c>
      <c r="K37" s="60">
        <f t="shared" si="3"/>
        <v>833</v>
      </c>
      <c r="L37" s="60">
        <f>IFERROR(__xludf.DUMMYFUNCTION("IFERROR(VALUE(SUBSTITUTE(REGEXEXTRACT(Raw_Data!F37,""\$([\d,]+) prior deposit applied""),"","","""")),0)"),0.0)</f>
        <v>0</v>
      </c>
      <c r="M37" s="60">
        <f t="shared" si="4"/>
        <v>833</v>
      </c>
      <c r="N37" s="60">
        <f>IFERROR(__xludf.DUMMYFUNCTION("IFERROR(VALUE(SUBSTITUTE(REGEXEXTRACT(Raw_Data!F37,""^\$([\d,]+) cash""),"","","""")),0)"),0.0)</f>
        <v>0</v>
      </c>
      <c r="O37" s="60">
        <f t="shared" si="5"/>
        <v>833</v>
      </c>
      <c r="P37" s="60">
        <f>IFERROR(__xludf.DUMMYFUNCTION("IFERROR(VALUE(SUBSTITUTE(REGEXEXTRACT(Raw_Data!J37,""labour \d+ h at \$\d+/h: \$([\d,]+)""),"","","""")),0)"),0.0)</f>
        <v>0</v>
      </c>
      <c r="Q37" s="60">
        <f t="shared" si="6"/>
        <v>833</v>
      </c>
      <c r="R37" s="60" t="str">
        <f t="array" ref="R37">IF(INDEX(Rules!$B$2:$B$60,$D37)="","",INDEX(Rules!$B$2:$B$60,$D37))</f>
        <v>Utilities Expense</v>
      </c>
      <c r="S37" s="60" t="str">
        <f t="array" ref="S37">IF(INDEX(Rules!$E$2:$E$60,$D37)="","",INDEX(Rules!$E$2:$E$60,$D37))</f>
        <v/>
      </c>
      <c r="T37" s="60" t="str">
        <f t="array" ref="T37">IF(INDEX(Rules!$H$2:$H$60,$D37)="","",INDEX(Rules!$H$2:$H$60,$D37))</f>
        <v/>
      </c>
      <c r="U37" s="60" t="str">
        <f t="array" ref="U37">IF(INDEX(Rules!$C$2:$C$60,$D37)="","",INDEX(Rules!$C$2:$C$60,$D37))</f>
        <v>Cash</v>
      </c>
      <c r="V37" s="60" t="str">
        <f t="array" ref="V37">IF(INDEX(Rules!$F$2:$F$60,$D37)="","",INDEX(Rules!$F$2:$F$60,$D37))</f>
        <v/>
      </c>
      <c r="W37" s="60" t="str">
        <f t="array" ref="W37">IF(INDEX(Rules!$I$2:$I$60,$D37)="","",INDEX(Rules!$I$2:$I$60,$D37))</f>
        <v/>
      </c>
      <c r="X37" s="60">
        <f t="array" ref="X37">IF(R37="","",INDEX($F37:$Q37,MATCH(INDEX(Rules!$D$2:$D$60,$D37),$F$1:$Q$1,0)))</f>
        <v>833</v>
      </c>
      <c r="Y37" s="60" t="str">
        <f t="array" ref="Y37">IF(S37="","",INDEX($F37:$Q37,MATCH(INDEX(Rules!$G$2:$G$60,$D37),$F$1:$Q$1,0)))</f>
        <v/>
      </c>
      <c r="Z37" s="60" t="str">
        <f t="array" ref="Z37">IF(T37="","",INDEX($F37:$Q37,MATCH(INDEX(Rules!$J$2:$J$60,$D37),$F$1:$Q$1,0)))</f>
        <v/>
      </c>
      <c r="AA37" s="60" t="str">
        <f t="array" ref="AA37">IF(INDEX(Rules!$K$2:$K$60,$D37)="","",INDEX(Rules!$K$2:$K$60,$D37))</f>
        <v>monthly utilities</v>
      </c>
      <c r="AB37" s="60" t="str">
        <f>IF(SUMPRODUCT((R37:W37&lt;&gt;"")*(ISNUMBER(SEARCH(Raw_Data!E37,R37:W37))+ISNUMBER(SEARCH(R37:W37,Raw_Data!E37))))&gt;0,"OK","CHECK")</f>
        <v>OK</v>
      </c>
    </row>
    <row r="38">
      <c r="A38" s="60" t="str">
        <f>Raw_Data!A38</f>
        <v>VVV-2024-037</v>
      </c>
      <c r="B38" s="60">
        <f>Raw_Data!D38</f>
        <v>5400</v>
      </c>
      <c r="C38" s="60" t="str">
        <f>LOWER(Raw_Data!C38&amp;" | "&amp;Raw_Data!F38)</f>
        <v>monthly facility rent | automatic bank transfer; settled</v>
      </c>
      <c r="D38" s="60">
        <f t="array" ref="D38">MATCH(1,ISNUMBER(SEARCH(Rules!$A$2:$A$60,C38))*(Rules!$A$2:$A$60&lt;&gt;""),0)</f>
        <v>15</v>
      </c>
      <c r="E38" s="60" t="str">
        <f t="array" ref="E38">INDEX(Rules!$A$2:$A$60,D38)</f>
        <v>facility rent</v>
      </c>
      <c r="F38" s="60">
        <f t="shared" si="1"/>
        <v>5400</v>
      </c>
      <c r="G38" s="60">
        <f>IFERROR(__xludf.DUMMYFUNCTION("IFERROR(VALUE(SUBSTITUTE(REGEXEXTRACT(Raw_Data!J38,""Cost of goods sold: \$([\d,]+)""),"","","""")),0)"),0.0)</f>
        <v>0</v>
      </c>
      <c r="H38" s="60">
        <f>IFERROR(__xludf.DUMMYFUNCTION("IFERROR(VALUE(SUBSTITUTE(REGEXEXTRACT(Raw_Data!J38,""withheld a \$([\d,]+) fee""),"","","""")),0)"),0.0)</f>
        <v>0</v>
      </c>
      <c r="I38" s="60">
        <f t="shared" si="2"/>
        <v>5400</v>
      </c>
      <c r="J38" s="60">
        <f>IFERROR(__xludf.DUMMYFUNCTION("IFERROR(VALUE(SUBSTITUTE(REGEXEXTRACT(Raw_Data!J38,""(?i)interest \$([\d,]+)""),"","","""")),0)"),0.0)</f>
        <v>0</v>
      </c>
      <c r="K38" s="60">
        <f t="shared" si="3"/>
        <v>5400</v>
      </c>
      <c r="L38" s="60">
        <f>IFERROR(__xludf.DUMMYFUNCTION("IFERROR(VALUE(SUBSTITUTE(REGEXEXTRACT(Raw_Data!F38,""\$([\d,]+) prior deposit applied""),"","","""")),0)"),0.0)</f>
        <v>0</v>
      </c>
      <c r="M38" s="60">
        <f t="shared" si="4"/>
        <v>5400</v>
      </c>
      <c r="N38" s="60">
        <f>IFERROR(__xludf.DUMMYFUNCTION("IFERROR(VALUE(SUBSTITUTE(REGEXEXTRACT(Raw_Data!F38,""^\$([\d,]+) cash""),"","","""")),0)"),0.0)</f>
        <v>0</v>
      </c>
      <c r="O38" s="60">
        <f t="shared" si="5"/>
        <v>5400</v>
      </c>
      <c r="P38" s="60">
        <f>IFERROR(__xludf.DUMMYFUNCTION("IFERROR(VALUE(SUBSTITUTE(REGEXEXTRACT(Raw_Data!J38,""labour \d+ h at \$\d+/h: \$([\d,]+)""),"","","""")),0)"),0.0)</f>
        <v>0</v>
      </c>
      <c r="Q38" s="60">
        <f t="shared" si="6"/>
        <v>5400</v>
      </c>
      <c r="R38" s="60" t="str">
        <f t="array" ref="R38">IF(INDEX(Rules!$B$2:$B$60,$D38)="","",INDEX(Rules!$B$2:$B$60,$D38))</f>
        <v>Rent Expense</v>
      </c>
      <c r="S38" s="60" t="str">
        <f t="array" ref="S38">IF(INDEX(Rules!$E$2:$E$60,$D38)="","",INDEX(Rules!$E$2:$E$60,$D38))</f>
        <v/>
      </c>
      <c r="T38" s="60" t="str">
        <f t="array" ref="T38">IF(INDEX(Rules!$H$2:$H$60,$D38)="","",INDEX(Rules!$H$2:$H$60,$D38))</f>
        <v/>
      </c>
      <c r="U38" s="60" t="str">
        <f t="array" ref="U38">IF(INDEX(Rules!$C$2:$C$60,$D38)="","",INDEX(Rules!$C$2:$C$60,$D38))</f>
        <v>Cash</v>
      </c>
      <c r="V38" s="60" t="str">
        <f t="array" ref="V38">IF(INDEX(Rules!$F$2:$F$60,$D38)="","",INDEX(Rules!$F$2:$F$60,$D38))</f>
        <v/>
      </c>
      <c r="W38" s="60" t="str">
        <f t="array" ref="W38">IF(INDEX(Rules!$I$2:$I$60,$D38)="","",INDEX(Rules!$I$2:$I$60,$D38))</f>
        <v/>
      </c>
      <c r="X38" s="60">
        <f t="array" ref="X38">IF(R38="","",INDEX($F38:$Q38,MATCH(INDEX(Rules!$D$2:$D$60,$D38),$F$1:$Q$1,0)))</f>
        <v>5400</v>
      </c>
      <c r="Y38" s="60" t="str">
        <f t="array" ref="Y38">IF(S38="","",INDEX($F38:$Q38,MATCH(INDEX(Rules!$G$2:$G$60,$D38),$F$1:$Q$1,0)))</f>
        <v/>
      </c>
      <c r="Z38" s="60" t="str">
        <f t="array" ref="Z38">IF(T38="","",INDEX($F38:$Q38,MATCH(INDEX(Rules!$J$2:$J$60,$D38),$F$1:$Q$1,0)))</f>
        <v/>
      </c>
      <c r="AA38" s="60" t="str">
        <f t="array" ref="AA38">IF(INDEX(Rules!$K$2:$K$60,$D38)="","",INDEX(Rules!$K$2:$K$60,$D38))</f>
        <v>monthly rent</v>
      </c>
      <c r="AB38" s="60" t="str">
        <f>IF(SUMPRODUCT((R38:W38&lt;&gt;"")*(ISNUMBER(SEARCH(Raw_Data!E38,R38:W38))+ISNUMBER(SEARCH(R38:W38,Raw_Data!E38))))&gt;0,"OK","CHECK")</f>
        <v>OK</v>
      </c>
    </row>
    <row r="39">
      <c r="A39" s="60" t="str">
        <f>Raw_Data!A39</f>
        <v>VVV-2024-038</v>
      </c>
      <c r="B39" s="60">
        <f>Raw_Data!D39</f>
        <v>2000</v>
      </c>
      <c r="C39" s="60" t="str">
        <f>LOWER(Raw_Data!C39&amp;" | "&amp;Raw_Data!F39)</f>
        <v>fleet service work order | paid from business bank account</v>
      </c>
      <c r="D39" s="60">
        <f t="array" ref="D39">MATCH(1,ISNUMBER(SEARCH(Rules!$A$2:$A$60,C39))*(Rules!$A$2:$A$60&lt;&gt;""),0)</f>
        <v>5</v>
      </c>
      <c r="E39" s="60" t="str">
        <f t="array" ref="E39">INDEX(Rules!$A$2:$A$60,D39)</f>
        <v>fleet service work order</v>
      </c>
      <c r="F39" s="60">
        <f t="shared" si="1"/>
        <v>2000</v>
      </c>
      <c r="G39" s="60">
        <f>IFERROR(__xludf.DUMMYFUNCTION("IFERROR(VALUE(SUBSTITUTE(REGEXEXTRACT(Raw_Data!J39,""Cost of goods sold: \$([\d,]+)""),"","","""")),0)"),0.0)</f>
        <v>0</v>
      </c>
      <c r="H39" s="60">
        <f>IFERROR(__xludf.DUMMYFUNCTION("IFERROR(VALUE(SUBSTITUTE(REGEXEXTRACT(Raw_Data!J39,""withheld a \$([\d,]+) fee""),"","","""")),0)"),0.0)</f>
        <v>0</v>
      </c>
      <c r="I39" s="60">
        <f t="shared" si="2"/>
        <v>2000</v>
      </c>
      <c r="J39" s="60">
        <f>IFERROR(__xludf.DUMMYFUNCTION("IFERROR(VALUE(SUBSTITUTE(REGEXEXTRACT(Raw_Data!J39,""(?i)interest \$([\d,]+)""),"","","""")),0)"),0.0)</f>
        <v>0</v>
      </c>
      <c r="K39" s="60">
        <f t="shared" si="3"/>
        <v>2000</v>
      </c>
      <c r="L39" s="60">
        <f>IFERROR(__xludf.DUMMYFUNCTION("IFERROR(VALUE(SUBSTITUTE(REGEXEXTRACT(Raw_Data!F39,""\$([\d,]+) prior deposit applied""),"","","""")),0)"),0.0)</f>
        <v>0</v>
      </c>
      <c r="M39" s="60">
        <f t="shared" si="4"/>
        <v>2000</v>
      </c>
      <c r="N39" s="60">
        <f>IFERROR(__xludf.DUMMYFUNCTION("IFERROR(VALUE(SUBSTITUTE(REGEXEXTRACT(Raw_Data!F39,""^\$([\d,]+) cash""),"","","""")),0)"),0.0)</f>
        <v>0</v>
      </c>
      <c r="O39" s="60">
        <f t="shared" si="5"/>
        <v>2000</v>
      </c>
      <c r="P39" s="60">
        <f>IFERROR(__xludf.DUMMYFUNCTION("IFERROR(VALUE(SUBSTITUTE(REGEXEXTRACT(Raw_Data!J39,""labour \d+ h at \$\d+/h: \$([\d,]+)""),"","","""")),0)"),0.0)</f>
        <v>0</v>
      </c>
      <c r="Q39" s="60">
        <f t="shared" si="6"/>
        <v>2000</v>
      </c>
      <c r="R39" s="60" t="str">
        <f t="array" ref="R39">IF(INDEX(Rules!$B$2:$B$60,$D39)="","",INDEX(Rules!$B$2:$B$60,$D39))</f>
        <v>Repairs and Maintenance Expense</v>
      </c>
      <c r="S39" s="60" t="str">
        <f t="array" ref="S39">IF(INDEX(Rules!$E$2:$E$60,$D39)="","",INDEX(Rules!$E$2:$E$60,$D39))</f>
        <v/>
      </c>
      <c r="T39" s="60" t="str">
        <f t="array" ref="T39">IF(INDEX(Rules!$H$2:$H$60,$D39)="","",INDEX(Rules!$H$2:$H$60,$D39))</f>
        <v/>
      </c>
      <c r="U39" s="60" t="str">
        <f t="array" ref="U39">IF(INDEX(Rules!$C$2:$C$60,$D39)="","",INDEX(Rules!$C$2:$C$60,$D39))</f>
        <v>Cash</v>
      </c>
      <c r="V39" s="60" t="str">
        <f t="array" ref="V39">IF(INDEX(Rules!$F$2:$F$60,$D39)="","",INDEX(Rules!$F$2:$F$60,$D39))</f>
        <v/>
      </c>
      <c r="W39" s="60" t="str">
        <f t="array" ref="W39">IF(INDEX(Rules!$I$2:$I$60,$D39)="","",INDEX(Rules!$I$2:$I$60,$D39))</f>
        <v/>
      </c>
      <c r="X39" s="60">
        <f t="array" ref="X39">IF(R39="","",INDEX($F39:$Q39,MATCH(INDEX(Rules!$D$2:$D$60,$D39),$F$1:$Q$1,0)))</f>
        <v>2000</v>
      </c>
      <c r="Y39" s="60" t="str">
        <f t="array" ref="Y39">IF(S39="","",INDEX($F39:$Q39,MATCH(INDEX(Rules!$G$2:$G$60,$D39),$F$1:$Q$1,0)))</f>
        <v/>
      </c>
      <c r="Z39" s="60" t="str">
        <f t="array" ref="Z39">IF(T39="","",INDEX($F39:$Q39,MATCH(INDEX(Rules!$J$2:$J$60,$D39),$F$1:$Q$1,0)))</f>
        <v/>
      </c>
      <c r="AA39" s="60" t="str">
        <f t="array" ref="AA39">IF(INDEX(Rules!$K$2:$K$60,$D39)="","",INDEX(Rules!$K$2:$K$60,$D39))</f>
        <v>fleet repairs</v>
      </c>
      <c r="AB39" s="60" t="str">
        <f>IF(SUMPRODUCT((R39:W39&lt;&gt;"")*(ISNUMBER(SEARCH(Raw_Data!E39,R39:W39))+ISNUMBER(SEARCH(R39:W39,Raw_Data!E39))))&gt;0,"OK","CHECK")</f>
        <v>OK</v>
      </c>
    </row>
    <row r="40">
      <c r="A40" s="60" t="str">
        <f>Raw_Data!A40</f>
        <v>VVV-2024-039</v>
      </c>
      <c r="B40" s="60">
        <f>Raw_Data!D40</f>
        <v>600</v>
      </c>
      <c r="C40" s="60" t="str">
        <f>LOWER(Raw_Data!C40&amp;" | "&amp;Raw_Data!F40)</f>
        <v>monthly business insurance premium | automatic bank transfer; settled</v>
      </c>
      <c r="D40" s="60">
        <f t="array" ref="D40">MATCH(1,ISNUMBER(SEARCH(Rules!$A$2:$A$60,C40))*(Rules!$A$2:$A$60&lt;&gt;""),0)</f>
        <v>20</v>
      </c>
      <c r="E40" s="60" t="str">
        <f t="array" ref="E40">INDEX(Rules!$A$2:$A$60,D40)</f>
        <v>insurance</v>
      </c>
      <c r="F40" s="60">
        <f t="shared" si="1"/>
        <v>600</v>
      </c>
      <c r="G40" s="60">
        <f>IFERROR(__xludf.DUMMYFUNCTION("IFERROR(VALUE(SUBSTITUTE(REGEXEXTRACT(Raw_Data!J40,""Cost of goods sold: \$([\d,]+)""),"","","""")),0)"),0.0)</f>
        <v>0</v>
      </c>
      <c r="H40" s="60">
        <f>IFERROR(__xludf.DUMMYFUNCTION("IFERROR(VALUE(SUBSTITUTE(REGEXEXTRACT(Raw_Data!J40,""withheld a \$([\d,]+) fee""),"","","""")),0)"),0.0)</f>
        <v>0</v>
      </c>
      <c r="I40" s="60">
        <f t="shared" si="2"/>
        <v>600</v>
      </c>
      <c r="J40" s="60">
        <f>IFERROR(__xludf.DUMMYFUNCTION("IFERROR(VALUE(SUBSTITUTE(REGEXEXTRACT(Raw_Data!J40,""(?i)interest \$([\d,]+)""),"","","""")),0)"),0.0)</f>
        <v>0</v>
      </c>
      <c r="K40" s="60">
        <f t="shared" si="3"/>
        <v>600</v>
      </c>
      <c r="L40" s="60">
        <f>IFERROR(__xludf.DUMMYFUNCTION("IFERROR(VALUE(SUBSTITUTE(REGEXEXTRACT(Raw_Data!F40,""\$([\d,]+) prior deposit applied""),"","","""")),0)"),0.0)</f>
        <v>0</v>
      </c>
      <c r="M40" s="60">
        <f t="shared" si="4"/>
        <v>600</v>
      </c>
      <c r="N40" s="60">
        <f>IFERROR(__xludf.DUMMYFUNCTION("IFERROR(VALUE(SUBSTITUTE(REGEXEXTRACT(Raw_Data!F40,""^\$([\d,]+) cash""),"","","""")),0)"),0.0)</f>
        <v>0</v>
      </c>
      <c r="O40" s="60">
        <f t="shared" si="5"/>
        <v>600</v>
      </c>
      <c r="P40" s="60">
        <f>IFERROR(__xludf.DUMMYFUNCTION("IFERROR(VALUE(SUBSTITUTE(REGEXEXTRACT(Raw_Data!J40,""labour \d+ h at \$\d+/h: \$([\d,]+)""),"","","""")),0)"),0.0)</f>
        <v>0</v>
      </c>
      <c r="Q40" s="60">
        <f t="shared" si="6"/>
        <v>600</v>
      </c>
      <c r="R40" s="60" t="str">
        <f t="array" ref="R40">IF(INDEX(Rules!$B$2:$B$60,$D40)="","",INDEX(Rules!$B$2:$B$60,$D40))</f>
        <v>Insurance Expense</v>
      </c>
      <c r="S40" s="60" t="str">
        <f t="array" ref="S40">IF(INDEX(Rules!$E$2:$E$60,$D40)="","",INDEX(Rules!$E$2:$E$60,$D40))</f>
        <v/>
      </c>
      <c r="T40" s="60" t="str">
        <f t="array" ref="T40">IF(INDEX(Rules!$H$2:$H$60,$D40)="","",INDEX(Rules!$H$2:$H$60,$D40))</f>
        <v/>
      </c>
      <c r="U40" s="60" t="str">
        <f t="array" ref="U40">IF(INDEX(Rules!$C$2:$C$60,$D40)="","",INDEX(Rules!$C$2:$C$60,$D40))</f>
        <v>Cash</v>
      </c>
      <c r="V40" s="60" t="str">
        <f t="array" ref="V40">IF(INDEX(Rules!$F$2:$F$60,$D40)="","",INDEX(Rules!$F$2:$F$60,$D40))</f>
        <v/>
      </c>
      <c r="W40" s="60" t="str">
        <f t="array" ref="W40">IF(INDEX(Rules!$I$2:$I$60,$D40)="","",INDEX(Rules!$I$2:$I$60,$D40))</f>
        <v/>
      </c>
      <c r="X40" s="60">
        <f t="array" ref="X40">IF(R40="","",INDEX($F40:$Q40,MATCH(INDEX(Rules!$D$2:$D$60,$D40),$F$1:$Q$1,0)))</f>
        <v>600</v>
      </c>
      <c r="Y40" s="60" t="str">
        <f t="array" ref="Y40">IF(S40="","",INDEX($F40:$Q40,MATCH(INDEX(Rules!$G$2:$G$60,$D40),$F$1:$Q$1,0)))</f>
        <v/>
      </c>
      <c r="Z40" s="60" t="str">
        <f t="array" ref="Z40">IF(T40="","",INDEX($F40:$Q40,MATCH(INDEX(Rules!$J$2:$J$60,$D40),$F$1:$Q$1,0)))</f>
        <v/>
      </c>
      <c r="AA40" s="60" t="str">
        <f t="array" ref="AA40">IF(INDEX(Rules!$K$2:$K$60,$D40)="","",INDEX(Rules!$K$2:$K$60,$D40))</f>
        <v>monthly insurance</v>
      </c>
      <c r="AB40" s="60" t="str">
        <f>IF(SUMPRODUCT((R40:W40&lt;&gt;"")*(ISNUMBER(SEARCH(Raw_Data!E40,R40:W40))+ISNUMBER(SEARCH(R40:W40,Raw_Data!E40))))&gt;0,"OK","CHECK")</f>
        <v>OK</v>
      </c>
    </row>
    <row r="41">
      <c r="A41" s="60" t="str">
        <f>Raw_Data!A41</f>
        <v>VVV-2024-040</v>
      </c>
      <c r="B41" s="60">
        <f>Raw_Data!D41</f>
        <v>10000</v>
      </c>
      <c r="C41" s="60" t="str">
        <f>LOWER(Raw_Data!C41&amp;" | "&amp;Raw_Data!F41)</f>
        <v>equipment rental receipts batch | cash and card receipts; settled</v>
      </c>
      <c r="D41" s="60">
        <f t="array" ref="D41">MATCH(1,ISNUMBER(SEARCH(Rules!$A$2:$A$60,C41))*(Rules!$A$2:$A$60&lt;&gt;""),0)</f>
        <v>26</v>
      </c>
      <c r="E41" s="60" t="str">
        <f t="array" ref="E41">INDEX(Rules!$A$2:$A$60,D41)</f>
        <v>rental receipts</v>
      </c>
      <c r="F41" s="60">
        <f t="shared" si="1"/>
        <v>10000</v>
      </c>
      <c r="G41" s="60">
        <f>IFERROR(__xludf.DUMMYFUNCTION("IFERROR(VALUE(SUBSTITUTE(REGEXEXTRACT(Raw_Data!J41,""Cost of goods sold: \$([\d,]+)""),"","","""")),0)"),0.0)</f>
        <v>0</v>
      </c>
      <c r="H41" s="60">
        <f>IFERROR(__xludf.DUMMYFUNCTION("IFERROR(VALUE(SUBSTITUTE(REGEXEXTRACT(Raw_Data!J41,""withheld a \$([\d,]+) fee""),"","","""")),0)"),0.0)</f>
        <v>0</v>
      </c>
      <c r="I41" s="60">
        <f t="shared" si="2"/>
        <v>10000</v>
      </c>
      <c r="J41" s="60">
        <f>IFERROR(__xludf.DUMMYFUNCTION("IFERROR(VALUE(SUBSTITUTE(REGEXEXTRACT(Raw_Data!J41,""(?i)interest \$([\d,]+)""),"","","""")),0)"),0.0)</f>
        <v>0</v>
      </c>
      <c r="K41" s="60">
        <f t="shared" si="3"/>
        <v>10000</v>
      </c>
      <c r="L41" s="60">
        <f>IFERROR(__xludf.DUMMYFUNCTION("IFERROR(VALUE(SUBSTITUTE(REGEXEXTRACT(Raw_Data!F41,""\$([\d,]+) prior deposit applied""),"","","""")),0)"),0.0)</f>
        <v>0</v>
      </c>
      <c r="M41" s="60">
        <f t="shared" si="4"/>
        <v>10000</v>
      </c>
      <c r="N41" s="60">
        <f>IFERROR(__xludf.DUMMYFUNCTION("IFERROR(VALUE(SUBSTITUTE(REGEXEXTRACT(Raw_Data!F41,""^\$([\d,]+) cash""),"","","""")),0)"),0.0)</f>
        <v>0</v>
      </c>
      <c r="O41" s="60">
        <f t="shared" si="5"/>
        <v>10000</v>
      </c>
      <c r="P41" s="60">
        <f>IFERROR(__xludf.DUMMYFUNCTION("IFERROR(VALUE(SUBSTITUTE(REGEXEXTRACT(Raw_Data!J41,""labour \d+ h at \$\d+/h: \$([\d,]+)""),"","","""")),0)"),0.0)</f>
        <v>0</v>
      </c>
      <c r="Q41" s="60">
        <f t="shared" si="6"/>
        <v>10000</v>
      </c>
      <c r="R41" s="60" t="str">
        <f t="array" ref="R41">IF(INDEX(Rules!$B$2:$B$60,$D41)="","",INDEX(Rules!$B$2:$B$60,$D41))</f>
        <v>Cash</v>
      </c>
      <c r="S41" s="60" t="str">
        <f t="array" ref="S41">IF(INDEX(Rules!$E$2:$E$60,$D41)="","",INDEX(Rules!$E$2:$E$60,$D41))</f>
        <v/>
      </c>
      <c r="T41" s="60" t="str">
        <f t="array" ref="T41">IF(INDEX(Rules!$H$2:$H$60,$D41)="","",INDEX(Rules!$H$2:$H$60,$D41))</f>
        <v/>
      </c>
      <c r="U41" s="60" t="str">
        <f t="array" ref="U41">IF(INDEX(Rules!$C$2:$C$60,$D41)="","",INDEX(Rules!$C$2:$C$60,$D41))</f>
        <v>Equipment Rental Revenue</v>
      </c>
      <c r="V41" s="60" t="str">
        <f t="array" ref="V41">IF(INDEX(Rules!$F$2:$F$60,$D41)="","",INDEX(Rules!$F$2:$F$60,$D41))</f>
        <v/>
      </c>
      <c r="W41" s="60" t="str">
        <f t="array" ref="W41">IF(INDEX(Rules!$I$2:$I$60,$D41)="","",INDEX(Rules!$I$2:$I$60,$D41))</f>
        <v/>
      </c>
      <c r="X41" s="60">
        <f t="array" ref="X41">IF(R41="","",INDEX($F41:$Q41,MATCH(INDEX(Rules!$D$2:$D$60,$D41),$F$1:$Q$1,0)))</f>
        <v>10000</v>
      </c>
      <c r="Y41" s="60" t="str">
        <f t="array" ref="Y41">IF(S41="","",INDEX($F41:$Q41,MATCH(INDEX(Rules!$G$2:$G$60,$D41),$F$1:$Q$1,0)))</f>
        <v/>
      </c>
      <c r="Z41" s="60" t="str">
        <f t="array" ref="Z41">IF(T41="","",INDEX($F41:$Q41,MATCH(INDEX(Rules!$J$2:$J$60,$D41),$F$1:$Q$1,0)))</f>
        <v/>
      </c>
      <c r="AA41" s="60" t="str">
        <f t="array" ref="AA41">IF(INDEX(Rules!$K$2:$K$60,$D41)="","",INDEX(Rules!$K$2:$K$60,$D41))</f>
        <v>rentals done and paid</v>
      </c>
      <c r="AB41" s="60" t="str">
        <f>IF(SUMPRODUCT((R41:W41&lt;&gt;"")*(ISNUMBER(SEARCH(Raw_Data!E41,R41:W41))+ISNUMBER(SEARCH(R41:W41,Raw_Data!E41))))&gt;0,"OK","CHECK")</f>
        <v>OK</v>
      </c>
    </row>
    <row r="42">
      <c r="A42" s="60" t="str">
        <f>Raw_Data!A42</f>
        <v>VVV-2024-041</v>
      </c>
      <c r="B42" s="60">
        <f>Raw_Data!D42</f>
        <v>8000</v>
      </c>
      <c r="C42" s="60" t="str">
        <f>LOWER(Raw_Data!C42&amp;" | "&amp;Raw_Data!F42)</f>
        <v>purchased additional retail inventory | bank transfer; settled</v>
      </c>
      <c r="D42" s="60">
        <f t="array" ref="D42">MATCH(1,ISNUMBER(SEARCH(Rules!$A$2:$A$60,C42))*(Rules!$A$2:$A$60&lt;&gt;""),0)</f>
        <v>10</v>
      </c>
      <c r="E42" s="60" t="str">
        <f t="array" ref="E42">INDEX(Rules!$A$2:$A$60,D42)</f>
        <v>inventory</v>
      </c>
      <c r="F42" s="60">
        <f t="shared" si="1"/>
        <v>8000</v>
      </c>
      <c r="G42" s="60">
        <f>IFERROR(__xludf.DUMMYFUNCTION("IFERROR(VALUE(SUBSTITUTE(REGEXEXTRACT(Raw_Data!J42,""Cost of goods sold: \$([\d,]+)""),"","","""")),0)"),0.0)</f>
        <v>0</v>
      </c>
      <c r="H42" s="60">
        <f>IFERROR(__xludf.DUMMYFUNCTION("IFERROR(VALUE(SUBSTITUTE(REGEXEXTRACT(Raw_Data!J42,""withheld a \$([\d,]+) fee""),"","","""")),0)"),0.0)</f>
        <v>0</v>
      </c>
      <c r="I42" s="60">
        <f t="shared" si="2"/>
        <v>8000</v>
      </c>
      <c r="J42" s="60">
        <f>IFERROR(__xludf.DUMMYFUNCTION("IFERROR(VALUE(SUBSTITUTE(REGEXEXTRACT(Raw_Data!J42,""(?i)interest \$([\d,]+)""),"","","""")),0)"),0.0)</f>
        <v>0</v>
      </c>
      <c r="K42" s="60">
        <f t="shared" si="3"/>
        <v>8000</v>
      </c>
      <c r="L42" s="60">
        <f>IFERROR(__xludf.DUMMYFUNCTION("IFERROR(VALUE(SUBSTITUTE(REGEXEXTRACT(Raw_Data!F42,""\$([\d,]+) prior deposit applied""),"","","""")),0)"),0.0)</f>
        <v>0</v>
      </c>
      <c r="M42" s="60">
        <f t="shared" si="4"/>
        <v>8000</v>
      </c>
      <c r="N42" s="60">
        <f>IFERROR(__xludf.DUMMYFUNCTION("IFERROR(VALUE(SUBSTITUTE(REGEXEXTRACT(Raw_Data!F42,""^\$([\d,]+) cash""),"","","""")),0)"),0.0)</f>
        <v>0</v>
      </c>
      <c r="O42" s="60">
        <f t="shared" si="5"/>
        <v>8000</v>
      </c>
      <c r="P42" s="60">
        <f>IFERROR(__xludf.DUMMYFUNCTION("IFERROR(VALUE(SUBSTITUTE(REGEXEXTRACT(Raw_Data!J42,""labour \d+ h at \$\d+/h: \$([\d,]+)""),"","","""")),0)"),0.0)</f>
        <v>0</v>
      </c>
      <c r="Q42" s="60">
        <f t="shared" si="6"/>
        <v>8000</v>
      </c>
      <c r="R42" s="60" t="str">
        <f t="array" ref="R42">IF(INDEX(Rules!$B$2:$B$60,$D42)="","",INDEX(Rules!$B$2:$B$60,$D42))</f>
        <v>Inventory</v>
      </c>
      <c r="S42" s="60" t="str">
        <f t="array" ref="S42">IF(INDEX(Rules!$E$2:$E$60,$D42)="","",INDEX(Rules!$E$2:$E$60,$D42))</f>
        <v/>
      </c>
      <c r="T42" s="60" t="str">
        <f t="array" ref="T42">IF(INDEX(Rules!$H$2:$H$60,$D42)="","",INDEX(Rules!$H$2:$H$60,$D42))</f>
        <v/>
      </c>
      <c r="U42" s="60" t="str">
        <f t="array" ref="U42">IF(INDEX(Rules!$C$2:$C$60,$D42)="","",INDEX(Rules!$C$2:$C$60,$D42))</f>
        <v>Cash</v>
      </c>
      <c r="V42" s="60" t="str">
        <f t="array" ref="V42">IF(INDEX(Rules!$F$2:$F$60,$D42)="","",INDEX(Rules!$F$2:$F$60,$D42))</f>
        <v/>
      </c>
      <c r="W42" s="60" t="str">
        <f t="array" ref="W42">IF(INDEX(Rules!$I$2:$I$60,$D42)="","",INDEX(Rules!$I$2:$I$60,$D42))</f>
        <v/>
      </c>
      <c r="X42" s="60">
        <f t="array" ref="X42">IF(R42="","",INDEX($F42:$Q42,MATCH(INDEX(Rules!$D$2:$D$60,$D42),$F$1:$Q$1,0)))</f>
        <v>8000</v>
      </c>
      <c r="Y42" s="60" t="str">
        <f t="array" ref="Y42">IF(S42="","",INDEX($F42:$Q42,MATCH(INDEX(Rules!$G$2:$G$60,$D42),$F$1:$Q$1,0)))</f>
        <v/>
      </c>
      <c r="Z42" s="60" t="str">
        <f t="array" ref="Z42">IF(T42="","",INDEX($F42:$Q42,MATCH(INDEX(Rules!$J$2:$J$60,$D42),$F$1:$Q$1,0)))</f>
        <v/>
      </c>
      <c r="AA42" s="60" t="str">
        <f t="array" ref="AA42">IF(INDEX(Rules!$K$2:$K$60,$D42)="","",INDEX(Rules!$K$2:$K$60,$D42))</f>
        <v>stuff to resell, paid cash</v>
      </c>
      <c r="AB42" s="60" t="str">
        <f>IF(SUMPRODUCT((R42:W42&lt;&gt;"")*(ISNUMBER(SEARCH(Raw_Data!E42,R42:W42))+ISNUMBER(SEARCH(R42:W42,Raw_Data!E42))))&gt;0,"OK","CHECK")</f>
        <v>OK</v>
      </c>
    </row>
    <row r="43">
      <c r="A43" s="60" t="str">
        <f>Raw_Data!A43</f>
        <v>VVV-2024-042</v>
      </c>
      <c r="B43" s="60">
        <f>Raw_Data!D43</f>
        <v>6500</v>
      </c>
      <c r="C43" s="60" t="str">
        <f>LOWER(Raw_Data!C43&amp;" | "&amp;Raw_Data!F43)</f>
        <v>retail camping-supply sales | cash and card receipts; settled</v>
      </c>
      <c r="D43" s="60">
        <f t="array" ref="D43">MATCH(1,ISNUMBER(SEARCH(Rules!$A$2:$A$60,C43))*(Rules!$A$2:$A$60&lt;&gt;""),0)</f>
        <v>12</v>
      </c>
      <c r="E43" s="60" t="str">
        <f t="array" ref="E43">INDEX(Rules!$A$2:$A$60,D43)</f>
        <v>camping-supply sales</v>
      </c>
      <c r="F43" s="60">
        <f t="shared" si="1"/>
        <v>6500</v>
      </c>
      <c r="G43" s="60">
        <f>IFERROR(__xludf.DUMMYFUNCTION("IFERROR(VALUE(SUBSTITUTE(REGEXEXTRACT(Raw_Data!J43,""Cost of goods sold: \$([\d,]+)""),"","","""")),0)"),3900.0)</f>
        <v>3900</v>
      </c>
      <c r="H43" s="60">
        <f>IFERROR(__xludf.DUMMYFUNCTION("IFERROR(VALUE(SUBSTITUTE(REGEXEXTRACT(Raw_Data!J43,""withheld a \$([\d,]+) fee""),"","","""")),0)"),0.0)</f>
        <v>0</v>
      </c>
      <c r="I43" s="60">
        <f t="shared" si="2"/>
        <v>6500</v>
      </c>
      <c r="J43" s="60">
        <f>IFERROR(__xludf.DUMMYFUNCTION("IFERROR(VALUE(SUBSTITUTE(REGEXEXTRACT(Raw_Data!J43,""(?i)interest \$([\d,]+)""),"","","""")),0)"),0.0)</f>
        <v>0</v>
      </c>
      <c r="K43" s="60">
        <f t="shared" si="3"/>
        <v>6500</v>
      </c>
      <c r="L43" s="60">
        <f>IFERROR(__xludf.DUMMYFUNCTION("IFERROR(VALUE(SUBSTITUTE(REGEXEXTRACT(Raw_Data!F43,""\$([\d,]+) prior deposit applied""),"","","""")),0)"),0.0)</f>
        <v>0</v>
      </c>
      <c r="M43" s="60">
        <f t="shared" si="4"/>
        <v>6500</v>
      </c>
      <c r="N43" s="60">
        <f>IFERROR(__xludf.DUMMYFUNCTION("IFERROR(VALUE(SUBSTITUTE(REGEXEXTRACT(Raw_Data!F43,""^\$([\d,]+) cash""),"","","""")),0)"),0.0)</f>
        <v>0</v>
      </c>
      <c r="O43" s="60">
        <f t="shared" si="5"/>
        <v>6500</v>
      </c>
      <c r="P43" s="60">
        <f>IFERROR(__xludf.DUMMYFUNCTION("IFERROR(VALUE(SUBSTITUTE(REGEXEXTRACT(Raw_Data!J43,""labour \d+ h at \$\d+/h: \$([\d,]+)""),"","","""")),0)"),0.0)</f>
        <v>0</v>
      </c>
      <c r="Q43" s="60">
        <f t="shared" si="6"/>
        <v>6500</v>
      </c>
      <c r="R43" s="60" t="str">
        <f t="array" ref="R43">IF(INDEX(Rules!$B$2:$B$60,$D43)="","",INDEX(Rules!$B$2:$B$60,$D43))</f>
        <v>Cash</v>
      </c>
      <c r="S43" s="60" t="str">
        <f t="array" ref="S43">IF(INDEX(Rules!$E$2:$E$60,$D43)="","",INDEX(Rules!$E$2:$E$60,$D43))</f>
        <v>Cost of Goods Sold</v>
      </c>
      <c r="T43" s="60" t="str">
        <f t="array" ref="T43">IF(INDEX(Rules!$H$2:$H$60,$D43)="","",INDEX(Rules!$H$2:$H$60,$D43))</f>
        <v/>
      </c>
      <c r="U43" s="60" t="str">
        <f t="array" ref="U43">IF(INDEX(Rules!$C$2:$C$60,$D43)="","",INDEX(Rules!$C$2:$C$60,$D43))</f>
        <v>Retail Sales Revenue</v>
      </c>
      <c r="V43" s="60" t="str">
        <f t="array" ref="V43">IF(INDEX(Rules!$F$2:$F$60,$D43)="","",INDEX(Rules!$F$2:$F$60,$D43))</f>
        <v>Inventory</v>
      </c>
      <c r="W43" s="60" t="str">
        <f t="array" ref="W43">IF(INDEX(Rules!$I$2:$I$60,$D43)="","",INDEX(Rules!$I$2:$I$60,$D43))</f>
        <v/>
      </c>
      <c r="X43" s="60">
        <f t="array" ref="X43">IF(R43="","",INDEX($F43:$Q43,MATCH(INDEX(Rules!$D$2:$D$60,$D43),$F$1:$Q$1,0)))</f>
        <v>6500</v>
      </c>
      <c r="Y43" s="60">
        <f t="array" ref="Y43">IF(S43="","",INDEX($F43:$Q43,MATCH(INDEX(Rules!$G$2:$G$60,$D43),$F$1:$Q$1,0)))</f>
        <v>3900</v>
      </c>
      <c r="Z43" s="60" t="str">
        <f t="array" ref="Z43">IF(T43="","",INDEX($F43:$Q43,MATCH(INDEX(Rules!$J$2:$J$60,$D43),$F$1:$Q$1,0)))</f>
        <v/>
      </c>
      <c r="AA43" s="60" t="str">
        <f t="array" ref="AA43">IF(INDEX(Rules!$K$2:$K$60,$D43)="","",INDEX(Rules!$K$2:$K$60,$D43))</f>
        <v>sale + cost of the goods comes out of inventory (COGS)</v>
      </c>
      <c r="AB43" s="60" t="str">
        <f>IF(SUMPRODUCT((R43:W43&lt;&gt;"")*(ISNUMBER(SEARCH(Raw_Data!E43,R43:W43))+ISNUMBER(SEARCH(R43:W43,Raw_Data!E43))))&gt;0,"OK","CHECK")</f>
        <v>OK</v>
      </c>
    </row>
    <row r="44">
      <c r="A44" s="60" t="str">
        <f>Raw_Data!A44</f>
        <v>VVV-2024-043</v>
      </c>
      <c r="B44" s="60">
        <f>Raw_Data!D44</f>
        <v>7000</v>
      </c>
      <c r="C44" s="60" t="str">
        <f>LOWER(Raw_Data!C44&amp;" | "&amp;Raw_Data!F44)</f>
        <v>guided tour revenue | cash and card receipts; settled</v>
      </c>
      <c r="D44" s="60">
        <f t="array" ref="D44">MATCH(1,ISNUMBER(SEARCH(Rules!$A$2:$A$60,C44))*(Rules!$A$2:$A$60&lt;&gt;""),0)</f>
        <v>32</v>
      </c>
      <c r="E44" s="60" t="str">
        <f t="array" ref="E44">INDEX(Rules!$A$2:$A$60,D44)</f>
        <v>tour revenue</v>
      </c>
      <c r="F44" s="60">
        <f t="shared" si="1"/>
        <v>7000</v>
      </c>
      <c r="G44" s="60">
        <f>IFERROR(__xludf.DUMMYFUNCTION("IFERROR(VALUE(SUBSTITUTE(REGEXEXTRACT(Raw_Data!J44,""Cost of goods sold: \$([\d,]+)""),"","","""")),0)"),0.0)</f>
        <v>0</v>
      </c>
      <c r="H44" s="60">
        <f>IFERROR(__xludf.DUMMYFUNCTION("IFERROR(VALUE(SUBSTITUTE(REGEXEXTRACT(Raw_Data!J44,""withheld a \$([\d,]+) fee""),"","","""")),0)"),0.0)</f>
        <v>0</v>
      </c>
      <c r="I44" s="60">
        <f t="shared" si="2"/>
        <v>7000</v>
      </c>
      <c r="J44" s="60">
        <f>IFERROR(__xludf.DUMMYFUNCTION("IFERROR(VALUE(SUBSTITUTE(REGEXEXTRACT(Raw_Data!J44,""(?i)interest \$([\d,]+)""),"","","""")),0)"),0.0)</f>
        <v>0</v>
      </c>
      <c r="K44" s="60">
        <f t="shared" si="3"/>
        <v>7000</v>
      </c>
      <c r="L44" s="60">
        <f>IFERROR(__xludf.DUMMYFUNCTION("IFERROR(VALUE(SUBSTITUTE(REGEXEXTRACT(Raw_Data!F44,""\$([\d,]+) prior deposit applied""),"","","""")),0)"),0.0)</f>
        <v>0</v>
      </c>
      <c r="M44" s="60">
        <f t="shared" si="4"/>
        <v>7000</v>
      </c>
      <c r="N44" s="60">
        <f>IFERROR(__xludf.DUMMYFUNCTION("IFERROR(VALUE(SUBSTITUTE(REGEXEXTRACT(Raw_Data!F44,""^\$([\d,]+) cash""),"","","""")),0)"),0.0)</f>
        <v>0</v>
      </c>
      <c r="O44" s="60">
        <f t="shared" si="5"/>
        <v>7000</v>
      </c>
      <c r="P44" s="60">
        <f>IFERROR(__xludf.DUMMYFUNCTION("IFERROR(VALUE(SUBSTITUTE(REGEXEXTRACT(Raw_Data!J44,""labour \d+ h at \$\d+/h: \$([\d,]+)""),"","","""")),0)"),0.0)</f>
        <v>0</v>
      </c>
      <c r="Q44" s="60">
        <f t="shared" si="6"/>
        <v>7000</v>
      </c>
      <c r="R44" s="60" t="str">
        <f t="array" ref="R44">IF(INDEX(Rules!$B$2:$B$60,$D44)="","",INDEX(Rules!$B$2:$B$60,$D44))</f>
        <v>Cash</v>
      </c>
      <c r="S44" s="60" t="str">
        <f t="array" ref="S44">IF(INDEX(Rules!$E$2:$E$60,$D44)="","",INDEX(Rules!$E$2:$E$60,$D44))</f>
        <v/>
      </c>
      <c r="T44" s="60" t="str">
        <f t="array" ref="T44">IF(INDEX(Rules!$H$2:$H$60,$D44)="","",INDEX(Rules!$H$2:$H$60,$D44))</f>
        <v/>
      </c>
      <c r="U44" s="60" t="str">
        <f t="array" ref="U44">IF(INDEX(Rules!$C$2:$C$60,$D44)="","",INDEX(Rules!$C$2:$C$60,$D44))</f>
        <v>Tour Revenue</v>
      </c>
      <c r="V44" s="60" t="str">
        <f t="array" ref="V44">IF(INDEX(Rules!$F$2:$F$60,$D44)="","",INDEX(Rules!$F$2:$F$60,$D44))</f>
        <v/>
      </c>
      <c r="W44" s="60" t="str">
        <f t="array" ref="W44">IF(INDEX(Rules!$I$2:$I$60,$D44)="","",INDEX(Rules!$I$2:$I$60,$D44))</f>
        <v/>
      </c>
      <c r="X44" s="60">
        <f t="array" ref="X44">IF(R44="","",INDEX($F44:$Q44,MATCH(INDEX(Rules!$D$2:$D$60,$D44),$F$1:$Q$1,0)))</f>
        <v>7000</v>
      </c>
      <c r="Y44" s="60" t="str">
        <f t="array" ref="Y44">IF(S44="","",INDEX($F44:$Q44,MATCH(INDEX(Rules!$G$2:$G$60,$D44),$F$1:$Q$1,0)))</f>
        <v/>
      </c>
      <c r="Z44" s="60" t="str">
        <f t="array" ref="Z44">IF(T44="","",INDEX($F44:$Q44,MATCH(INDEX(Rules!$J$2:$J$60,$D44),$F$1:$Q$1,0)))</f>
        <v/>
      </c>
      <c r="AA44" s="60" t="str">
        <f t="array" ref="AA44">IF(INDEX(Rules!$K$2:$K$60,$D44)="","",INDEX(Rules!$K$2:$K$60,$D44))</f>
        <v>tours done and paid</v>
      </c>
      <c r="AB44" s="60" t="str">
        <f>IF(SUMPRODUCT((R44:W44&lt;&gt;"")*(ISNUMBER(SEARCH(Raw_Data!E44,R44:W44))+ISNUMBER(SEARCH(R44:W44,Raw_Data!E44))))&gt;0,"OK","CHECK")</f>
        <v>OK</v>
      </c>
    </row>
    <row r="45">
      <c r="A45" s="60" t="str">
        <f>Raw_Data!A45</f>
        <v>VVV-2024-044</v>
      </c>
      <c r="B45" s="60">
        <f>Raw_Data!D45</f>
        <v>1800</v>
      </c>
      <c r="C45" s="60" t="str">
        <f>LOWER(Raw_Data!C45&amp;" | "&amp;Raw_Data!F45)</f>
        <v>seasonal guide safety course | business debit card; settled</v>
      </c>
      <c r="D45" s="60">
        <f t="array" ref="D45">MATCH(1,ISNUMBER(SEARCH(Rules!$A$2:$A$60,C45))*(Rules!$A$2:$A$60&lt;&gt;""),0)</f>
        <v>25</v>
      </c>
      <c r="E45" s="60" t="str">
        <f t="array" ref="E45">INDEX(Rules!$A$2:$A$60,D45)</f>
        <v>safety course</v>
      </c>
      <c r="F45" s="60">
        <f t="shared" si="1"/>
        <v>1800</v>
      </c>
      <c r="G45" s="60">
        <f>IFERROR(__xludf.DUMMYFUNCTION("IFERROR(VALUE(SUBSTITUTE(REGEXEXTRACT(Raw_Data!J45,""Cost of goods sold: \$([\d,]+)""),"","","""")),0)"),0.0)</f>
        <v>0</v>
      </c>
      <c r="H45" s="60">
        <f>IFERROR(__xludf.DUMMYFUNCTION("IFERROR(VALUE(SUBSTITUTE(REGEXEXTRACT(Raw_Data!J45,""withheld a \$([\d,]+) fee""),"","","""")),0)"),0.0)</f>
        <v>0</v>
      </c>
      <c r="I45" s="60">
        <f t="shared" si="2"/>
        <v>1800</v>
      </c>
      <c r="J45" s="60">
        <f>IFERROR(__xludf.DUMMYFUNCTION("IFERROR(VALUE(SUBSTITUTE(REGEXEXTRACT(Raw_Data!J45,""(?i)interest \$([\d,]+)""),"","","""")),0)"),0.0)</f>
        <v>0</v>
      </c>
      <c r="K45" s="60">
        <f t="shared" si="3"/>
        <v>1800</v>
      </c>
      <c r="L45" s="60">
        <f>IFERROR(__xludf.DUMMYFUNCTION("IFERROR(VALUE(SUBSTITUTE(REGEXEXTRACT(Raw_Data!F45,""\$([\d,]+) prior deposit applied""),"","","""")),0)"),0.0)</f>
        <v>0</v>
      </c>
      <c r="M45" s="60">
        <f t="shared" si="4"/>
        <v>1800</v>
      </c>
      <c r="N45" s="60">
        <f>IFERROR(__xludf.DUMMYFUNCTION("IFERROR(VALUE(SUBSTITUTE(REGEXEXTRACT(Raw_Data!F45,""^\$([\d,]+) cash""),"","","""")),0)"),0.0)</f>
        <v>0</v>
      </c>
      <c r="O45" s="60">
        <f t="shared" si="5"/>
        <v>1800</v>
      </c>
      <c r="P45" s="60">
        <f>IFERROR(__xludf.DUMMYFUNCTION("IFERROR(VALUE(SUBSTITUTE(REGEXEXTRACT(Raw_Data!J45,""labour \d+ h at \$\d+/h: \$([\d,]+)""),"","","""")),0)"),0.0)</f>
        <v>0</v>
      </c>
      <c r="Q45" s="60">
        <f t="shared" si="6"/>
        <v>1800</v>
      </c>
      <c r="R45" s="60" t="str">
        <f t="array" ref="R45">IF(INDEX(Rules!$B$2:$B$60,$D45)="","",INDEX(Rules!$B$2:$B$60,$D45))</f>
        <v>Training Expense</v>
      </c>
      <c r="S45" s="60" t="str">
        <f t="array" ref="S45">IF(INDEX(Rules!$E$2:$E$60,$D45)="","",INDEX(Rules!$E$2:$E$60,$D45))</f>
        <v/>
      </c>
      <c r="T45" s="60" t="str">
        <f t="array" ref="T45">IF(INDEX(Rules!$H$2:$H$60,$D45)="","",INDEX(Rules!$H$2:$H$60,$D45))</f>
        <v/>
      </c>
      <c r="U45" s="60" t="str">
        <f t="array" ref="U45">IF(INDEX(Rules!$C$2:$C$60,$D45)="","",INDEX(Rules!$C$2:$C$60,$D45))</f>
        <v>Cash</v>
      </c>
      <c r="V45" s="60" t="str">
        <f t="array" ref="V45">IF(INDEX(Rules!$F$2:$F$60,$D45)="","",INDEX(Rules!$F$2:$F$60,$D45))</f>
        <v/>
      </c>
      <c r="W45" s="60" t="str">
        <f t="array" ref="W45">IF(INDEX(Rules!$I$2:$I$60,$D45)="","",INDEX(Rules!$I$2:$I$60,$D45))</f>
        <v/>
      </c>
      <c r="X45" s="60">
        <f t="array" ref="X45">IF(R45="","",INDEX($F45:$Q45,MATCH(INDEX(Rules!$D$2:$D$60,$D45),$F$1:$Q$1,0)))</f>
        <v>1800</v>
      </c>
      <c r="Y45" s="60" t="str">
        <f t="array" ref="Y45">IF(S45="","",INDEX($F45:$Q45,MATCH(INDEX(Rules!$G$2:$G$60,$D45),$F$1:$Q$1,0)))</f>
        <v/>
      </c>
      <c r="Z45" s="60" t="str">
        <f t="array" ref="Z45">IF(T45="","",INDEX($F45:$Q45,MATCH(INDEX(Rules!$J$2:$J$60,$D45),$F$1:$Q$1,0)))</f>
        <v/>
      </c>
      <c r="AA45" s="60" t="str">
        <f t="array" ref="AA45">IF(INDEX(Rules!$K$2:$K$60,$D45)="","",INDEX(Rules!$K$2:$K$60,$D45))</f>
        <v>guide training</v>
      </c>
      <c r="AB45" s="60" t="str">
        <f>IF(SUMPRODUCT((R45:W45&lt;&gt;"")*(ISNUMBER(SEARCH(Raw_Data!E45,R45:W45))+ISNUMBER(SEARCH(R45:W45,Raw_Data!E45))))&gt;0,"OK","CHECK")</f>
        <v>OK</v>
      </c>
    </row>
    <row r="46">
      <c r="A46" s="60" t="str">
        <f>Raw_Data!A46</f>
        <v>VVV-2024-045</v>
      </c>
      <c r="B46" s="60">
        <f>Raw_Data!D46</f>
        <v>10200</v>
      </c>
      <c r="C46" s="60" t="str">
        <f>LOWER(Raw_Data!C46&amp;" | "&amp;Raw_Data!F46)</f>
        <v>employee payroll settlement | payroll and claims paid from business bank account</v>
      </c>
      <c r="D46" s="60">
        <f t="array" ref="D46">MATCH(1,ISNUMBER(SEARCH(Rules!$A$2:$A$60,C46))*(Rules!$A$2:$A$60&lt;&gt;""),0)</f>
        <v>23</v>
      </c>
      <c r="E46" s="60" t="str">
        <f t="array" ref="E46">INDEX(Rules!$A$2:$A$60,D46)</f>
        <v>payroll</v>
      </c>
      <c r="F46" s="60">
        <f t="shared" si="1"/>
        <v>10200</v>
      </c>
      <c r="G46" s="60">
        <f>IFERROR(__xludf.DUMMYFUNCTION("IFERROR(VALUE(SUBSTITUTE(REGEXEXTRACT(Raw_Data!J46,""Cost of goods sold: \$([\d,]+)""),"","","""")),0)"),0.0)</f>
        <v>0</v>
      </c>
      <c r="H46" s="60">
        <f>IFERROR(__xludf.DUMMYFUNCTION("IFERROR(VALUE(SUBSTITUTE(REGEXEXTRACT(Raw_Data!J46,""withheld a \$([\d,]+) fee""),"","","""")),0)"),0.0)</f>
        <v>0</v>
      </c>
      <c r="I46" s="60">
        <f t="shared" si="2"/>
        <v>10200</v>
      </c>
      <c r="J46" s="60">
        <f>IFERROR(__xludf.DUMMYFUNCTION("IFERROR(VALUE(SUBSTITUTE(REGEXEXTRACT(Raw_Data!J46,""(?i)interest \$([\d,]+)""),"","","""")),0)"),0.0)</f>
        <v>0</v>
      </c>
      <c r="K46" s="60">
        <f t="shared" si="3"/>
        <v>10200</v>
      </c>
      <c r="L46" s="60">
        <f>IFERROR(__xludf.DUMMYFUNCTION("IFERROR(VALUE(SUBSTITUTE(REGEXEXTRACT(Raw_Data!F46,""\$([\d,]+) prior deposit applied""),"","","""")),0)"),0.0)</f>
        <v>0</v>
      </c>
      <c r="M46" s="60">
        <f t="shared" si="4"/>
        <v>10200</v>
      </c>
      <c r="N46" s="60">
        <f>IFERROR(__xludf.DUMMYFUNCTION("IFERROR(VALUE(SUBSTITUTE(REGEXEXTRACT(Raw_Data!F46,""^\$([\d,]+) cash""),"","","""")),0)"),0.0)</f>
        <v>0</v>
      </c>
      <c r="O46" s="60">
        <f t="shared" si="5"/>
        <v>10200</v>
      </c>
      <c r="P46" s="60">
        <f>IFERROR(__xludf.DUMMYFUNCTION("IFERROR(VALUE(SUBSTITUTE(REGEXEXTRACT(Raw_Data!J46,""labour \d+ h at \$\d+/h: \$([\d,]+)""),"","","""")),0)"),0.0)</f>
        <v>0</v>
      </c>
      <c r="Q46" s="60">
        <f t="shared" si="6"/>
        <v>10200</v>
      </c>
      <c r="R46" s="60" t="str">
        <f t="array" ref="R46">IF(INDEX(Rules!$B$2:$B$60,$D46)="","",INDEX(Rules!$B$2:$B$60,$D46))</f>
        <v>Wages Expense</v>
      </c>
      <c r="S46" s="60" t="str">
        <f t="array" ref="S46">IF(INDEX(Rules!$E$2:$E$60,$D46)="","",INDEX(Rules!$E$2:$E$60,$D46))</f>
        <v/>
      </c>
      <c r="T46" s="60" t="str">
        <f t="array" ref="T46">IF(INDEX(Rules!$H$2:$H$60,$D46)="","",INDEX(Rules!$H$2:$H$60,$D46))</f>
        <v/>
      </c>
      <c r="U46" s="60" t="str">
        <f t="array" ref="U46">IF(INDEX(Rules!$C$2:$C$60,$D46)="","",INDEX(Rules!$C$2:$C$60,$D46))</f>
        <v>Cash</v>
      </c>
      <c r="V46" s="60" t="str">
        <f t="array" ref="V46">IF(INDEX(Rules!$F$2:$F$60,$D46)="","",INDEX(Rules!$F$2:$F$60,$D46))</f>
        <v/>
      </c>
      <c r="W46" s="60" t="str">
        <f t="array" ref="W46">IF(INDEX(Rules!$I$2:$I$60,$D46)="","",INDEX(Rules!$I$2:$I$60,$D46))</f>
        <v/>
      </c>
      <c r="X46" s="60">
        <f t="array" ref="X46">IF(R46="","",INDEX($F46:$Q46,MATCH(INDEX(Rules!$D$2:$D$60,$D46),$F$1:$Q$1,0)))</f>
        <v>10200</v>
      </c>
      <c r="Y46" s="60" t="str">
        <f t="array" ref="Y46">IF(S46="","",INDEX($F46:$Q46,MATCH(INDEX(Rules!$G$2:$G$60,$D46),$F$1:$Q$1,0)))</f>
        <v/>
      </c>
      <c r="Z46" s="60" t="str">
        <f t="array" ref="Z46">IF(T46="","",INDEX($F46:$Q46,MATCH(INDEX(Rules!$J$2:$J$60,$D46),$F$1:$Q$1,0)))</f>
        <v/>
      </c>
      <c r="AA46" s="60" t="str">
        <f t="array" ref="AA46">IF(INDEX(Rules!$K$2:$K$60,$D46)="","",INDEX(Rules!$K$2:$K$60,$D46))</f>
        <v>wages, includes E04's $200 travel claim</v>
      </c>
      <c r="AB46" s="60" t="str">
        <f>IF(SUMPRODUCT((R46:W46&lt;&gt;"")*(ISNUMBER(SEARCH(Raw_Data!E46,R46:W46))+ISNUMBER(SEARCH(R46:W46,Raw_Data!E46))))&gt;0,"OK","CHECK")</f>
        <v>OK</v>
      </c>
    </row>
    <row r="47">
      <c r="A47" s="60" t="str">
        <f>Raw_Data!A47</f>
        <v>VVV-2024-046</v>
      </c>
      <c r="B47" s="60">
        <f>Raw_Data!D47</f>
        <v>3000</v>
      </c>
      <c r="C47" s="60" t="str">
        <f>LOWER(Raw_Data!C47&amp;" | "&amp;Raw_Data!F47)</f>
        <v>customer deposits for june solstice event | cash and card receipts; event scheduled for june</v>
      </c>
      <c r="D47" s="60">
        <f t="array" ref="D47">MATCH(1,ISNUMBER(SEARCH(Rules!$A$2:$A$60,C47))*(Rules!$A$2:$A$60&lt;&gt;""),0)</f>
        <v>31</v>
      </c>
      <c r="E47" s="60" t="str">
        <f t="array" ref="E47">INDEX(Rules!$A$2:$A$60,D47)</f>
        <v>deposit</v>
      </c>
      <c r="F47" s="60">
        <f t="shared" si="1"/>
        <v>3000</v>
      </c>
      <c r="G47" s="60">
        <f>IFERROR(__xludf.DUMMYFUNCTION("IFERROR(VALUE(SUBSTITUTE(REGEXEXTRACT(Raw_Data!J47,""Cost of goods sold: \$([\d,]+)""),"","","""")),0)"),0.0)</f>
        <v>0</v>
      </c>
      <c r="H47" s="60">
        <f>IFERROR(__xludf.DUMMYFUNCTION("IFERROR(VALUE(SUBSTITUTE(REGEXEXTRACT(Raw_Data!J47,""withheld a \$([\d,]+) fee""),"","","""")),0)"),0.0)</f>
        <v>0</v>
      </c>
      <c r="I47" s="60">
        <f t="shared" si="2"/>
        <v>3000</v>
      </c>
      <c r="J47" s="60">
        <f>IFERROR(__xludf.DUMMYFUNCTION("IFERROR(VALUE(SUBSTITUTE(REGEXEXTRACT(Raw_Data!J47,""(?i)interest \$([\d,]+)""),"","","""")),0)"),0.0)</f>
        <v>0</v>
      </c>
      <c r="K47" s="60">
        <f t="shared" si="3"/>
        <v>3000</v>
      </c>
      <c r="L47" s="60">
        <f>IFERROR(__xludf.DUMMYFUNCTION("IFERROR(VALUE(SUBSTITUTE(REGEXEXTRACT(Raw_Data!F47,""\$([\d,]+) prior deposit applied""),"","","""")),0)"),0.0)</f>
        <v>0</v>
      </c>
      <c r="M47" s="60">
        <f t="shared" si="4"/>
        <v>3000</v>
      </c>
      <c r="N47" s="60">
        <f>IFERROR(__xludf.DUMMYFUNCTION("IFERROR(VALUE(SUBSTITUTE(REGEXEXTRACT(Raw_Data!F47,""^\$([\d,]+) cash""),"","","""")),0)"),0.0)</f>
        <v>0</v>
      </c>
      <c r="O47" s="60">
        <f t="shared" si="5"/>
        <v>3000</v>
      </c>
      <c r="P47" s="60">
        <f>IFERROR(__xludf.DUMMYFUNCTION("IFERROR(VALUE(SUBSTITUTE(REGEXEXTRACT(Raw_Data!J47,""labour \d+ h at \$\d+/h: \$([\d,]+)""),"","","""")),0)"),0.0)</f>
        <v>0</v>
      </c>
      <c r="Q47" s="60">
        <f t="shared" si="6"/>
        <v>3000</v>
      </c>
      <c r="R47" s="60" t="str">
        <f t="array" ref="R47">IF(INDEX(Rules!$B$2:$B$60,$D47)="","",INDEX(Rules!$B$2:$B$60,$D47))</f>
        <v>Cash</v>
      </c>
      <c r="S47" s="60" t="str">
        <f t="array" ref="S47">IF(INDEX(Rules!$E$2:$E$60,$D47)="","",INDEX(Rules!$E$2:$E$60,$D47))</f>
        <v/>
      </c>
      <c r="T47" s="60" t="str">
        <f t="array" ref="T47">IF(INDEX(Rules!$H$2:$H$60,$D47)="","",INDEX(Rules!$H$2:$H$60,$D47))</f>
        <v/>
      </c>
      <c r="U47" s="60" t="str">
        <f t="array" ref="U47">IF(INDEX(Rules!$C$2:$C$60,$D47)="","",INDEX(Rules!$C$2:$C$60,$D47))</f>
        <v>Unearned Revenue</v>
      </c>
      <c r="V47" s="60" t="str">
        <f t="array" ref="V47">IF(INDEX(Rules!$F$2:$F$60,$D47)="","",INDEX(Rules!$F$2:$F$60,$D47))</f>
        <v/>
      </c>
      <c r="W47" s="60" t="str">
        <f t="array" ref="W47">IF(INDEX(Rules!$I$2:$I$60,$D47)="","",INDEX(Rules!$I$2:$I$60,$D47))</f>
        <v/>
      </c>
      <c r="X47" s="60">
        <f t="array" ref="X47">IF(R47="","",INDEX($F47:$Q47,MATCH(INDEX(Rules!$D$2:$D$60,$D47),$F$1:$Q$1,0)))</f>
        <v>3000</v>
      </c>
      <c r="Y47" s="60" t="str">
        <f t="array" ref="Y47">IF(S47="","",INDEX($F47:$Q47,MATCH(INDEX(Rules!$G$2:$G$60,$D47),$F$1:$Q$1,0)))</f>
        <v/>
      </c>
      <c r="Z47" s="60" t="str">
        <f t="array" ref="Z47">IF(T47="","",INDEX($F47:$Q47,MATCH(INDEX(Rules!$J$2:$J$60,$D47),$F$1:$Q$1,0)))</f>
        <v/>
      </c>
      <c r="AA47" s="60" t="str">
        <f t="array" ref="AA47">IF(INDEX(Rules!$K$2:$K$60,$D47)="","",INDEX(Rules!$K$2:$K$60,$D47))</f>
        <v>paid before the service -&gt; not earned yet (unearned)</v>
      </c>
      <c r="AB47" s="60" t="str">
        <f>IF(SUMPRODUCT((R47:W47&lt;&gt;"")*(ISNUMBER(SEARCH(Raw_Data!E47,R47:W47))+ISNUMBER(SEARCH(R47:W47,Raw_Data!E47))))&gt;0,"OK","CHECK")</f>
        <v>OK</v>
      </c>
    </row>
    <row r="48">
      <c r="A48" s="60" t="str">
        <f>Raw_Data!A48</f>
        <v>VVV-2024-047</v>
      </c>
      <c r="B48" s="60">
        <f>Raw_Data!D48</f>
        <v>898</v>
      </c>
      <c r="C48" s="60" t="str">
        <f>LOWER(Raw_Data!C48&amp;" | "&amp;Raw_Data!F48)</f>
        <v>monthly utility settlement | paid from business bank account</v>
      </c>
      <c r="D48" s="60">
        <f t="array" ref="D48">MATCH(1,ISNUMBER(SEARCH(Rules!$A$2:$A$60,C48))*(Rules!$A$2:$A$60&lt;&gt;""),0)</f>
        <v>24</v>
      </c>
      <c r="E48" s="60" t="str">
        <f t="array" ref="E48">INDEX(Rules!$A$2:$A$60,D48)</f>
        <v>utility</v>
      </c>
      <c r="F48" s="60">
        <f t="shared" si="1"/>
        <v>898</v>
      </c>
      <c r="G48" s="60">
        <f>IFERROR(__xludf.DUMMYFUNCTION("IFERROR(VALUE(SUBSTITUTE(REGEXEXTRACT(Raw_Data!J48,""Cost of goods sold: \$([\d,]+)""),"","","""")),0)"),0.0)</f>
        <v>0</v>
      </c>
      <c r="H48" s="60">
        <f>IFERROR(__xludf.DUMMYFUNCTION("IFERROR(VALUE(SUBSTITUTE(REGEXEXTRACT(Raw_Data!J48,""withheld a \$([\d,]+) fee""),"","","""")),0)"),0.0)</f>
        <v>0</v>
      </c>
      <c r="I48" s="60">
        <f t="shared" si="2"/>
        <v>898</v>
      </c>
      <c r="J48" s="60">
        <f>IFERROR(__xludf.DUMMYFUNCTION("IFERROR(VALUE(SUBSTITUTE(REGEXEXTRACT(Raw_Data!J48,""(?i)interest \$([\d,]+)""),"","","""")),0)"),0.0)</f>
        <v>0</v>
      </c>
      <c r="K48" s="60">
        <f t="shared" si="3"/>
        <v>898</v>
      </c>
      <c r="L48" s="60">
        <f>IFERROR(__xludf.DUMMYFUNCTION("IFERROR(VALUE(SUBSTITUTE(REGEXEXTRACT(Raw_Data!F48,""\$([\d,]+) prior deposit applied""),"","","""")),0)"),0.0)</f>
        <v>0</v>
      </c>
      <c r="M48" s="60">
        <f t="shared" si="4"/>
        <v>898</v>
      </c>
      <c r="N48" s="60">
        <f>IFERROR(__xludf.DUMMYFUNCTION("IFERROR(VALUE(SUBSTITUTE(REGEXEXTRACT(Raw_Data!F48,""^\$([\d,]+) cash""),"","","""")),0)"),0.0)</f>
        <v>0</v>
      </c>
      <c r="O48" s="60">
        <f t="shared" si="5"/>
        <v>898</v>
      </c>
      <c r="P48" s="60">
        <f>IFERROR(__xludf.DUMMYFUNCTION("IFERROR(VALUE(SUBSTITUTE(REGEXEXTRACT(Raw_Data!J48,""labour \d+ h at \$\d+/h: \$([\d,]+)""),"","","""")),0)"),0.0)</f>
        <v>0</v>
      </c>
      <c r="Q48" s="60">
        <f t="shared" si="6"/>
        <v>898</v>
      </c>
      <c r="R48" s="60" t="str">
        <f t="array" ref="R48">IF(INDEX(Rules!$B$2:$B$60,$D48)="","",INDEX(Rules!$B$2:$B$60,$D48))</f>
        <v>Utilities Expense</v>
      </c>
      <c r="S48" s="60" t="str">
        <f t="array" ref="S48">IF(INDEX(Rules!$E$2:$E$60,$D48)="","",INDEX(Rules!$E$2:$E$60,$D48))</f>
        <v/>
      </c>
      <c r="T48" s="60" t="str">
        <f t="array" ref="T48">IF(INDEX(Rules!$H$2:$H$60,$D48)="","",INDEX(Rules!$H$2:$H$60,$D48))</f>
        <v/>
      </c>
      <c r="U48" s="60" t="str">
        <f t="array" ref="U48">IF(INDEX(Rules!$C$2:$C$60,$D48)="","",INDEX(Rules!$C$2:$C$60,$D48))</f>
        <v>Cash</v>
      </c>
      <c r="V48" s="60" t="str">
        <f t="array" ref="V48">IF(INDEX(Rules!$F$2:$F$60,$D48)="","",INDEX(Rules!$F$2:$F$60,$D48))</f>
        <v/>
      </c>
      <c r="W48" s="60" t="str">
        <f t="array" ref="W48">IF(INDEX(Rules!$I$2:$I$60,$D48)="","",INDEX(Rules!$I$2:$I$60,$D48))</f>
        <v/>
      </c>
      <c r="X48" s="60">
        <f t="array" ref="X48">IF(R48="","",INDEX($F48:$Q48,MATCH(INDEX(Rules!$D$2:$D$60,$D48),$F$1:$Q$1,0)))</f>
        <v>898</v>
      </c>
      <c r="Y48" s="60" t="str">
        <f t="array" ref="Y48">IF(S48="","",INDEX($F48:$Q48,MATCH(INDEX(Rules!$G$2:$G$60,$D48),$F$1:$Q$1,0)))</f>
        <v/>
      </c>
      <c r="Z48" s="60" t="str">
        <f t="array" ref="Z48">IF(T48="","",INDEX($F48:$Q48,MATCH(INDEX(Rules!$J$2:$J$60,$D48),$F$1:$Q$1,0)))</f>
        <v/>
      </c>
      <c r="AA48" s="60" t="str">
        <f t="array" ref="AA48">IF(INDEX(Rules!$K$2:$K$60,$D48)="","",INDEX(Rules!$K$2:$K$60,$D48))</f>
        <v>monthly utilities</v>
      </c>
      <c r="AB48" s="60" t="str">
        <f>IF(SUMPRODUCT((R48:W48&lt;&gt;"")*(ISNUMBER(SEARCH(Raw_Data!E48,R48:W48))+ISNUMBER(SEARCH(R48:W48,Raw_Data!E48))))&gt;0,"OK","CHECK")</f>
        <v>OK</v>
      </c>
    </row>
    <row r="49">
      <c r="A49" s="60" t="str">
        <f>Raw_Data!A49</f>
        <v>VVV-2024-048</v>
      </c>
      <c r="B49" s="60">
        <f>Raw_Data!D49</f>
        <v>5400</v>
      </c>
      <c r="C49" s="60" t="str">
        <f>LOWER(Raw_Data!C49&amp;" | "&amp;Raw_Data!F49)</f>
        <v>monthly facility rent | automatic bank transfer; settled</v>
      </c>
      <c r="D49" s="60">
        <f t="array" ref="D49">MATCH(1,ISNUMBER(SEARCH(Rules!$A$2:$A$60,C49))*(Rules!$A$2:$A$60&lt;&gt;""),0)</f>
        <v>15</v>
      </c>
      <c r="E49" s="60" t="str">
        <f t="array" ref="E49">INDEX(Rules!$A$2:$A$60,D49)</f>
        <v>facility rent</v>
      </c>
      <c r="F49" s="60">
        <f t="shared" si="1"/>
        <v>5400</v>
      </c>
      <c r="G49" s="60">
        <f>IFERROR(__xludf.DUMMYFUNCTION("IFERROR(VALUE(SUBSTITUTE(REGEXEXTRACT(Raw_Data!J49,""Cost of goods sold: \$([\d,]+)""),"","","""")),0)"),0.0)</f>
        <v>0</v>
      </c>
      <c r="H49" s="60">
        <f>IFERROR(__xludf.DUMMYFUNCTION("IFERROR(VALUE(SUBSTITUTE(REGEXEXTRACT(Raw_Data!J49,""withheld a \$([\d,]+) fee""),"","","""")),0)"),0.0)</f>
        <v>0</v>
      </c>
      <c r="I49" s="60">
        <f t="shared" si="2"/>
        <v>5400</v>
      </c>
      <c r="J49" s="60">
        <f>IFERROR(__xludf.DUMMYFUNCTION("IFERROR(VALUE(SUBSTITUTE(REGEXEXTRACT(Raw_Data!J49,""(?i)interest \$([\d,]+)""),"","","""")),0)"),0.0)</f>
        <v>0</v>
      </c>
      <c r="K49" s="60">
        <f t="shared" si="3"/>
        <v>5400</v>
      </c>
      <c r="L49" s="60">
        <f>IFERROR(__xludf.DUMMYFUNCTION("IFERROR(VALUE(SUBSTITUTE(REGEXEXTRACT(Raw_Data!F49,""\$([\d,]+) prior deposit applied""),"","","""")),0)"),0.0)</f>
        <v>0</v>
      </c>
      <c r="M49" s="60">
        <f t="shared" si="4"/>
        <v>5400</v>
      </c>
      <c r="N49" s="60">
        <f>IFERROR(__xludf.DUMMYFUNCTION("IFERROR(VALUE(SUBSTITUTE(REGEXEXTRACT(Raw_Data!F49,""^\$([\d,]+) cash""),"","","""")),0)"),0.0)</f>
        <v>0</v>
      </c>
      <c r="O49" s="60">
        <f t="shared" si="5"/>
        <v>5400</v>
      </c>
      <c r="P49" s="60">
        <f>IFERROR(__xludf.DUMMYFUNCTION("IFERROR(VALUE(SUBSTITUTE(REGEXEXTRACT(Raw_Data!J49,""labour \d+ h at \$\d+/h: \$([\d,]+)""),"","","""")),0)"),0.0)</f>
        <v>0</v>
      </c>
      <c r="Q49" s="60">
        <f t="shared" si="6"/>
        <v>5400</v>
      </c>
      <c r="R49" s="60" t="str">
        <f t="array" ref="R49">IF(INDEX(Rules!$B$2:$B$60,$D49)="","",INDEX(Rules!$B$2:$B$60,$D49))</f>
        <v>Rent Expense</v>
      </c>
      <c r="S49" s="60" t="str">
        <f t="array" ref="S49">IF(INDEX(Rules!$E$2:$E$60,$D49)="","",INDEX(Rules!$E$2:$E$60,$D49))</f>
        <v/>
      </c>
      <c r="T49" s="60" t="str">
        <f t="array" ref="T49">IF(INDEX(Rules!$H$2:$H$60,$D49)="","",INDEX(Rules!$H$2:$H$60,$D49))</f>
        <v/>
      </c>
      <c r="U49" s="60" t="str">
        <f t="array" ref="U49">IF(INDEX(Rules!$C$2:$C$60,$D49)="","",INDEX(Rules!$C$2:$C$60,$D49))</f>
        <v>Cash</v>
      </c>
      <c r="V49" s="60" t="str">
        <f t="array" ref="V49">IF(INDEX(Rules!$F$2:$F$60,$D49)="","",INDEX(Rules!$F$2:$F$60,$D49))</f>
        <v/>
      </c>
      <c r="W49" s="60" t="str">
        <f t="array" ref="W49">IF(INDEX(Rules!$I$2:$I$60,$D49)="","",INDEX(Rules!$I$2:$I$60,$D49))</f>
        <v/>
      </c>
      <c r="X49" s="60">
        <f t="array" ref="X49">IF(R49="","",INDEX($F49:$Q49,MATCH(INDEX(Rules!$D$2:$D$60,$D49),$F$1:$Q$1,0)))</f>
        <v>5400</v>
      </c>
      <c r="Y49" s="60" t="str">
        <f t="array" ref="Y49">IF(S49="","",INDEX($F49:$Q49,MATCH(INDEX(Rules!$G$2:$G$60,$D49),$F$1:$Q$1,0)))</f>
        <v/>
      </c>
      <c r="Z49" s="60" t="str">
        <f t="array" ref="Z49">IF(T49="","",INDEX($F49:$Q49,MATCH(INDEX(Rules!$J$2:$J$60,$D49),$F$1:$Q$1,0)))</f>
        <v/>
      </c>
      <c r="AA49" s="60" t="str">
        <f t="array" ref="AA49">IF(INDEX(Rules!$K$2:$K$60,$D49)="","",INDEX(Rules!$K$2:$K$60,$D49))</f>
        <v>monthly rent</v>
      </c>
      <c r="AB49" s="60" t="str">
        <f>IF(SUMPRODUCT((R49:W49&lt;&gt;"")*(ISNUMBER(SEARCH(Raw_Data!E49,R49:W49))+ISNUMBER(SEARCH(R49:W49,Raw_Data!E49))))&gt;0,"OK","CHECK")</f>
        <v>OK</v>
      </c>
    </row>
    <row r="50">
      <c r="A50" s="60" t="str">
        <f>Raw_Data!A50</f>
        <v>VVV-2024-049</v>
      </c>
      <c r="B50" s="60">
        <f>Raw_Data!D50</f>
        <v>4000</v>
      </c>
      <c r="C50" s="60" t="str">
        <f>LOWER(Raw_Data!C50&amp;" | "&amp;Raw_Data!F50)</f>
        <v>collected part of march corporate tour receivable | bank transfer received</v>
      </c>
      <c r="D50" s="60">
        <f t="array" ref="D50">MATCH(1,ISNUMBER(SEARCH(Rules!$A$2:$A$60,C50))*(Rules!$A$2:$A$60&lt;&gt;""),0)</f>
        <v>30</v>
      </c>
      <c r="E50" s="60" t="str">
        <f t="array" ref="E50">INDEX(Rules!$A$2:$A$60,D50)</f>
        <v>collected</v>
      </c>
      <c r="F50" s="60">
        <f t="shared" si="1"/>
        <v>4000</v>
      </c>
      <c r="G50" s="60">
        <f>IFERROR(__xludf.DUMMYFUNCTION("IFERROR(VALUE(SUBSTITUTE(REGEXEXTRACT(Raw_Data!J50,""Cost of goods sold: \$([\d,]+)""),"","","""")),0)"),0.0)</f>
        <v>0</v>
      </c>
      <c r="H50" s="60">
        <f>IFERROR(__xludf.DUMMYFUNCTION("IFERROR(VALUE(SUBSTITUTE(REGEXEXTRACT(Raw_Data!J50,""withheld a \$([\d,]+) fee""),"","","""")),0)"),0.0)</f>
        <v>0</v>
      </c>
      <c r="I50" s="60">
        <f t="shared" si="2"/>
        <v>4000</v>
      </c>
      <c r="J50" s="60">
        <f>IFERROR(__xludf.DUMMYFUNCTION("IFERROR(VALUE(SUBSTITUTE(REGEXEXTRACT(Raw_Data!J50,""(?i)interest \$([\d,]+)""),"","","""")),0)"),0.0)</f>
        <v>0</v>
      </c>
      <c r="K50" s="60">
        <f t="shared" si="3"/>
        <v>4000</v>
      </c>
      <c r="L50" s="60">
        <f>IFERROR(__xludf.DUMMYFUNCTION("IFERROR(VALUE(SUBSTITUTE(REGEXEXTRACT(Raw_Data!F50,""\$([\d,]+) prior deposit applied""),"","","""")),0)"),0.0)</f>
        <v>0</v>
      </c>
      <c r="M50" s="60">
        <f t="shared" si="4"/>
        <v>4000</v>
      </c>
      <c r="N50" s="60">
        <f>IFERROR(__xludf.DUMMYFUNCTION("IFERROR(VALUE(SUBSTITUTE(REGEXEXTRACT(Raw_Data!F50,""^\$([\d,]+) cash""),"","","""")),0)"),0.0)</f>
        <v>0</v>
      </c>
      <c r="O50" s="60">
        <f t="shared" si="5"/>
        <v>4000</v>
      </c>
      <c r="P50" s="60">
        <f>IFERROR(__xludf.DUMMYFUNCTION("IFERROR(VALUE(SUBSTITUTE(REGEXEXTRACT(Raw_Data!J50,""labour \d+ h at \$\d+/h: \$([\d,]+)""),"","","""")),0)"),0.0)</f>
        <v>0</v>
      </c>
      <c r="Q50" s="60">
        <f t="shared" si="6"/>
        <v>4000</v>
      </c>
      <c r="R50" s="60" t="str">
        <f t="array" ref="R50">IF(INDEX(Rules!$B$2:$B$60,$D50)="","",INDEX(Rules!$B$2:$B$60,$D50))</f>
        <v>Cash</v>
      </c>
      <c r="S50" s="60" t="str">
        <f t="array" ref="S50">IF(INDEX(Rules!$E$2:$E$60,$D50)="","",INDEX(Rules!$E$2:$E$60,$D50))</f>
        <v/>
      </c>
      <c r="T50" s="60" t="str">
        <f t="array" ref="T50">IF(INDEX(Rules!$H$2:$H$60,$D50)="","",INDEX(Rules!$H$2:$H$60,$D50))</f>
        <v/>
      </c>
      <c r="U50" s="60" t="str">
        <f t="array" ref="U50">IF(INDEX(Rules!$C$2:$C$60,$D50)="","",INDEX(Rules!$C$2:$C$60,$D50))</f>
        <v>Accounts Receivable</v>
      </c>
      <c r="V50" s="60" t="str">
        <f t="array" ref="V50">IF(INDEX(Rules!$F$2:$F$60,$D50)="","",INDEX(Rules!$F$2:$F$60,$D50))</f>
        <v/>
      </c>
      <c r="W50" s="60" t="str">
        <f t="array" ref="W50">IF(INDEX(Rules!$I$2:$I$60,$D50)="","",INDEX(Rules!$I$2:$I$60,$D50))</f>
        <v/>
      </c>
      <c r="X50" s="60">
        <f t="array" ref="X50">IF(R50="","",INDEX($F50:$Q50,MATCH(INDEX(Rules!$D$2:$D$60,$D50),$F$1:$Q$1,0)))</f>
        <v>4000</v>
      </c>
      <c r="Y50" s="60" t="str">
        <f t="array" ref="Y50">IF(S50="","",INDEX($F50:$Q50,MATCH(INDEX(Rules!$G$2:$G$60,$D50),$F$1:$Q$1,0)))</f>
        <v/>
      </c>
      <c r="Z50" s="60" t="str">
        <f t="array" ref="Z50">IF(T50="","",INDEX($F50:$Q50,MATCH(INDEX(Rules!$J$2:$J$60,$D50),$F$1:$Q$1,0)))</f>
        <v/>
      </c>
      <c r="AA50" s="60" t="str">
        <f t="array" ref="AA50">IF(INDEX(Rules!$K$2:$K$60,$D50)="","",INDEX(Rules!$K$2:$K$60,$D50))</f>
        <v>customer pays what they owed</v>
      </c>
      <c r="AB50" s="60" t="str">
        <f>IF(SUMPRODUCT((R50:W50&lt;&gt;"")*(ISNUMBER(SEARCH(Raw_Data!E50,R50:W50))+ISNUMBER(SEARCH(R50:W50,Raw_Data!E50))))&gt;0,"OK","CHECK")</f>
        <v>OK</v>
      </c>
    </row>
    <row r="51">
      <c r="A51" s="60" t="str">
        <f>Raw_Data!A51</f>
        <v>VVV-2024-050</v>
      </c>
      <c r="B51" s="60">
        <f>Raw_Data!D51</f>
        <v>600</v>
      </c>
      <c r="C51" s="60" t="str">
        <f>LOWER(Raw_Data!C51&amp;" | "&amp;Raw_Data!F51)</f>
        <v>monthly business insurance premium | automatic bank transfer; settled</v>
      </c>
      <c r="D51" s="60">
        <f t="array" ref="D51">MATCH(1,ISNUMBER(SEARCH(Rules!$A$2:$A$60,C51))*(Rules!$A$2:$A$60&lt;&gt;""),0)</f>
        <v>20</v>
      </c>
      <c r="E51" s="60" t="str">
        <f t="array" ref="E51">INDEX(Rules!$A$2:$A$60,D51)</f>
        <v>insurance</v>
      </c>
      <c r="F51" s="60">
        <f t="shared" si="1"/>
        <v>600</v>
      </c>
      <c r="G51" s="60">
        <f>IFERROR(__xludf.DUMMYFUNCTION("IFERROR(VALUE(SUBSTITUTE(REGEXEXTRACT(Raw_Data!J51,""Cost of goods sold: \$([\d,]+)""),"","","""")),0)"),0.0)</f>
        <v>0</v>
      </c>
      <c r="H51" s="60">
        <f>IFERROR(__xludf.DUMMYFUNCTION("IFERROR(VALUE(SUBSTITUTE(REGEXEXTRACT(Raw_Data!J51,""withheld a \$([\d,]+) fee""),"","","""")),0)"),0.0)</f>
        <v>0</v>
      </c>
      <c r="I51" s="60">
        <f t="shared" si="2"/>
        <v>600</v>
      </c>
      <c r="J51" s="60">
        <f>IFERROR(__xludf.DUMMYFUNCTION("IFERROR(VALUE(SUBSTITUTE(REGEXEXTRACT(Raw_Data!J51,""(?i)interest \$([\d,]+)""),"","","""")),0)"),0.0)</f>
        <v>0</v>
      </c>
      <c r="K51" s="60">
        <f t="shared" si="3"/>
        <v>600</v>
      </c>
      <c r="L51" s="60">
        <f>IFERROR(__xludf.DUMMYFUNCTION("IFERROR(VALUE(SUBSTITUTE(REGEXEXTRACT(Raw_Data!F51,""\$([\d,]+) prior deposit applied""),"","","""")),0)"),0.0)</f>
        <v>0</v>
      </c>
      <c r="M51" s="60">
        <f t="shared" si="4"/>
        <v>600</v>
      </c>
      <c r="N51" s="60">
        <f>IFERROR(__xludf.DUMMYFUNCTION("IFERROR(VALUE(SUBSTITUTE(REGEXEXTRACT(Raw_Data!F51,""^\$([\d,]+) cash""),"","","""")),0)"),0.0)</f>
        <v>0</v>
      </c>
      <c r="O51" s="60">
        <f t="shared" si="5"/>
        <v>600</v>
      </c>
      <c r="P51" s="60">
        <f>IFERROR(__xludf.DUMMYFUNCTION("IFERROR(VALUE(SUBSTITUTE(REGEXEXTRACT(Raw_Data!J51,""labour \d+ h at \$\d+/h: \$([\d,]+)""),"","","""")),0)"),0.0)</f>
        <v>0</v>
      </c>
      <c r="Q51" s="60">
        <f t="shared" si="6"/>
        <v>600</v>
      </c>
      <c r="R51" s="60" t="str">
        <f t="array" ref="R51">IF(INDEX(Rules!$B$2:$B$60,$D51)="","",INDEX(Rules!$B$2:$B$60,$D51))</f>
        <v>Insurance Expense</v>
      </c>
      <c r="S51" s="60" t="str">
        <f t="array" ref="S51">IF(INDEX(Rules!$E$2:$E$60,$D51)="","",INDEX(Rules!$E$2:$E$60,$D51))</f>
        <v/>
      </c>
      <c r="T51" s="60" t="str">
        <f t="array" ref="T51">IF(INDEX(Rules!$H$2:$H$60,$D51)="","",INDEX(Rules!$H$2:$H$60,$D51))</f>
        <v/>
      </c>
      <c r="U51" s="60" t="str">
        <f t="array" ref="U51">IF(INDEX(Rules!$C$2:$C$60,$D51)="","",INDEX(Rules!$C$2:$C$60,$D51))</f>
        <v>Cash</v>
      </c>
      <c r="V51" s="60" t="str">
        <f t="array" ref="V51">IF(INDEX(Rules!$F$2:$F$60,$D51)="","",INDEX(Rules!$F$2:$F$60,$D51))</f>
        <v/>
      </c>
      <c r="W51" s="60" t="str">
        <f t="array" ref="W51">IF(INDEX(Rules!$I$2:$I$60,$D51)="","",INDEX(Rules!$I$2:$I$60,$D51))</f>
        <v/>
      </c>
      <c r="X51" s="60">
        <f t="array" ref="X51">IF(R51="","",INDEX($F51:$Q51,MATCH(INDEX(Rules!$D$2:$D$60,$D51),$F$1:$Q$1,0)))</f>
        <v>600</v>
      </c>
      <c r="Y51" s="60" t="str">
        <f t="array" ref="Y51">IF(S51="","",INDEX($F51:$Q51,MATCH(INDEX(Rules!$G$2:$G$60,$D51),$F$1:$Q$1,0)))</f>
        <v/>
      </c>
      <c r="Z51" s="60" t="str">
        <f t="array" ref="Z51">IF(T51="","",INDEX($F51:$Q51,MATCH(INDEX(Rules!$J$2:$J$60,$D51),$F$1:$Q$1,0)))</f>
        <v/>
      </c>
      <c r="AA51" s="60" t="str">
        <f t="array" ref="AA51">IF(INDEX(Rules!$K$2:$K$60,$D51)="","",INDEX(Rules!$K$2:$K$60,$D51))</f>
        <v>monthly insurance</v>
      </c>
      <c r="AB51" s="60" t="str">
        <f>IF(SUMPRODUCT((R51:W51&lt;&gt;"")*(ISNUMBER(SEARCH(Raw_Data!E51,R51:W51))+ISNUMBER(SEARCH(R51:W51,Raw_Data!E51))))&gt;0,"OK","CHECK")</f>
        <v>OK</v>
      </c>
    </row>
    <row r="52">
      <c r="A52" s="60" t="str">
        <f>Raw_Data!A52</f>
        <v>VVV-2024-051</v>
      </c>
      <c r="B52" s="60">
        <f>Raw_Data!D52</f>
        <v>13000</v>
      </c>
      <c r="C52" s="60" t="str">
        <f>LOWER(Raw_Data!C52&amp;" | "&amp;Raw_Data!F52)</f>
        <v>equipment rental receipts batch | cash and card receipts; settled</v>
      </c>
      <c r="D52" s="60">
        <f t="array" ref="D52">MATCH(1,ISNUMBER(SEARCH(Rules!$A$2:$A$60,C52))*(Rules!$A$2:$A$60&lt;&gt;""),0)</f>
        <v>26</v>
      </c>
      <c r="E52" s="60" t="str">
        <f t="array" ref="E52">INDEX(Rules!$A$2:$A$60,D52)</f>
        <v>rental receipts</v>
      </c>
      <c r="F52" s="60">
        <f t="shared" si="1"/>
        <v>13000</v>
      </c>
      <c r="G52" s="60">
        <f>IFERROR(__xludf.DUMMYFUNCTION("IFERROR(VALUE(SUBSTITUTE(REGEXEXTRACT(Raw_Data!J52,""Cost of goods sold: \$([\d,]+)""),"","","""")),0)"),0.0)</f>
        <v>0</v>
      </c>
      <c r="H52" s="60">
        <f>IFERROR(__xludf.DUMMYFUNCTION("IFERROR(VALUE(SUBSTITUTE(REGEXEXTRACT(Raw_Data!J52,""withheld a \$([\d,]+) fee""),"","","""")),0)"),0.0)</f>
        <v>0</v>
      </c>
      <c r="I52" s="60">
        <f t="shared" si="2"/>
        <v>13000</v>
      </c>
      <c r="J52" s="60">
        <f>IFERROR(__xludf.DUMMYFUNCTION("IFERROR(VALUE(SUBSTITUTE(REGEXEXTRACT(Raw_Data!J52,""(?i)interest \$([\d,]+)""),"","","""")),0)"),0.0)</f>
        <v>0</v>
      </c>
      <c r="K52" s="60">
        <f t="shared" si="3"/>
        <v>13000</v>
      </c>
      <c r="L52" s="60">
        <f>IFERROR(__xludf.DUMMYFUNCTION("IFERROR(VALUE(SUBSTITUTE(REGEXEXTRACT(Raw_Data!F52,""\$([\d,]+) prior deposit applied""),"","","""")),0)"),0.0)</f>
        <v>0</v>
      </c>
      <c r="M52" s="60">
        <f t="shared" si="4"/>
        <v>13000</v>
      </c>
      <c r="N52" s="60">
        <f>IFERROR(__xludf.DUMMYFUNCTION("IFERROR(VALUE(SUBSTITUTE(REGEXEXTRACT(Raw_Data!F52,""^\$([\d,]+) cash""),"","","""")),0)"),0.0)</f>
        <v>0</v>
      </c>
      <c r="O52" s="60">
        <f t="shared" si="5"/>
        <v>13000</v>
      </c>
      <c r="P52" s="60">
        <f>IFERROR(__xludf.DUMMYFUNCTION("IFERROR(VALUE(SUBSTITUTE(REGEXEXTRACT(Raw_Data!J52,""labour \d+ h at \$\d+/h: \$([\d,]+)""),"","","""")),0)"),0.0)</f>
        <v>0</v>
      </c>
      <c r="Q52" s="60">
        <f t="shared" si="6"/>
        <v>13000</v>
      </c>
      <c r="R52" s="60" t="str">
        <f t="array" ref="R52">IF(INDEX(Rules!$B$2:$B$60,$D52)="","",INDEX(Rules!$B$2:$B$60,$D52))</f>
        <v>Cash</v>
      </c>
      <c r="S52" s="60" t="str">
        <f t="array" ref="S52">IF(INDEX(Rules!$E$2:$E$60,$D52)="","",INDEX(Rules!$E$2:$E$60,$D52))</f>
        <v/>
      </c>
      <c r="T52" s="60" t="str">
        <f t="array" ref="T52">IF(INDEX(Rules!$H$2:$H$60,$D52)="","",INDEX(Rules!$H$2:$H$60,$D52))</f>
        <v/>
      </c>
      <c r="U52" s="60" t="str">
        <f t="array" ref="U52">IF(INDEX(Rules!$C$2:$C$60,$D52)="","",INDEX(Rules!$C$2:$C$60,$D52))</f>
        <v>Equipment Rental Revenue</v>
      </c>
      <c r="V52" s="60" t="str">
        <f t="array" ref="V52">IF(INDEX(Rules!$F$2:$F$60,$D52)="","",INDEX(Rules!$F$2:$F$60,$D52))</f>
        <v/>
      </c>
      <c r="W52" s="60" t="str">
        <f t="array" ref="W52">IF(INDEX(Rules!$I$2:$I$60,$D52)="","",INDEX(Rules!$I$2:$I$60,$D52))</f>
        <v/>
      </c>
      <c r="X52" s="60">
        <f t="array" ref="X52">IF(R52="","",INDEX($F52:$Q52,MATCH(INDEX(Rules!$D$2:$D$60,$D52),$F$1:$Q$1,0)))</f>
        <v>13000</v>
      </c>
      <c r="Y52" s="60" t="str">
        <f t="array" ref="Y52">IF(S52="","",INDEX($F52:$Q52,MATCH(INDEX(Rules!$G$2:$G$60,$D52),$F$1:$Q$1,0)))</f>
        <v/>
      </c>
      <c r="Z52" s="60" t="str">
        <f t="array" ref="Z52">IF(T52="","",INDEX($F52:$Q52,MATCH(INDEX(Rules!$J$2:$J$60,$D52),$F$1:$Q$1,0)))</f>
        <v/>
      </c>
      <c r="AA52" s="60" t="str">
        <f t="array" ref="AA52">IF(INDEX(Rules!$K$2:$K$60,$D52)="","",INDEX(Rules!$K$2:$K$60,$D52))</f>
        <v>rentals done and paid</v>
      </c>
      <c r="AB52" s="60" t="str">
        <f>IF(SUMPRODUCT((R52:W52&lt;&gt;"")*(ISNUMBER(SEARCH(Raw_Data!E52,R52:W52))+ISNUMBER(SEARCH(R52:W52,Raw_Data!E52))))&gt;0,"OK","CHECK")</f>
        <v>OK</v>
      </c>
    </row>
    <row r="53">
      <c r="A53" s="60" t="str">
        <f>Raw_Data!A53</f>
        <v>VVV-2024-052</v>
      </c>
      <c r="B53" s="60">
        <f>Raw_Data!D53</f>
        <v>8000</v>
      </c>
      <c r="C53" s="60" t="str">
        <f>LOWER(Raw_Data!C53&amp;" | "&amp;Raw_Data!F53)</f>
        <v>retail camping-supply sales | card processor; fee withheld</v>
      </c>
      <c r="D53" s="60">
        <f t="array" ref="D53">MATCH(1,ISNUMBER(SEARCH(Rules!$A$2:$A$60,C53))*(Rules!$A$2:$A$60&lt;&gt;""),0)</f>
        <v>11</v>
      </c>
      <c r="E53" s="60" t="str">
        <f t="array" ref="E53">INDEX(Rules!$A$2:$A$60,D53)</f>
        <v>fee withheld</v>
      </c>
      <c r="F53" s="60">
        <f t="shared" si="1"/>
        <v>8000</v>
      </c>
      <c r="G53" s="60">
        <f>IFERROR(__xludf.DUMMYFUNCTION("IFERROR(VALUE(SUBSTITUTE(REGEXEXTRACT(Raw_Data!J53,""Cost of goods sold: \$([\d,]+)""),"","","""")),0)"),4800.0)</f>
        <v>4800</v>
      </c>
      <c r="H53" s="60">
        <f>IFERROR(__xludf.DUMMYFUNCTION("IFERROR(VALUE(SUBSTITUTE(REGEXEXTRACT(Raw_Data!J53,""withheld a \$([\d,]+) fee""),"","","""")),0)"),240.0)</f>
        <v>240</v>
      </c>
      <c r="I53" s="60">
        <f t="shared" si="2"/>
        <v>7760</v>
      </c>
      <c r="J53" s="60">
        <f>IFERROR(__xludf.DUMMYFUNCTION("IFERROR(VALUE(SUBSTITUTE(REGEXEXTRACT(Raw_Data!J53,""(?i)interest \$([\d,]+)""),"","","""")),0)"),0.0)</f>
        <v>0</v>
      </c>
      <c r="K53" s="60">
        <f t="shared" si="3"/>
        <v>8000</v>
      </c>
      <c r="L53" s="60">
        <f>IFERROR(__xludf.DUMMYFUNCTION("IFERROR(VALUE(SUBSTITUTE(REGEXEXTRACT(Raw_Data!F53,""\$([\d,]+) prior deposit applied""),"","","""")),0)"),0.0)</f>
        <v>0</v>
      </c>
      <c r="M53" s="60">
        <f t="shared" si="4"/>
        <v>8000</v>
      </c>
      <c r="N53" s="60">
        <f>IFERROR(__xludf.DUMMYFUNCTION("IFERROR(VALUE(SUBSTITUTE(REGEXEXTRACT(Raw_Data!F53,""^\$([\d,]+) cash""),"","","""")),0)"),0.0)</f>
        <v>0</v>
      </c>
      <c r="O53" s="60">
        <f t="shared" si="5"/>
        <v>8000</v>
      </c>
      <c r="P53" s="60">
        <f>IFERROR(__xludf.DUMMYFUNCTION("IFERROR(VALUE(SUBSTITUTE(REGEXEXTRACT(Raw_Data!J53,""labour \d+ h at \$\d+/h: \$([\d,]+)""),"","","""")),0)"),0.0)</f>
        <v>0</v>
      </c>
      <c r="Q53" s="60">
        <f t="shared" si="6"/>
        <v>8000</v>
      </c>
      <c r="R53" s="60" t="str">
        <f t="array" ref="R53">IF(INDEX(Rules!$B$2:$B$60,$D53)="","",INDEX(Rules!$B$2:$B$60,$D53))</f>
        <v>Cash</v>
      </c>
      <c r="S53" s="60" t="str">
        <f t="array" ref="S53">IF(INDEX(Rules!$E$2:$E$60,$D53)="","",INDEX(Rules!$E$2:$E$60,$D53))</f>
        <v>Office and Admin Expense</v>
      </c>
      <c r="T53" s="60" t="str">
        <f t="array" ref="T53">IF(INDEX(Rules!$H$2:$H$60,$D53)="","",INDEX(Rules!$H$2:$H$60,$D53))</f>
        <v>Cost of Goods Sold</v>
      </c>
      <c r="U53" s="60" t="str">
        <f t="array" ref="U53">IF(INDEX(Rules!$C$2:$C$60,$D53)="","",INDEX(Rules!$C$2:$C$60,$D53))</f>
        <v>Retail Sales Revenue</v>
      </c>
      <c r="V53" s="60" t="str">
        <f t="array" ref="V53">IF(INDEX(Rules!$F$2:$F$60,$D53)="","",INDEX(Rules!$F$2:$F$60,$D53))</f>
        <v>Retail Sales Revenue</v>
      </c>
      <c r="W53" s="60" t="str">
        <f t="array" ref="W53">IF(INDEX(Rules!$I$2:$I$60,$D53)="","",INDEX(Rules!$I$2:$I$60,$D53))</f>
        <v>Inventory</v>
      </c>
      <c r="X53" s="60">
        <f t="array" ref="X53">IF(R53="","",INDEX($F53:$Q53,MATCH(INDEX(Rules!$D$2:$D$60,$D53),$F$1:$Q$1,0)))</f>
        <v>7760</v>
      </c>
      <c r="Y53" s="60">
        <f t="array" ref="Y53">IF(S53="","",INDEX($F53:$Q53,MATCH(INDEX(Rules!$G$2:$G$60,$D53),$F$1:$Q$1,0)))</f>
        <v>240</v>
      </c>
      <c r="Z53" s="60">
        <f t="array" ref="Z53">IF(T53="","",INDEX($F53:$Q53,MATCH(INDEX(Rules!$J$2:$J$60,$D53),$F$1:$Q$1,0)))</f>
        <v>4800</v>
      </c>
      <c r="AA53" s="60" t="str">
        <f t="array" ref="AA53">IF(INDEX(Rules!$K$2:$K$60,$D53)="","",INDEX(Rules!$K$2:$K$60,$D53))</f>
        <v>full 8000 is revenue, processor kept 240 (fee expense), goods leave inventory</v>
      </c>
      <c r="AB53" s="60" t="str">
        <f>IF(SUMPRODUCT((R53:W53&lt;&gt;"")*(ISNUMBER(SEARCH(Raw_Data!E53,R53:W53))+ISNUMBER(SEARCH(R53:W53,Raw_Data!E53))))&gt;0,"OK","CHECK")</f>
        <v>OK</v>
      </c>
    </row>
    <row r="54">
      <c r="A54" s="60" t="str">
        <f>Raw_Data!A54</f>
        <v>VVV-2024-053</v>
      </c>
      <c r="B54" s="60">
        <f>Raw_Data!D54</f>
        <v>9000</v>
      </c>
      <c r="C54" s="60" t="str">
        <f>LOWER(Raw_Data!C54&amp;" | "&amp;Raw_Data!F54)</f>
        <v>corporate guided tour delivered; deposit applied | $4,000 prior deposit applied; $5,000 invoiced</v>
      </c>
      <c r="D54" s="60">
        <f t="array" ref="D54">MATCH(1,ISNUMBER(SEARCH(Rules!$A$2:$A$60,C54))*(Rules!$A$2:$A$60&lt;&gt;""),0)</f>
        <v>27</v>
      </c>
      <c r="E54" s="60" t="str">
        <f t="array" ref="E54">INDEX(Rules!$A$2:$A$60,D54)</f>
        <v>tour delivered; deposit applied</v>
      </c>
      <c r="F54" s="60">
        <f t="shared" si="1"/>
        <v>9000</v>
      </c>
      <c r="G54" s="60">
        <f>IFERROR(__xludf.DUMMYFUNCTION("IFERROR(VALUE(SUBSTITUTE(REGEXEXTRACT(Raw_Data!J54,""Cost of goods sold: \$([\d,]+)""),"","","""")),0)"),0.0)</f>
        <v>0</v>
      </c>
      <c r="H54" s="60">
        <f>IFERROR(__xludf.DUMMYFUNCTION("IFERROR(VALUE(SUBSTITUTE(REGEXEXTRACT(Raw_Data!J54,""withheld a \$([\d,]+) fee""),"","","""")),0)"),0.0)</f>
        <v>0</v>
      </c>
      <c r="I54" s="60">
        <f t="shared" si="2"/>
        <v>9000</v>
      </c>
      <c r="J54" s="60">
        <f>IFERROR(__xludf.DUMMYFUNCTION("IFERROR(VALUE(SUBSTITUTE(REGEXEXTRACT(Raw_Data!J54,""(?i)interest \$([\d,]+)""),"","","""")),0)"),0.0)</f>
        <v>0</v>
      </c>
      <c r="K54" s="60">
        <f t="shared" si="3"/>
        <v>9000</v>
      </c>
      <c r="L54" s="60">
        <f>IFERROR(__xludf.DUMMYFUNCTION("IFERROR(VALUE(SUBSTITUTE(REGEXEXTRACT(Raw_Data!F54,""\$([\d,]+) prior deposit applied""),"","","""")),0)"),4000.0)</f>
        <v>4000</v>
      </c>
      <c r="M54" s="60">
        <f t="shared" si="4"/>
        <v>5000</v>
      </c>
      <c r="N54" s="60">
        <f>IFERROR(__xludf.DUMMYFUNCTION("IFERROR(VALUE(SUBSTITUTE(REGEXEXTRACT(Raw_Data!F54,""^\$([\d,]+) cash""),"","","""")),0)"),0.0)</f>
        <v>0</v>
      </c>
      <c r="O54" s="60">
        <f t="shared" si="5"/>
        <v>9000</v>
      </c>
      <c r="P54" s="60">
        <f>IFERROR(__xludf.DUMMYFUNCTION("IFERROR(VALUE(SUBSTITUTE(REGEXEXTRACT(Raw_Data!J54,""labour \d+ h at \$\d+/h: \$([\d,]+)""),"","","""")),0)"),0.0)</f>
        <v>0</v>
      </c>
      <c r="Q54" s="60">
        <f t="shared" si="6"/>
        <v>9000</v>
      </c>
      <c r="R54" s="60" t="str">
        <f t="array" ref="R54">IF(INDEX(Rules!$B$2:$B$60,$D54)="","",INDEX(Rules!$B$2:$B$60,$D54))</f>
        <v>Unearned Revenue</v>
      </c>
      <c r="S54" s="60" t="str">
        <f t="array" ref="S54">IF(INDEX(Rules!$E$2:$E$60,$D54)="","",INDEX(Rules!$E$2:$E$60,$D54))</f>
        <v>Accounts Receivable</v>
      </c>
      <c r="T54" s="60" t="str">
        <f t="array" ref="T54">IF(INDEX(Rules!$H$2:$H$60,$D54)="","",INDEX(Rules!$H$2:$H$60,$D54))</f>
        <v/>
      </c>
      <c r="U54" s="60" t="str">
        <f t="array" ref="U54">IF(INDEX(Rules!$C$2:$C$60,$D54)="","",INDEX(Rules!$C$2:$C$60,$D54))</f>
        <v>Tour Revenue</v>
      </c>
      <c r="V54" s="60" t="str">
        <f t="array" ref="V54">IF(INDEX(Rules!$F$2:$F$60,$D54)="","",INDEX(Rules!$F$2:$F$60,$D54))</f>
        <v>Tour Revenue</v>
      </c>
      <c r="W54" s="60" t="str">
        <f t="array" ref="W54">IF(INDEX(Rules!$I$2:$I$60,$D54)="","",INDEX(Rules!$I$2:$I$60,$D54))</f>
        <v/>
      </c>
      <c r="X54" s="60">
        <f t="array" ref="X54">IF(R54="","",INDEX($F54:$Q54,MATCH(INDEX(Rules!$D$2:$D$60,$D54),$F$1:$Q$1,0)))</f>
        <v>4000</v>
      </c>
      <c r="Y54" s="60">
        <f t="array" ref="Y54">IF(S54="","",INDEX($F54:$Q54,MATCH(INDEX(Rules!$G$2:$G$60,$D54),$F$1:$Q$1,0)))</f>
        <v>5000</v>
      </c>
      <c r="Z54" s="60" t="str">
        <f t="array" ref="Z54">IF(T54="","",INDEX($F54:$Q54,MATCH(INDEX(Rules!$J$2:$J$60,$D54),$F$1:$Q$1,0)))</f>
        <v/>
      </c>
      <c r="AA54" s="60" t="str">
        <f t="array" ref="AA54">IF(INDEX(Rules!$K$2:$K$60,$D54)="","",INDEX(Rules!$K$2:$K$60,$D54))</f>
        <v>no cash today: feb deposit now earned + rest billed (AR)</v>
      </c>
      <c r="AB54" s="60" t="str">
        <f>IF(SUMPRODUCT((R54:W54&lt;&gt;"")*(ISNUMBER(SEARCH(Raw_Data!E54,R54:W54))+ISNUMBER(SEARCH(R54:W54,Raw_Data!E54))))&gt;0,"OK","CHECK")</f>
        <v>CHECK</v>
      </c>
    </row>
    <row r="55">
      <c r="A55" s="60" t="str">
        <f>Raw_Data!A55</f>
        <v>VVV-2024-054</v>
      </c>
      <c r="B55" s="60">
        <f>Raw_Data!D55</f>
        <v>11240</v>
      </c>
      <c r="C55" s="60" t="str">
        <f>LOWER(Raw_Data!C55&amp;" | "&amp;Raw_Data!F55)</f>
        <v>employee payroll settlement | payroll and claims paid from business bank account</v>
      </c>
      <c r="D55" s="60">
        <f t="array" ref="D55">MATCH(1,ISNUMBER(SEARCH(Rules!$A$2:$A$60,C55))*(Rules!$A$2:$A$60&lt;&gt;""),0)</f>
        <v>23</v>
      </c>
      <c r="E55" s="60" t="str">
        <f t="array" ref="E55">INDEX(Rules!$A$2:$A$60,D55)</f>
        <v>payroll</v>
      </c>
      <c r="F55" s="60">
        <f t="shared" si="1"/>
        <v>11240</v>
      </c>
      <c r="G55" s="60">
        <f>IFERROR(__xludf.DUMMYFUNCTION("IFERROR(VALUE(SUBSTITUTE(REGEXEXTRACT(Raw_Data!J55,""Cost of goods sold: \$([\d,]+)""),"","","""")),0)"),0.0)</f>
        <v>0</v>
      </c>
      <c r="H55" s="60">
        <f>IFERROR(__xludf.DUMMYFUNCTION("IFERROR(VALUE(SUBSTITUTE(REGEXEXTRACT(Raw_Data!J55,""withheld a \$([\d,]+) fee""),"","","""")),0)"),0.0)</f>
        <v>0</v>
      </c>
      <c r="I55" s="60">
        <f t="shared" si="2"/>
        <v>11240</v>
      </c>
      <c r="J55" s="60">
        <f>IFERROR(__xludf.DUMMYFUNCTION("IFERROR(VALUE(SUBSTITUTE(REGEXEXTRACT(Raw_Data!J55,""(?i)interest \$([\d,]+)""),"","","""")),0)"),0.0)</f>
        <v>0</v>
      </c>
      <c r="K55" s="60">
        <f t="shared" si="3"/>
        <v>11240</v>
      </c>
      <c r="L55" s="60">
        <f>IFERROR(__xludf.DUMMYFUNCTION("IFERROR(VALUE(SUBSTITUTE(REGEXEXTRACT(Raw_Data!F55,""\$([\d,]+) prior deposit applied""),"","","""")),0)"),0.0)</f>
        <v>0</v>
      </c>
      <c r="M55" s="60">
        <f t="shared" si="4"/>
        <v>11240</v>
      </c>
      <c r="N55" s="60">
        <f>IFERROR(__xludf.DUMMYFUNCTION("IFERROR(VALUE(SUBSTITUTE(REGEXEXTRACT(Raw_Data!F55,""^\$([\d,]+) cash""),"","","""")),0)"),0.0)</f>
        <v>0</v>
      </c>
      <c r="O55" s="60">
        <f t="shared" si="5"/>
        <v>11240</v>
      </c>
      <c r="P55" s="60">
        <f>IFERROR(__xludf.DUMMYFUNCTION("IFERROR(VALUE(SUBSTITUTE(REGEXEXTRACT(Raw_Data!J55,""labour \d+ h at \$\d+/h: \$([\d,]+)""),"","","""")),0)"),0.0)</f>
        <v>0</v>
      </c>
      <c r="Q55" s="60">
        <f t="shared" si="6"/>
        <v>11240</v>
      </c>
      <c r="R55" s="60" t="str">
        <f t="array" ref="R55">IF(INDEX(Rules!$B$2:$B$60,$D55)="","",INDEX(Rules!$B$2:$B$60,$D55))</f>
        <v>Wages Expense</v>
      </c>
      <c r="S55" s="60" t="str">
        <f t="array" ref="S55">IF(INDEX(Rules!$E$2:$E$60,$D55)="","",INDEX(Rules!$E$2:$E$60,$D55))</f>
        <v/>
      </c>
      <c r="T55" s="60" t="str">
        <f t="array" ref="T55">IF(INDEX(Rules!$H$2:$H$60,$D55)="","",INDEX(Rules!$H$2:$H$60,$D55))</f>
        <v/>
      </c>
      <c r="U55" s="60" t="str">
        <f t="array" ref="U55">IF(INDEX(Rules!$C$2:$C$60,$D55)="","",INDEX(Rules!$C$2:$C$60,$D55))</f>
        <v>Cash</v>
      </c>
      <c r="V55" s="60" t="str">
        <f t="array" ref="V55">IF(INDEX(Rules!$F$2:$F$60,$D55)="","",INDEX(Rules!$F$2:$F$60,$D55))</f>
        <v/>
      </c>
      <c r="W55" s="60" t="str">
        <f t="array" ref="W55">IF(INDEX(Rules!$I$2:$I$60,$D55)="","",INDEX(Rules!$I$2:$I$60,$D55))</f>
        <v/>
      </c>
      <c r="X55" s="60">
        <f t="array" ref="X55">IF(R55="","",INDEX($F55:$Q55,MATCH(INDEX(Rules!$D$2:$D$60,$D55),$F$1:$Q$1,0)))</f>
        <v>11240</v>
      </c>
      <c r="Y55" s="60" t="str">
        <f t="array" ref="Y55">IF(S55="","",INDEX($F55:$Q55,MATCH(INDEX(Rules!$G$2:$G$60,$D55),$F$1:$Q$1,0)))</f>
        <v/>
      </c>
      <c r="Z55" s="60" t="str">
        <f t="array" ref="Z55">IF(T55="","",INDEX($F55:$Q55,MATCH(INDEX(Rules!$J$2:$J$60,$D55),$F$1:$Q$1,0)))</f>
        <v/>
      </c>
      <c r="AA55" s="60" t="str">
        <f t="array" ref="AA55">IF(INDEX(Rules!$K$2:$K$60,$D55)="","",INDEX(Rules!$K$2:$K$60,$D55))</f>
        <v>wages, includes E04's $200 travel claim</v>
      </c>
      <c r="AB55" s="60" t="str">
        <f>IF(SUMPRODUCT((R55:W55&lt;&gt;"")*(ISNUMBER(SEARCH(Raw_Data!E55,R55:W55))+ISNUMBER(SEARCH(R55:W55,Raw_Data!E55))))&gt;0,"OK","CHECK")</f>
        <v>OK</v>
      </c>
    </row>
    <row r="56">
      <c r="A56" s="60" t="str">
        <f>Raw_Data!A56</f>
        <v>VVV-2024-055</v>
      </c>
      <c r="B56" s="60">
        <f>Raw_Data!D56</f>
        <v>9000</v>
      </c>
      <c r="C56" s="60" t="str">
        <f>LOWER(Raw_Data!C56&amp;" | "&amp;Raw_Data!F56)</f>
        <v>purchased retail inventory on account | supplier invoice; payment by agreed instalments</v>
      </c>
      <c r="D56" s="60">
        <f t="array" ref="D56">MATCH(1,ISNUMBER(SEARCH(Rules!$A$2:$A$60,C56))*(Rules!$A$2:$A$60&lt;&gt;""),0)</f>
        <v>9</v>
      </c>
      <c r="E56" s="60" t="str">
        <f t="array" ref="E56">INDEX(Rules!$A$2:$A$60,D56)</f>
        <v>inventory on account</v>
      </c>
      <c r="F56" s="60">
        <f t="shared" si="1"/>
        <v>9000</v>
      </c>
      <c r="G56" s="60">
        <f>IFERROR(__xludf.DUMMYFUNCTION("IFERROR(VALUE(SUBSTITUTE(REGEXEXTRACT(Raw_Data!J56,""Cost of goods sold: \$([\d,]+)""),"","","""")),0)"),0.0)</f>
        <v>0</v>
      </c>
      <c r="H56" s="60">
        <f>IFERROR(__xludf.DUMMYFUNCTION("IFERROR(VALUE(SUBSTITUTE(REGEXEXTRACT(Raw_Data!J56,""withheld a \$([\d,]+) fee""),"","","""")),0)"),0.0)</f>
        <v>0</v>
      </c>
      <c r="I56" s="60">
        <f t="shared" si="2"/>
        <v>9000</v>
      </c>
      <c r="J56" s="60">
        <f>IFERROR(__xludf.DUMMYFUNCTION("IFERROR(VALUE(SUBSTITUTE(REGEXEXTRACT(Raw_Data!J56,""(?i)interest \$([\d,]+)""),"","","""")),0)"),0.0)</f>
        <v>0</v>
      </c>
      <c r="K56" s="60">
        <f t="shared" si="3"/>
        <v>9000</v>
      </c>
      <c r="L56" s="60">
        <f>IFERROR(__xludf.DUMMYFUNCTION("IFERROR(VALUE(SUBSTITUTE(REGEXEXTRACT(Raw_Data!F56,""\$([\d,]+) prior deposit applied""),"","","""")),0)"),0.0)</f>
        <v>0</v>
      </c>
      <c r="M56" s="60">
        <f t="shared" si="4"/>
        <v>9000</v>
      </c>
      <c r="N56" s="60">
        <f>IFERROR(__xludf.DUMMYFUNCTION("IFERROR(VALUE(SUBSTITUTE(REGEXEXTRACT(Raw_Data!F56,""^\$([\d,]+) cash""),"","","""")),0)"),0.0)</f>
        <v>0</v>
      </c>
      <c r="O56" s="60">
        <f t="shared" si="5"/>
        <v>9000</v>
      </c>
      <c r="P56" s="60">
        <f>IFERROR(__xludf.DUMMYFUNCTION("IFERROR(VALUE(SUBSTITUTE(REGEXEXTRACT(Raw_Data!J56,""labour \d+ h at \$\d+/h: \$([\d,]+)""),"","","""")),0)"),0.0)</f>
        <v>0</v>
      </c>
      <c r="Q56" s="60">
        <f t="shared" si="6"/>
        <v>9000</v>
      </c>
      <c r="R56" s="60" t="str">
        <f t="array" ref="R56">IF(INDEX(Rules!$B$2:$B$60,$D56)="","",INDEX(Rules!$B$2:$B$60,$D56))</f>
        <v>Inventory</v>
      </c>
      <c r="S56" s="60" t="str">
        <f t="array" ref="S56">IF(INDEX(Rules!$E$2:$E$60,$D56)="","",INDEX(Rules!$E$2:$E$60,$D56))</f>
        <v/>
      </c>
      <c r="T56" s="60" t="str">
        <f t="array" ref="T56">IF(INDEX(Rules!$H$2:$H$60,$D56)="","",INDEX(Rules!$H$2:$H$60,$D56))</f>
        <v/>
      </c>
      <c r="U56" s="60" t="str">
        <f t="array" ref="U56">IF(INDEX(Rules!$C$2:$C$60,$D56)="","",INDEX(Rules!$C$2:$C$60,$D56))</f>
        <v>Accounts Payable</v>
      </c>
      <c r="V56" s="60" t="str">
        <f t="array" ref="V56">IF(INDEX(Rules!$F$2:$F$60,$D56)="","",INDEX(Rules!$F$2:$F$60,$D56))</f>
        <v/>
      </c>
      <c r="W56" s="60" t="str">
        <f t="array" ref="W56">IF(INDEX(Rules!$I$2:$I$60,$D56)="","",INDEX(Rules!$I$2:$I$60,$D56))</f>
        <v/>
      </c>
      <c r="X56" s="60">
        <f t="array" ref="X56">IF(R56="","",INDEX($F56:$Q56,MATCH(INDEX(Rules!$D$2:$D$60,$D56),$F$1:$Q$1,0)))</f>
        <v>9000</v>
      </c>
      <c r="Y56" s="60" t="str">
        <f t="array" ref="Y56">IF(S56="","",INDEX($F56:$Q56,MATCH(INDEX(Rules!$G$2:$G$60,$D56),$F$1:$Q$1,0)))</f>
        <v/>
      </c>
      <c r="Z56" s="60" t="str">
        <f t="array" ref="Z56">IF(T56="","",INDEX($F56:$Q56,MATCH(INDEX(Rules!$J$2:$J$60,$D56),$F$1:$Q$1,0)))</f>
        <v/>
      </c>
      <c r="AA56" s="60" t="str">
        <f t="array" ref="AA56">IF(INDEX(Rules!$K$2:$K$60,$D56)="","",INDEX(Rules!$K$2:$K$60,$D56))</f>
        <v>stuff to resell, bought on credit</v>
      </c>
      <c r="AB56" s="60" t="str">
        <f>IF(SUMPRODUCT((R56:W56&lt;&gt;"")*(ISNUMBER(SEARCH(Raw_Data!E56,R56:W56))+ISNUMBER(SEARCH(R56:W56,Raw_Data!E56))))&gt;0,"OK","CHECK")</f>
        <v>OK</v>
      </c>
    </row>
    <row r="57">
      <c r="A57" s="60" t="str">
        <f>Raw_Data!A57</f>
        <v>VVV-2024-056</v>
      </c>
      <c r="B57" s="60">
        <f>Raw_Data!D57</f>
        <v>1048</v>
      </c>
      <c r="C57" s="60" t="str">
        <f>LOWER(Raw_Data!C57&amp;" | "&amp;Raw_Data!F57)</f>
        <v>monthly utility settlement | paid from business bank account</v>
      </c>
      <c r="D57" s="60">
        <f t="array" ref="D57">MATCH(1,ISNUMBER(SEARCH(Rules!$A$2:$A$60,C57))*(Rules!$A$2:$A$60&lt;&gt;""),0)</f>
        <v>24</v>
      </c>
      <c r="E57" s="60" t="str">
        <f t="array" ref="E57">INDEX(Rules!$A$2:$A$60,D57)</f>
        <v>utility</v>
      </c>
      <c r="F57" s="60">
        <f t="shared" si="1"/>
        <v>1048</v>
      </c>
      <c r="G57" s="60">
        <f>IFERROR(__xludf.DUMMYFUNCTION("IFERROR(VALUE(SUBSTITUTE(REGEXEXTRACT(Raw_Data!J57,""Cost of goods sold: \$([\d,]+)""),"","","""")),0)"),0.0)</f>
        <v>0</v>
      </c>
      <c r="H57" s="60">
        <f>IFERROR(__xludf.DUMMYFUNCTION("IFERROR(VALUE(SUBSTITUTE(REGEXEXTRACT(Raw_Data!J57,""withheld a \$([\d,]+) fee""),"","","""")),0)"),0.0)</f>
        <v>0</v>
      </c>
      <c r="I57" s="60">
        <f t="shared" si="2"/>
        <v>1048</v>
      </c>
      <c r="J57" s="60">
        <f>IFERROR(__xludf.DUMMYFUNCTION("IFERROR(VALUE(SUBSTITUTE(REGEXEXTRACT(Raw_Data!J57,""(?i)interest \$([\d,]+)""),"","","""")),0)"),0.0)</f>
        <v>0</v>
      </c>
      <c r="K57" s="60">
        <f t="shared" si="3"/>
        <v>1048</v>
      </c>
      <c r="L57" s="60">
        <f>IFERROR(__xludf.DUMMYFUNCTION("IFERROR(VALUE(SUBSTITUTE(REGEXEXTRACT(Raw_Data!F57,""\$([\d,]+) prior deposit applied""),"","","""")),0)"),0.0)</f>
        <v>0</v>
      </c>
      <c r="M57" s="60">
        <f t="shared" si="4"/>
        <v>1048</v>
      </c>
      <c r="N57" s="60">
        <f>IFERROR(__xludf.DUMMYFUNCTION("IFERROR(VALUE(SUBSTITUTE(REGEXEXTRACT(Raw_Data!F57,""^\$([\d,]+) cash""),"","","""")),0)"),0.0)</f>
        <v>0</v>
      </c>
      <c r="O57" s="60">
        <f t="shared" si="5"/>
        <v>1048</v>
      </c>
      <c r="P57" s="60">
        <f>IFERROR(__xludf.DUMMYFUNCTION("IFERROR(VALUE(SUBSTITUTE(REGEXEXTRACT(Raw_Data!J57,""labour \d+ h at \$\d+/h: \$([\d,]+)""),"","","""")),0)"),0.0)</f>
        <v>0</v>
      </c>
      <c r="Q57" s="60">
        <f t="shared" si="6"/>
        <v>1048</v>
      </c>
      <c r="R57" s="60" t="str">
        <f t="array" ref="R57">IF(INDEX(Rules!$B$2:$B$60,$D57)="","",INDEX(Rules!$B$2:$B$60,$D57))</f>
        <v>Utilities Expense</v>
      </c>
      <c r="S57" s="60" t="str">
        <f t="array" ref="S57">IF(INDEX(Rules!$E$2:$E$60,$D57)="","",INDEX(Rules!$E$2:$E$60,$D57))</f>
        <v/>
      </c>
      <c r="T57" s="60" t="str">
        <f t="array" ref="T57">IF(INDEX(Rules!$H$2:$H$60,$D57)="","",INDEX(Rules!$H$2:$H$60,$D57))</f>
        <v/>
      </c>
      <c r="U57" s="60" t="str">
        <f t="array" ref="U57">IF(INDEX(Rules!$C$2:$C$60,$D57)="","",INDEX(Rules!$C$2:$C$60,$D57))</f>
        <v>Cash</v>
      </c>
      <c r="V57" s="60" t="str">
        <f t="array" ref="V57">IF(INDEX(Rules!$F$2:$F$60,$D57)="","",INDEX(Rules!$F$2:$F$60,$D57))</f>
        <v/>
      </c>
      <c r="W57" s="60" t="str">
        <f t="array" ref="W57">IF(INDEX(Rules!$I$2:$I$60,$D57)="","",INDEX(Rules!$I$2:$I$60,$D57))</f>
        <v/>
      </c>
      <c r="X57" s="60">
        <f t="array" ref="X57">IF(R57="","",INDEX($F57:$Q57,MATCH(INDEX(Rules!$D$2:$D$60,$D57),$F$1:$Q$1,0)))</f>
        <v>1048</v>
      </c>
      <c r="Y57" s="60" t="str">
        <f t="array" ref="Y57">IF(S57="","",INDEX($F57:$Q57,MATCH(INDEX(Rules!$G$2:$G$60,$D57),$F$1:$Q$1,0)))</f>
        <v/>
      </c>
      <c r="Z57" s="60" t="str">
        <f t="array" ref="Z57">IF(T57="","",INDEX($F57:$Q57,MATCH(INDEX(Rules!$J$2:$J$60,$D57),$F$1:$Q$1,0)))</f>
        <v/>
      </c>
      <c r="AA57" s="60" t="str">
        <f t="array" ref="AA57">IF(INDEX(Rules!$K$2:$K$60,$D57)="","",INDEX(Rules!$K$2:$K$60,$D57))</f>
        <v>monthly utilities</v>
      </c>
      <c r="AB57" s="60" t="str">
        <f>IF(SUMPRODUCT((R57:W57&lt;&gt;"")*(ISNUMBER(SEARCH(Raw_Data!E57,R57:W57))+ISNUMBER(SEARCH(R57:W57,Raw_Data!E57))))&gt;0,"OK","CHECK")</f>
        <v>OK</v>
      </c>
    </row>
    <row r="58">
      <c r="A58" s="60" t="str">
        <f>Raw_Data!A58</f>
        <v>VVV-2024-057</v>
      </c>
      <c r="B58" s="60">
        <f>Raw_Data!D58</f>
        <v>2200</v>
      </c>
      <c r="C58" s="60" t="str">
        <f>LOWER(Raw_Data!C58&amp;" | "&amp;Raw_Data!F58)</f>
        <v>facility equipment purchase | paid from business bank account</v>
      </c>
      <c r="D58" s="60">
        <f t="array" ref="D58">MATCH(1,ISNUMBER(SEARCH(Rules!$A$2:$A$60,C58))*(Rules!$A$2:$A$60&lt;&gt;""),0)</f>
        <v>7</v>
      </c>
      <c r="E58" s="60" t="str">
        <f t="array" ref="E58">INDEX(Rules!$A$2:$A$60,D58)</f>
        <v>facility equipment</v>
      </c>
      <c r="F58" s="60">
        <f t="shared" si="1"/>
        <v>2200</v>
      </c>
      <c r="G58" s="60">
        <f>IFERROR(__xludf.DUMMYFUNCTION("IFERROR(VALUE(SUBSTITUTE(REGEXEXTRACT(Raw_Data!J58,""Cost of goods sold: \$([\d,]+)""),"","","""")),0)"),0.0)</f>
        <v>0</v>
      </c>
      <c r="H58" s="60">
        <f>IFERROR(__xludf.DUMMYFUNCTION("IFERROR(VALUE(SUBSTITUTE(REGEXEXTRACT(Raw_Data!J58,""withheld a \$([\d,]+) fee""),"","","""")),0)"),0.0)</f>
        <v>0</v>
      </c>
      <c r="I58" s="60">
        <f t="shared" si="2"/>
        <v>2200</v>
      </c>
      <c r="J58" s="60">
        <f>IFERROR(__xludf.DUMMYFUNCTION("IFERROR(VALUE(SUBSTITUTE(REGEXEXTRACT(Raw_Data!J58,""(?i)interest \$([\d,]+)""),"","","""")),0)"),0.0)</f>
        <v>0</v>
      </c>
      <c r="K58" s="60">
        <f t="shared" si="3"/>
        <v>2200</v>
      </c>
      <c r="L58" s="60">
        <f>IFERROR(__xludf.DUMMYFUNCTION("IFERROR(VALUE(SUBSTITUTE(REGEXEXTRACT(Raw_Data!F58,""\$([\d,]+) prior deposit applied""),"","","""")),0)"),0.0)</f>
        <v>0</v>
      </c>
      <c r="M58" s="60">
        <f t="shared" si="4"/>
        <v>2200</v>
      </c>
      <c r="N58" s="60">
        <f>IFERROR(__xludf.DUMMYFUNCTION("IFERROR(VALUE(SUBSTITUTE(REGEXEXTRACT(Raw_Data!F58,""^\$([\d,]+) cash""),"","","""")),0)"),0.0)</f>
        <v>0</v>
      </c>
      <c r="O58" s="60">
        <f t="shared" si="5"/>
        <v>2200</v>
      </c>
      <c r="P58" s="60">
        <f>IFERROR(__xludf.DUMMYFUNCTION("IFERROR(VALUE(SUBSTITUTE(REGEXEXTRACT(Raw_Data!J58,""labour \d+ h at \$\d+/h: \$([\d,]+)""),"","","""")),0)"),0.0)</f>
        <v>0</v>
      </c>
      <c r="Q58" s="60">
        <f t="shared" si="6"/>
        <v>2200</v>
      </c>
      <c r="R58" s="60" t="str">
        <f t="array" ref="R58">IF(INDEX(Rules!$B$2:$B$60,$D58)="","",INDEX(Rules!$B$2:$B$60,$D58))</f>
        <v>Equipment</v>
      </c>
      <c r="S58" s="60" t="str">
        <f t="array" ref="S58">IF(INDEX(Rules!$E$2:$E$60,$D58)="","",INDEX(Rules!$E$2:$E$60,$D58))</f>
        <v/>
      </c>
      <c r="T58" s="60" t="str">
        <f t="array" ref="T58">IF(INDEX(Rules!$H$2:$H$60,$D58)="","",INDEX(Rules!$H$2:$H$60,$D58))</f>
        <v/>
      </c>
      <c r="U58" s="60" t="str">
        <f t="array" ref="U58">IF(INDEX(Rules!$C$2:$C$60,$D58)="","",INDEX(Rules!$C$2:$C$60,$D58))</f>
        <v>Cash</v>
      </c>
      <c r="V58" s="60" t="str">
        <f t="array" ref="V58">IF(INDEX(Rules!$F$2:$F$60,$D58)="","",INDEX(Rules!$F$2:$F$60,$D58))</f>
        <v/>
      </c>
      <c r="W58" s="60" t="str">
        <f t="array" ref="W58">IF(INDEX(Rules!$I$2:$I$60,$D58)="","",INDEX(Rules!$I$2:$I$60,$D58))</f>
        <v/>
      </c>
      <c r="X58" s="60">
        <f t="array" ref="X58">IF(R58="","",INDEX($F58:$Q58,MATCH(INDEX(Rules!$D$2:$D$60,$D58),$F$1:$Q$1,0)))</f>
        <v>2200</v>
      </c>
      <c r="Y58" s="60" t="str">
        <f t="array" ref="Y58">IF(S58="","",INDEX($F58:$Q58,MATCH(INDEX(Rules!$G$2:$G$60,$D58),$F$1:$Q$1,0)))</f>
        <v/>
      </c>
      <c r="Z58" s="60" t="str">
        <f t="array" ref="Z58">IF(T58="","",INDEX($F58:$Q58,MATCH(INDEX(Rules!$J$2:$J$60,$D58),$F$1:$Q$1,0)))</f>
        <v/>
      </c>
      <c r="AA58" s="60" t="str">
        <f t="array" ref="AA58">IF(INDEX(Rules!$K$2:$K$60,$D58)="","",INDEX(Rules!$K$2:$K$60,$D58))</f>
        <v>ours and lasts &gt;1 yr -&gt; equipment, not repairs</v>
      </c>
      <c r="AB58" s="60" t="str">
        <f>IF(SUMPRODUCT((R58:W58&lt;&gt;"")*(ISNUMBER(SEARCH(Raw_Data!E58,R58:W58))+ISNUMBER(SEARCH(R58:W58,Raw_Data!E58))))&gt;0,"OK","CHECK")</f>
        <v>CHECK</v>
      </c>
    </row>
    <row r="59">
      <c r="A59" s="60" t="str">
        <f>Raw_Data!A59</f>
        <v>VVV-2024-058</v>
      </c>
      <c r="B59" s="60">
        <f>Raw_Data!D59</f>
        <v>5400</v>
      </c>
      <c r="C59" s="60" t="str">
        <f>LOWER(Raw_Data!C59&amp;" | "&amp;Raw_Data!F59)</f>
        <v>monthly facility rent | automatic bank transfer; settled</v>
      </c>
      <c r="D59" s="60">
        <f t="array" ref="D59">MATCH(1,ISNUMBER(SEARCH(Rules!$A$2:$A$60,C59))*(Rules!$A$2:$A$60&lt;&gt;""),0)</f>
        <v>15</v>
      </c>
      <c r="E59" s="60" t="str">
        <f t="array" ref="E59">INDEX(Rules!$A$2:$A$60,D59)</f>
        <v>facility rent</v>
      </c>
      <c r="F59" s="60">
        <f t="shared" si="1"/>
        <v>5400</v>
      </c>
      <c r="G59" s="60">
        <f>IFERROR(__xludf.DUMMYFUNCTION("IFERROR(VALUE(SUBSTITUTE(REGEXEXTRACT(Raw_Data!J59,""Cost of goods sold: \$([\d,]+)""),"","","""")),0)"),0.0)</f>
        <v>0</v>
      </c>
      <c r="H59" s="60">
        <f>IFERROR(__xludf.DUMMYFUNCTION("IFERROR(VALUE(SUBSTITUTE(REGEXEXTRACT(Raw_Data!J59,""withheld a \$([\d,]+) fee""),"","","""")),0)"),0.0)</f>
        <v>0</v>
      </c>
      <c r="I59" s="60">
        <f t="shared" si="2"/>
        <v>5400</v>
      </c>
      <c r="J59" s="60">
        <f>IFERROR(__xludf.DUMMYFUNCTION("IFERROR(VALUE(SUBSTITUTE(REGEXEXTRACT(Raw_Data!J59,""(?i)interest \$([\d,]+)""),"","","""")),0)"),0.0)</f>
        <v>0</v>
      </c>
      <c r="K59" s="60">
        <f t="shared" si="3"/>
        <v>5400</v>
      </c>
      <c r="L59" s="60">
        <f>IFERROR(__xludf.DUMMYFUNCTION("IFERROR(VALUE(SUBSTITUTE(REGEXEXTRACT(Raw_Data!F59,""\$([\d,]+) prior deposit applied""),"","","""")),0)"),0.0)</f>
        <v>0</v>
      </c>
      <c r="M59" s="60">
        <f t="shared" si="4"/>
        <v>5400</v>
      </c>
      <c r="N59" s="60">
        <f>IFERROR(__xludf.DUMMYFUNCTION("IFERROR(VALUE(SUBSTITUTE(REGEXEXTRACT(Raw_Data!F59,""^\$([\d,]+) cash""),"","","""")),0)"),0.0)</f>
        <v>0</v>
      </c>
      <c r="O59" s="60">
        <f t="shared" si="5"/>
        <v>5400</v>
      </c>
      <c r="P59" s="60">
        <f>IFERROR(__xludf.DUMMYFUNCTION("IFERROR(VALUE(SUBSTITUTE(REGEXEXTRACT(Raw_Data!J59,""labour \d+ h at \$\d+/h: \$([\d,]+)""),"","","""")),0)"),0.0)</f>
        <v>0</v>
      </c>
      <c r="Q59" s="60">
        <f t="shared" si="6"/>
        <v>5400</v>
      </c>
      <c r="R59" s="60" t="str">
        <f t="array" ref="R59">IF(INDEX(Rules!$B$2:$B$60,$D59)="","",INDEX(Rules!$B$2:$B$60,$D59))</f>
        <v>Rent Expense</v>
      </c>
      <c r="S59" s="60" t="str">
        <f t="array" ref="S59">IF(INDEX(Rules!$E$2:$E$60,$D59)="","",INDEX(Rules!$E$2:$E$60,$D59))</f>
        <v/>
      </c>
      <c r="T59" s="60" t="str">
        <f t="array" ref="T59">IF(INDEX(Rules!$H$2:$H$60,$D59)="","",INDEX(Rules!$H$2:$H$60,$D59))</f>
        <v/>
      </c>
      <c r="U59" s="60" t="str">
        <f t="array" ref="U59">IF(INDEX(Rules!$C$2:$C$60,$D59)="","",INDEX(Rules!$C$2:$C$60,$D59))</f>
        <v>Cash</v>
      </c>
      <c r="V59" s="60" t="str">
        <f t="array" ref="V59">IF(INDEX(Rules!$F$2:$F$60,$D59)="","",INDEX(Rules!$F$2:$F$60,$D59))</f>
        <v/>
      </c>
      <c r="W59" s="60" t="str">
        <f t="array" ref="W59">IF(INDEX(Rules!$I$2:$I$60,$D59)="","",INDEX(Rules!$I$2:$I$60,$D59))</f>
        <v/>
      </c>
      <c r="X59" s="60">
        <f t="array" ref="X59">IF(R59="","",INDEX($F59:$Q59,MATCH(INDEX(Rules!$D$2:$D$60,$D59),$F$1:$Q$1,0)))</f>
        <v>5400</v>
      </c>
      <c r="Y59" s="60" t="str">
        <f t="array" ref="Y59">IF(S59="","",INDEX($F59:$Q59,MATCH(INDEX(Rules!$G$2:$G$60,$D59),$F$1:$Q$1,0)))</f>
        <v/>
      </c>
      <c r="Z59" s="60" t="str">
        <f t="array" ref="Z59">IF(T59="","",INDEX($F59:$Q59,MATCH(INDEX(Rules!$J$2:$J$60,$D59),$F$1:$Q$1,0)))</f>
        <v/>
      </c>
      <c r="AA59" s="60" t="str">
        <f t="array" ref="AA59">IF(INDEX(Rules!$K$2:$K$60,$D59)="","",INDEX(Rules!$K$2:$K$60,$D59))</f>
        <v>monthly rent</v>
      </c>
      <c r="AB59" s="60" t="str">
        <f>IF(SUMPRODUCT((R59:W59&lt;&gt;"")*(ISNUMBER(SEARCH(Raw_Data!E59,R59:W59))+ISNUMBER(SEARCH(R59:W59,Raw_Data!E59))))&gt;0,"OK","CHECK")</f>
        <v>OK</v>
      </c>
    </row>
    <row r="60">
      <c r="A60" s="60" t="str">
        <f>Raw_Data!A60</f>
        <v>VVV-2024-059</v>
      </c>
      <c r="B60" s="60">
        <f>Raw_Data!D60</f>
        <v>3000</v>
      </c>
      <c r="C60" s="60" t="str">
        <f>LOWER(Raw_Data!C60&amp;" | "&amp;Raw_Data!F60)</f>
        <v>collected part of may corporate tour receivable | bank transfer received</v>
      </c>
      <c r="D60" s="60">
        <f t="array" ref="D60">MATCH(1,ISNUMBER(SEARCH(Rules!$A$2:$A$60,C60))*(Rules!$A$2:$A$60&lt;&gt;""),0)</f>
        <v>30</v>
      </c>
      <c r="E60" s="60" t="str">
        <f t="array" ref="E60">INDEX(Rules!$A$2:$A$60,D60)</f>
        <v>collected</v>
      </c>
      <c r="F60" s="60">
        <f t="shared" si="1"/>
        <v>3000</v>
      </c>
      <c r="G60" s="60">
        <f>IFERROR(__xludf.DUMMYFUNCTION("IFERROR(VALUE(SUBSTITUTE(REGEXEXTRACT(Raw_Data!J60,""Cost of goods sold: \$([\d,]+)""),"","","""")),0)"),0.0)</f>
        <v>0</v>
      </c>
      <c r="H60" s="60">
        <f>IFERROR(__xludf.DUMMYFUNCTION("IFERROR(VALUE(SUBSTITUTE(REGEXEXTRACT(Raw_Data!J60,""withheld a \$([\d,]+) fee""),"","","""")),0)"),0.0)</f>
        <v>0</v>
      </c>
      <c r="I60" s="60">
        <f t="shared" si="2"/>
        <v>3000</v>
      </c>
      <c r="J60" s="60">
        <f>IFERROR(__xludf.DUMMYFUNCTION("IFERROR(VALUE(SUBSTITUTE(REGEXEXTRACT(Raw_Data!J60,""(?i)interest \$([\d,]+)""),"","","""")),0)"),0.0)</f>
        <v>0</v>
      </c>
      <c r="K60" s="60">
        <f t="shared" si="3"/>
        <v>3000</v>
      </c>
      <c r="L60" s="60">
        <f>IFERROR(__xludf.DUMMYFUNCTION("IFERROR(VALUE(SUBSTITUTE(REGEXEXTRACT(Raw_Data!F60,""\$([\d,]+) prior deposit applied""),"","","""")),0)"),0.0)</f>
        <v>0</v>
      </c>
      <c r="M60" s="60">
        <f t="shared" si="4"/>
        <v>3000</v>
      </c>
      <c r="N60" s="60">
        <f>IFERROR(__xludf.DUMMYFUNCTION("IFERROR(VALUE(SUBSTITUTE(REGEXEXTRACT(Raw_Data!F60,""^\$([\d,]+) cash""),"","","""")),0)"),0.0)</f>
        <v>0</v>
      </c>
      <c r="O60" s="60">
        <f t="shared" si="5"/>
        <v>3000</v>
      </c>
      <c r="P60" s="60">
        <f>IFERROR(__xludf.DUMMYFUNCTION("IFERROR(VALUE(SUBSTITUTE(REGEXEXTRACT(Raw_Data!J60,""labour \d+ h at \$\d+/h: \$([\d,]+)""),"","","""")),0)"),0.0)</f>
        <v>0</v>
      </c>
      <c r="Q60" s="60">
        <f t="shared" si="6"/>
        <v>3000</v>
      </c>
      <c r="R60" s="60" t="str">
        <f t="array" ref="R60">IF(INDEX(Rules!$B$2:$B$60,$D60)="","",INDEX(Rules!$B$2:$B$60,$D60))</f>
        <v>Cash</v>
      </c>
      <c r="S60" s="60" t="str">
        <f t="array" ref="S60">IF(INDEX(Rules!$E$2:$E$60,$D60)="","",INDEX(Rules!$E$2:$E$60,$D60))</f>
        <v/>
      </c>
      <c r="T60" s="60" t="str">
        <f t="array" ref="T60">IF(INDEX(Rules!$H$2:$H$60,$D60)="","",INDEX(Rules!$H$2:$H$60,$D60))</f>
        <v/>
      </c>
      <c r="U60" s="60" t="str">
        <f t="array" ref="U60">IF(INDEX(Rules!$C$2:$C$60,$D60)="","",INDEX(Rules!$C$2:$C$60,$D60))</f>
        <v>Accounts Receivable</v>
      </c>
      <c r="V60" s="60" t="str">
        <f t="array" ref="V60">IF(INDEX(Rules!$F$2:$F$60,$D60)="","",INDEX(Rules!$F$2:$F$60,$D60))</f>
        <v/>
      </c>
      <c r="W60" s="60" t="str">
        <f t="array" ref="W60">IF(INDEX(Rules!$I$2:$I$60,$D60)="","",INDEX(Rules!$I$2:$I$60,$D60))</f>
        <v/>
      </c>
      <c r="X60" s="60">
        <f t="array" ref="X60">IF(R60="","",INDEX($F60:$Q60,MATCH(INDEX(Rules!$D$2:$D$60,$D60),$F$1:$Q$1,0)))</f>
        <v>3000</v>
      </c>
      <c r="Y60" s="60" t="str">
        <f t="array" ref="Y60">IF(S60="","",INDEX($F60:$Q60,MATCH(INDEX(Rules!$G$2:$G$60,$D60),$F$1:$Q$1,0)))</f>
        <v/>
      </c>
      <c r="Z60" s="60" t="str">
        <f t="array" ref="Z60">IF(T60="","",INDEX($F60:$Q60,MATCH(INDEX(Rules!$J$2:$J$60,$D60),$F$1:$Q$1,0)))</f>
        <v/>
      </c>
      <c r="AA60" s="60" t="str">
        <f t="array" ref="AA60">IF(INDEX(Rules!$K$2:$K$60,$D60)="","",INDEX(Rules!$K$2:$K$60,$D60))</f>
        <v>customer pays what they owed</v>
      </c>
      <c r="AB60" s="60" t="str">
        <f>IF(SUMPRODUCT((R60:W60&lt;&gt;"")*(ISNUMBER(SEARCH(Raw_Data!E60,R60:W60))+ISNUMBER(SEARCH(R60:W60,Raw_Data!E60))))&gt;0,"OK","CHECK")</f>
        <v>OK</v>
      </c>
    </row>
    <row r="61">
      <c r="A61" s="60" t="str">
        <f>Raw_Data!A61</f>
        <v>VVV-2024-060</v>
      </c>
      <c r="B61" s="60">
        <f>Raw_Data!D61</f>
        <v>600</v>
      </c>
      <c r="C61" s="60" t="str">
        <f>LOWER(Raw_Data!C61&amp;" | "&amp;Raw_Data!F61)</f>
        <v>monthly business insurance premium | automatic bank transfer; settled</v>
      </c>
      <c r="D61" s="60">
        <f t="array" ref="D61">MATCH(1,ISNUMBER(SEARCH(Rules!$A$2:$A$60,C61))*(Rules!$A$2:$A$60&lt;&gt;""),0)</f>
        <v>20</v>
      </c>
      <c r="E61" s="60" t="str">
        <f t="array" ref="E61">INDEX(Rules!$A$2:$A$60,D61)</f>
        <v>insurance</v>
      </c>
      <c r="F61" s="60">
        <f t="shared" si="1"/>
        <v>600</v>
      </c>
      <c r="G61" s="60">
        <f>IFERROR(__xludf.DUMMYFUNCTION("IFERROR(VALUE(SUBSTITUTE(REGEXEXTRACT(Raw_Data!J61,""Cost of goods sold: \$([\d,]+)""),"","","""")),0)"),0.0)</f>
        <v>0</v>
      </c>
      <c r="H61" s="60">
        <f>IFERROR(__xludf.DUMMYFUNCTION("IFERROR(VALUE(SUBSTITUTE(REGEXEXTRACT(Raw_Data!J61,""withheld a \$([\d,]+) fee""),"","","""")),0)"),0.0)</f>
        <v>0</v>
      </c>
      <c r="I61" s="60">
        <f t="shared" si="2"/>
        <v>600</v>
      </c>
      <c r="J61" s="60">
        <f>IFERROR(__xludf.DUMMYFUNCTION("IFERROR(VALUE(SUBSTITUTE(REGEXEXTRACT(Raw_Data!J61,""(?i)interest \$([\d,]+)""),"","","""")),0)"),0.0)</f>
        <v>0</v>
      </c>
      <c r="K61" s="60">
        <f t="shared" si="3"/>
        <v>600</v>
      </c>
      <c r="L61" s="60">
        <f>IFERROR(__xludf.DUMMYFUNCTION("IFERROR(VALUE(SUBSTITUTE(REGEXEXTRACT(Raw_Data!F61,""\$([\d,]+) prior deposit applied""),"","","""")),0)"),0.0)</f>
        <v>0</v>
      </c>
      <c r="M61" s="60">
        <f t="shared" si="4"/>
        <v>600</v>
      </c>
      <c r="N61" s="60">
        <f>IFERROR(__xludf.DUMMYFUNCTION("IFERROR(VALUE(SUBSTITUTE(REGEXEXTRACT(Raw_Data!F61,""^\$([\d,]+) cash""),"","","""")),0)"),0.0)</f>
        <v>0</v>
      </c>
      <c r="O61" s="60">
        <f t="shared" si="5"/>
        <v>600</v>
      </c>
      <c r="P61" s="60">
        <f>IFERROR(__xludf.DUMMYFUNCTION("IFERROR(VALUE(SUBSTITUTE(REGEXEXTRACT(Raw_Data!J61,""labour \d+ h at \$\d+/h: \$([\d,]+)""),"","","""")),0)"),0.0)</f>
        <v>0</v>
      </c>
      <c r="Q61" s="60">
        <f t="shared" si="6"/>
        <v>600</v>
      </c>
      <c r="R61" s="60" t="str">
        <f t="array" ref="R61">IF(INDEX(Rules!$B$2:$B$60,$D61)="","",INDEX(Rules!$B$2:$B$60,$D61))</f>
        <v>Insurance Expense</v>
      </c>
      <c r="S61" s="60" t="str">
        <f t="array" ref="S61">IF(INDEX(Rules!$E$2:$E$60,$D61)="","",INDEX(Rules!$E$2:$E$60,$D61))</f>
        <v/>
      </c>
      <c r="T61" s="60" t="str">
        <f t="array" ref="T61">IF(INDEX(Rules!$H$2:$H$60,$D61)="","",INDEX(Rules!$H$2:$H$60,$D61))</f>
        <v/>
      </c>
      <c r="U61" s="60" t="str">
        <f t="array" ref="U61">IF(INDEX(Rules!$C$2:$C$60,$D61)="","",INDEX(Rules!$C$2:$C$60,$D61))</f>
        <v>Cash</v>
      </c>
      <c r="V61" s="60" t="str">
        <f t="array" ref="V61">IF(INDEX(Rules!$F$2:$F$60,$D61)="","",INDEX(Rules!$F$2:$F$60,$D61))</f>
        <v/>
      </c>
      <c r="W61" s="60" t="str">
        <f t="array" ref="W61">IF(INDEX(Rules!$I$2:$I$60,$D61)="","",INDEX(Rules!$I$2:$I$60,$D61))</f>
        <v/>
      </c>
      <c r="X61" s="60">
        <f t="array" ref="X61">IF(R61="","",INDEX($F61:$Q61,MATCH(INDEX(Rules!$D$2:$D$60,$D61),$F$1:$Q$1,0)))</f>
        <v>600</v>
      </c>
      <c r="Y61" s="60" t="str">
        <f t="array" ref="Y61">IF(S61="","",INDEX($F61:$Q61,MATCH(INDEX(Rules!$G$2:$G$60,$D61),$F$1:$Q$1,0)))</f>
        <v/>
      </c>
      <c r="Z61" s="60" t="str">
        <f t="array" ref="Z61">IF(T61="","",INDEX($F61:$Q61,MATCH(INDEX(Rules!$J$2:$J$60,$D61),$F$1:$Q$1,0)))</f>
        <v/>
      </c>
      <c r="AA61" s="60" t="str">
        <f t="array" ref="AA61">IF(INDEX(Rules!$K$2:$K$60,$D61)="","",INDEX(Rules!$K$2:$K$60,$D61))</f>
        <v>monthly insurance</v>
      </c>
      <c r="AB61" s="60" t="str">
        <f>IF(SUMPRODUCT((R61:W61&lt;&gt;"")*(ISNUMBER(SEARCH(Raw_Data!E61,R61:W61))+ISNUMBER(SEARCH(R61:W61,Raw_Data!E61))))&gt;0,"OK","CHECK")</f>
        <v>OK</v>
      </c>
    </row>
    <row r="62">
      <c r="A62" s="60" t="str">
        <f>Raw_Data!A62</f>
        <v>VVV-2024-061</v>
      </c>
      <c r="B62" s="60">
        <f>Raw_Data!D62</f>
        <v>3000</v>
      </c>
      <c r="C62" s="60" t="str">
        <f>LOWER(Raw_Data!C62&amp;" | "&amp;Raw_Data!F62)</f>
        <v>partial payment to inventory supplier | bank transfer; settled</v>
      </c>
      <c r="D62" s="60">
        <f t="array" ref="D62">MATCH(1,ISNUMBER(SEARCH(Rules!$A$2:$A$60,C62))*(Rules!$A$2:$A$60&lt;&gt;""),0)</f>
        <v>8</v>
      </c>
      <c r="E62" s="60" t="str">
        <f t="array" ref="E62">INDEX(Rules!$A$2:$A$60,D62)</f>
        <v>payment to inventory supplier</v>
      </c>
      <c r="F62" s="60">
        <f t="shared" si="1"/>
        <v>3000</v>
      </c>
      <c r="G62" s="60">
        <f>IFERROR(__xludf.DUMMYFUNCTION("IFERROR(VALUE(SUBSTITUTE(REGEXEXTRACT(Raw_Data!J62,""Cost of goods sold: \$([\d,]+)""),"","","""")),0)"),0.0)</f>
        <v>0</v>
      </c>
      <c r="H62" s="60">
        <f>IFERROR(__xludf.DUMMYFUNCTION("IFERROR(VALUE(SUBSTITUTE(REGEXEXTRACT(Raw_Data!J62,""withheld a \$([\d,]+) fee""),"","","""")),0)"),0.0)</f>
        <v>0</v>
      </c>
      <c r="I62" s="60">
        <f t="shared" si="2"/>
        <v>3000</v>
      </c>
      <c r="J62" s="60">
        <f>IFERROR(__xludf.DUMMYFUNCTION("IFERROR(VALUE(SUBSTITUTE(REGEXEXTRACT(Raw_Data!J62,""(?i)interest \$([\d,]+)""),"","","""")),0)"),0.0)</f>
        <v>0</v>
      </c>
      <c r="K62" s="60">
        <f t="shared" si="3"/>
        <v>3000</v>
      </c>
      <c r="L62" s="60">
        <f>IFERROR(__xludf.DUMMYFUNCTION("IFERROR(VALUE(SUBSTITUTE(REGEXEXTRACT(Raw_Data!F62,""\$([\d,]+) prior deposit applied""),"","","""")),0)"),0.0)</f>
        <v>0</v>
      </c>
      <c r="M62" s="60">
        <f t="shared" si="4"/>
        <v>3000</v>
      </c>
      <c r="N62" s="60">
        <f>IFERROR(__xludf.DUMMYFUNCTION("IFERROR(VALUE(SUBSTITUTE(REGEXEXTRACT(Raw_Data!F62,""^\$([\d,]+) cash""),"","","""")),0)"),0.0)</f>
        <v>0</v>
      </c>
      <c r="O62" s="60">
        <f t="shared" si="5"/>
        <v>3000</v>
      </c>
      <c r="P62" s="60">
        <f>IFERROR(__xludf.DUMMYFUNCTION("IFERROR(VALUE(SUBSTITUTE(REGEXEXTRACT(Raw_Data!J62,""labour \d+ h at \$\d+/h: \$([\d,]+)""),"","","""")),0)"),0.0)</f>
        <v>0</v>
      </c>
      <c r="Q62" s="60">
        <f t="shared" si="6"/>
        <v>3000</v>
      </c>
      <c r="R62" s="60" t="str">
        <f t="array" ref="R62">IF(INDEX(Rules!$B$2:$B$60,$D62)="","",INDEX(Rules!$B$2:$B$60,$D62))</f>
        <v>Accounts Payable</v>
      </c>
      <c r="S62" s="60" t="str">
        <f t="array" ref="S62">IF(INDEX(Rules!$E$2:$E$60,$D62)="","",INDEX(Rules!$E$2:$E$60,$D62))</f>
        <v/>
      </c>
      <c r="T62" s="60" t="str">
        <f t="array" ref="T62">IF(INDEX(Rules!$H$2:$H$60,$D62)="","",INDEX(Rules!$H$2:$H$60,$D62))</f>
        <v/>
      </c>
      <c r="U62" s="60" t="str">
        <f t="array" ref="U62">IF(INDEX(Rules!$C$2:$C$60,$D62)="","",INDEX(Rules!$C$2:$C$60,$D62))</f>
        <v>Cash</v>
      </c>
      <c r="V62" s="60" t="str">
        <f t="array" ref="V62">IF(INDEX(Rules!$F$2:$F$60,$D62)="","",INDEX(Rules!$F$2:$F$60,$D62))</f>
        <v/>
      </c>
      <c r="W62" s="60" t="str">
        <f t="array" ref="W62">IF(INDEX(Rules!$I$2:$I$60,$D62)="","",INDEX(Rules!$I$2:$I$60,$D62))</f>
        <v/>
      </c>
      <c r="X62" s="60">
        <f t="array" ref="X62">IF(R62="","",INDEX($F62:$Q62,MATCH(INDEX(Rules!$D$2:$D$60,$D62),$F$1:$Q$1,0)))</f>
        <v>3000</v>
      </c>
      <c r="Y62" s="60" t="str">
        <f t="array" ref="Y62">IF(S62="","",INDEX($F62:$Q62,MATCH(INDEX(Rules!$G$2:$G$60,$D62),$F$1:$Q$1,0)))</f>
        <v/>
      </c>
      <c r="Z62" s="60" t="str">
        <f t="array" ref="Z62">IF(T62="","",INDEX($F62:$Q62,MATCH(INDEX(Rules!$J$2:$J$60,$D62),$F$1:$Q$1,0)))</f>
        <v/>
      </c>
      <c r="AA62" s="60" t="str">
        <f t="array" ref="AA62">IF(INDEX(Rules!$K$2:$K$60,$D62)="","",INDEX(Rules!$K$2:$K$60,$D62))</f>
        <v>paying the supplier back, reduces AP</v>
      </c>
      <c r="AB62" s="60" t="str">
        <f>IF(SUMPRODUCT((R62:W62&lt;&gt;"")*(ISNUMBER(SEARCH(Raw_Data!E62,R62:W62))+ISNUMBER(SEARCH(R62:W62,Raw_Data!E62))))&gt;0,"OK","CHECK")</f>
        <v>OK</v>
      </c>
    </row>
    <row r="63">
      <c r="A63" s="60" t="str">
        <f>Raw_Data!A63</f>
        <v>VVV-2024-062</v>
      </c>
      <c r="B63" s="60">
        <f>Raw_Data!D63</f>
        <v>16000</v>
      </c>
      <c r="C63" s="60" t="str">
        <f>LOWER(Raw_Data!C63&amp;" | "&amp;Raw_Data!F63)</f>
        <v>equipment rental receipts batch | cash and card receipts; settled</v>
      </c>
      <c r="D63" s="60">
        <f t="array" ref="D63">MATCH(1,ISNUMBER(SEARCH(Rules!$A$2:$A$60,C63))*(Rules!$A$2:$A$60&lt;&gt;""),0)</f>
        <v>26</v>
      </c>
      <c r="E63" s="60" t="str">
        <f t="array" ref="E63">INDEX(Rules!$A$2:$A$60,D63)</f>
        <v>rental receipts</v>
      </c>
      <c r="F63" s="60">
        <f t="shared" si="1"/>
        <v>16000</v>
      </c>
      <c r="G63" s="60">
        <f>IFERROR(__xludf.DUMMYFUNCTION("IFERROR(VALUE(SUBSTITUTE(REGEXEXTRACT(Raw_Data!J63,""Cost of goods sold: \$([\d,]+)""),"","","""")),0)"),0.0)</f>
        <v>0</v>
      </c>
      <c r="H63" s="60">
        <f>IFERROR(__xludf.DUMMYFUNCTION("IFERROR(VALUE(SUBSTITUTE(REGEXEXTRACT(Raw_Data!J63,""withheld a \$([\d,]+) fee""),"","","""")),0)"),0.0)</f>
        <v>0</v>
      </c>
      <c r="I63" s="60">
        <f t="shared" si="2"/>
        <v>16000</v>
      </c>
      <c r="J63" s="60">
        <f>IFERROR(__xludf.DUMMYFUNCTION("IFERROR(VALUE(SUBSTITUTE(REGEXEXTRACT(Raw_Data!J63,""(?i)interest \$([\d,]+)""),"","","""")),0)"),0.0)</f>
        <v>0</v>
      </c>
      <c r="K63" s="60">
        <f t="shared" si="3"/>
        <v>16000</v>
      </c>
      <c r="L63" s="60">
        <f>IFERROR(__xludf.DUMMYFUNCTION("IFERROR(VALUE(SUBSTITUTE(REGEXEXTRACT(Raw_Data!F63,""\$([\d,]+) prior deposit applied""),"","","""")),0)"),0.0)</f>
        <v>0</v>
      </c>
      <c r="M63" s="60">
        <f t="shared" si="4"/>
        <v>16000</v>
      </c>
      <c r="N63" s="60">
        <f>IFERROR(__xludf.DUMMYFUNCTION("IFERROR(VALUE(SUBSTITUTE(REGEXEXTRACT(Raw_Data!F63,""^\$([\d,]+) cash""),"","","""")),0)"),0.0)</f>
        <v>0</v>
      </c>
      <c r="O63" s="60">
        <f t="shared" si="5"/>
        <v>16000</v>
      </c>
      <c r="P63" s="60">
        <f>IFERROR(__xludf.DUMMYFUNCTION("IFERROR(VALUE(SUBSTITUTE(REGEXEXTRACT(Raw_Data!J63,""labour \d+ h at \$\d+/h: \$([\d,]+)""),"","","""")),0)"),0.0)</f>
        <v>0</v>
      </c>
      <c r="Q63" s="60">
        <f t="shared" si="6"/>
        <v>16000</v>
      </c>
      <c r="R63" s="60" t="str">
        <f t="array" ref="R63">IF(INDEX(Rules!$B$2:$B$60,$D63)="","",INDEX(Rules!$B$2:$B$60,$D63))</f>
        <v>Cash</v>
      </c>
      <c r="S63" s="60" t="str">
        <f t="array" ref="S63">IF(INDEX(Rules!$E$2:$E$60,$D63)="","",INDEX(Rules!$E$2:$E$60,$D63))</f>
        <v/>
      </c>
      <c r="T63" s="60" t="str">
        <f t="array" ref="T63">IF(INDEX(Rules!$H$2:$H$60,$D63)="","",INDEX(Rules!$H$2:$H$60,$D63))</f>
        <v/>
      </c>
      <c r="U63" s="60" t="str">
        <f t="array" ref="U63">IF(INDEX(Rules!$C$2:$C$60,$D63)="","",INDEX(Rules!$C$2:$C$60,$D63))</f>
        <v>Equipment Rental Revenue</v>
      </c>
      <c r="V63" s="60" t="str">
        <f t="array" ref="V63">IF(INDEX(Rules!$F$2:$F$60,$D63)="","",INDEX(Rules!$F$2:$F$60,$D63))</f>
        <v/>
      </c>
      <c r="W63" s="60" t="str">
        <f t="array" ref="W63">IF(INDEX(Rules!$I$2:$I$60,$D63)="","",INDEX(Rules!$I$2:$I$60,$D63))</f>
        <v/>
      </c>
      <c r="X63" s="60">
        <f t="array" ref="X63">IF(R63="","",INDEX($F63:$Q63,MATCH(INDEX(Rules!$D$2:$D$60,$D63),$F$1:$Q$1,0)))</f>
        <v>16000</v>
      </c>
      <c r="Y63" s="60" t="str">
        <f t="array" ref="Y63">IF(S63="","",INDEX($F63:$Q63,MATCH(INDEX(Rules!$G$2:$G$60,$D63),$F$1:$Q$1,0)))</f>
        <v/>
      </c>
      <c r="Z63" s="60" t="str">
        <f t="array" ref="Z63">IF(T63="","",INDEX($F63:$Q63,MATCH(INDEX(Rules!$J$2:$J$60,$D63),$F$1:$Q$1,0)))</f>
        <v/>
      </c>
      <c r="AA63" s="60" t="str">
        <f t="array" ref="AA63">IF(INDEX(Rules!$K$2:$K$60,$D63)="","",INDEX(Rules!$K$2:$K$60,$D63))</f>
        <v>rentals done and paid</v>
      </c>
      <c r="AB63" s="60" t="str">
        <f>IF(SUMPRODUCT((R63:W63&lt;&gt;"")*(ISNUMBER(SEARCH(Raw_Data!E63,R63:W63))+ISNUMBER(SEARCH(R63:W63,Raw_Data!E63))))&gt;0,"OK","CHECK")</f>
        <v>OK</v>
      </c>
    </row>
    <row r="64">
      <c r="A64" s="60" t="str">
        <f>Raw_Data!A64</f>
        <v>VVV-2024-063</v>
      </c>
      <c r="B64" s="60">
        <f>Raw_Data!D64</f>
        <v>3920</v>
      </c>
      <c r="C64" s="60" t="str">
        <f>LOWER(Raw_Data!C64&amp;" | "&amp;Raw_Data!F64)</f>
        <v>fleet service and dispatch | paid from business bank account</v>
      </c>
      <c r="D64" s="60">
        <f t="array" ref="D64">MATCH(1,ISNUMBER(SEARCH(Rules!$A$2:$A$60,C64))*(Rules!$A$2:$A$60&lt;&gt;""),0)</f>
        <v>4</v>
      </c>
      <c r="E64" s="60" t="str">
        <f t="array" ref="E64">INDEX(Rules!$A$2:$A$60,D64)</f>
        <v>fleet service and dispatch</v>
      </c>
      <c r="F64" s="60">
        <f t="shared" si="1"/>
        <v>3920</v>
      </c>
      <c r="G64" s="60">
        <f>IFERROR(__xludf.DUMMYFUNCTION("IFERROR(VALUE(SUBSTITUTE(REGEXEXTRACT(Raw_Data!J64,""Cost of goods sold: \$([\d,]+)""),"","","""")),0)"),0.0)</f>
        <v>0</v>
      </c>
      <c r="H64" s="60">
        <f>IFERROR(__xludf.DUMMYFUNCTION("IFERROR(VALUE(SUBSTITUTE(REGEXEXTRACT(Raw_Data!J64,""withheld a \$([\d,]+) fee""),"","","""")),0)"),0.0)</f>
        <v>0</v>
      </c>
      <c r="I64" s="60">
        <f t="shared" si="2"/>
        <v>3920</v>
      </c>
      <c r="J64" s="60">
        <f>IFERROR(__xludf.DUMMYFUNCTION("IFERROR(VALUE(SUBSTITUTE(REGEXEXTRACT(Raw_Data!J64,""(?i)interest \$([\d,]+)""),"","","""")),0)"),0.0)</f>
        <v>0</v>
      </c>
      <c r="K64" s="60">
        <f t="shared" si="3"/>
        <v>3920</v>
      </c>
      <c r="L64" s="60">
        <f>IFERROR(__xludf.DUMMYFUNCTION("IFERROR(VALUE(SUBSTITUTE(REGEXEXTRACT(Raw_Data!F64,""\$([\d,]+) prior deposit applied""),"","","""")),0)"),0.0)</f>
        <v>0</v>
      </c>
      <c r="M64" s="60">
        <f t="shared" si="4"/>
        <v>3920</v>
      </c>
      <c r="N64" s="60">
        <f>IFERROR(__xludf.DUMMYFUNCTION("IFERROR(VALUE(SUBSTITUTE(REGEXEXTRACT(Raw_Data!F64,""^\$([\d,]+) cash""),"","","""")),0)"),0.0)</f>
        <v>0</v>
      </c>
      <c r="O64" s="60">
        <f t="shared" si="5"/>
        <v>3920</v>
      </c>
      <c r="P64" s="60">
        <f>IFERROR(__xludf.DUMMYFUNCTION("IFERROR(VALUE(SUBSTITUTE(REGEXEXTRACT(Raw_Data!J64,""labour \d+ h at \$\d+/h: \$([\d,]+)""),"","","""")),0)"),3200.0)</f>
        <v>3200</v>
      </c>
      <c r="Q64" s="60">
        <f t="shared" si="6"/>
        <v>720</v>
      </c>
      <c r="R64" s="60" t="str">
        <f t="array" ref="R64">IF(INDEX(Rules!$B$2:$B$60,$D64)="","",INDEX(Rules!$B$2:$B$60,$D64))</f>
        <v>Repairs and Maintenance Expense</v>
      </c>
      <c r="S64" s="60" t="str">
        <f t="array" ref="S64">IF(INDEX(Rules!$E$2:$E$60,$D64)="","",INDEX(Rules!$E$2:$E$60,$D64))</f>
        <v>School Group Expense</v>
      </c>
      <c r="T64" s="60" t="str">
        <f t="array" ref="T64">IF(INDEX(Rules!$H$2:$H$60,$D64)="","",INDEX(Rules!$H$2:$H$60,$D64))</f>
        <v/>
      </c>
      <c r="U64" s="60" t="str">
        <f t="array" ref="U64">IF(INDEX(Rules!$C$2:$C$60,$D64)="","",INDEX(Rules!$C$2:$C$60,$D64))</f>
        <v>Cash</v>
      </c>
      <c r="V64" s="60" t="str">
        <f t="array" ref="V64">IF(INDEX(Rules!$F$2:$F$60,$D64)="","",INDEX(Rules!$F$2:$F$60,$D64))</f>
        <v>Cash</v>
      </c>
      <c r="W64" s="60" t="str">
        <f t="array" ref="W64">IF(INDEX(Rules!$I$2:$I$60,$D64)="","",INDEX(Rules!$I$2:$I$60,$D64))</f>
        <v/>
      </c>
      <c r="X64" s="60">
        <f t="array" ref="X64">IF(R64="","",INDEX($F64:$Q64,MATCH(INDEX(Rules!$D$2:$D$60,$D64),$F$1:$Q$1,0)))</f>
        <v>3200</v>
      </c>
      <c r="Y64" s="60">
        <f t="array" ref="Y64">IF(S64="","",INDEX($F64:$Q64,MATCH(INDEX(Rules!$G$2:$G$60,$D64),$F$1:$Q$1,0)))</f>
        <v>720</v>
      </c>
      <c r="Z64" s="60" t="str">
        <f t="array" ref="Z64">IF(T64="","",INDEX($F64:$Q64,MATCH(INDEX(Rules!$J$2:$J$60,$D64),$F$1:$Q$1,0)))</f>
        <v/>
      </c>
      <c r="AA64" s="60" t="str">
        <f t="array" ref="AA64">IF(INDEX(Rules!$K$2:$K$60,$D64)="","",INDEX(Rules!$K$2:$K$60,$D64))</f>
        <v>only workshop labour is repairs, shuttle/materials go to school group</v>
      </c>
      <c r="AB64" s="60" t="str">
        <f>IF(SUMPRODUCT((R64:W64&lt;&gt;"")*(ISNUMBER(SEARCH(Raw_Data!E64,R64:W64))+ISNUMBER(SEARCH(R64:W64,Raw_Data!E64))))&gt;0,"OK","CHECK")</f>
        <v>OK</v>
      </c>
    </row>
    <row r="65">
      <c r="A65" s="60" t="str">
        <f>Raw_Data!A65</f>
        <v>VVV-2024-064</v>
      </c>
      <c r="B65" s="60">
        <f>Raw_Data!D65</f>
        <v>2880</v>
      </c>
      <c r="C65" s="60" t="str">
        <f>LOWER(Raw_Data!C65&amp;" | "&amp;Raw_Data!F65)</f>
        <v>fleet service and dispatch | paid from business bank account</v>
      </c>
      <c r="D65" s="60">
        <f t="array" ref="D65">MATCH(1,ISNUMBER(SEARCH(Rules!$A$2:$A$60,C65))*(Rules!$A$2:$A$60&lt;&gt;""),0)</f>
        <v>4</v>
      </c>
      <c r="E65" s="60" t="str">
        <f t="array" ref="E65">INDEX(Rules!$A$2:$A$60,D65)</f>
        <v>fleet service and dispatch</v>
      </c>
      <c r="F65" s="60">
        <f t="shared" si="1"/>
        <v>2880</v>
      </c>
      <c r="G65" s="60">
        <f>IFERROR(__xludf.DUMMYFUNCTION("IFERROR(VALUE(SUBSTITUTE(REGEXEXTRACT(Raw_Data!J65,""Cost of goods sold: \$([\d,]+)""),"","","""")),0)"),0.0)</f>
        <v>0</v>
      </c>
      <c r="H65" s="60">
        <f>IFERROR(__xludf.DUMMYFUNCTION("IFERROR(VALUE(SUBSTITUTE(REGEXEXTRACT(Raw_Data!J65,""withheld a \$([\d,]+) fee""),"","","""")),0)"),0.0)</f>
        <v>0</v>
      </c>
      <c r="I65" s="60">
        <f t="shared" si="2"/>
        <v>2880</v>
      </c>
      <c r="J65" s="60">
        <f>IFERROR(__xludf.DUMMYFUNCTION("IFERROR(VALUE(SUBSTITUTE(REGEXEXTRACT(Raw_Data!J65,""(?i)interest \$([\d,]+)""),"","","""")),0)"),0.0)</f>
        <v>0</v>
      </c>
      <c r="K65" s="60">
        <f t="shared" si="3"/>
        <v>2880</v>
      </c>
      <c r="L65" s="60">
        <f>IFERROR(__xludf.DUMMYFUNCTION("IFERROR(VALUE(SUBSTITUTE(REGEXEXTRACT(Raw_Data!F65,""\$([\d,]+) prior deposit applied""),"","","""")),0)"),0.0)</f>
        <v>0</v>
      </c>
      <c r="M65" s="60">
        <f t="shared" si="4"/>
        <v>2880</v>
      </c>
      <c r="N65" s="60">
        <f>IFERROR(__xludf.DUMMYFUNCTION("IFERROR(VALUE(SUBSTITUTE(REGEXEXTRACT(Raw_Data!F65,""^\$([\d,]+) cash""),"","","""")),0)"),0.0)</f>
        <v>0</v>
      </c>
      <c r="O65" s="60">
        <f t="shared" si="5"/>
        <v>2880</v>
      </c>
      <c r="P65" s="60">
        <f>IFERROR(__xludf.DUMMYFUNCTION("IFERROR(VALUE(SUBSTITUTE(REGEXEXTRACT(Raw_Data!J65,""labour \d+ h at \$\d+/h: \$([\d,]+)""),"","","""")),0)"),2200.0)</f>
        <v>2200</v>
      </c>
      <c r="Q65" s="60">
        <f t="shared" si="6"/>
        <v>680</v>
      </c>
      <c r="R65" s="60" t="str">
        <f t="array" ref="R65">IF(INDEX(Rules!$B$2:$B$60,$D65)="","",INDEX(Rules!$B$2:$B$60,$D65))</f>
        <v>Repairs and Maintenance Expense</v>
      </c>
      <c r="S65" s="60" t="str">
        <f t="array" ref="S65">IF(INDEX(Rules!$E$2:$E$60,$D65)="","",INDEX(Rules!$E$2:$E$60,$D65))</f>
        <v>School Group Expense</v>
      </c>
      <c r="T65" s="60" t="str">
        <f t="array" ref="T65">IF(INDEX(Rules!$H$2:$H$60,$D65)="","",INDEX(Rules!$H$2:$H$60,$D65))</f>
        <v/>
      </c>
      <c r="U65" s="60" t="str">
        <f t="array" ref="U65">IF(INDEX(Rules!$C$2:$C$60,$D65)="","",INDEX(Rules!$C$2:$C$60,$D65))</f>
        <v>Cash</v>
      </c>
      <c r="V65" s="60" t="str">
        <f t="array" ref="V65">IF(INDEX(Rules!$F$2:$F$60,$D65)="","",INDEX(Rules!$F$2:$F$60,$D65))</f>
        <v>Cash</v>
      </c>
      <c r="W65" s="60" t="str">
        <f t="array" ref="W65">IF(INDEX(Rules!$I$2:$I$60,$D65)="","",INDEX(Rules!$I$2:$I$60,$D65))</f>
        <v/>
      </c>
      <c r="X65" s="60">
        <f t="array" ref="X65">IF(R65="","",INDEX($F65:$Q65,MATCH(INDEX(Rules!$D$2:$D$60,$D65),$F$1:$Q$1,0)))</f>
        <v>2200</v>
      </c>
      <c r="Y65" s="60">
        <f t="array" ref="Y65">IF(S65="","",INDEX($F65:$Q65,MATCH(INDEX(Rules!$G$2:$G$60,$D65),$F$1:$Q$1,0)))</f>
        <v>680</v>
      </c>
      <c r="Z65" s="60" t="str">
        <f t="array" ref="Z65">IF(T65="","",INDEX($F65:$Q65,MATCH(INDEX(Rules!$J$2:$J$60,$D65),$F$1:$Q$1,0)))</f>
        <v/>
      </c>
      <c r="AA65" s="60" t="str">
        <f t="array" ref="AA65">IF(INDEX(Rules!$K$2:$K$60,$D65)="","",INDEX(Rules!$K$2:$K$60,$D65))</f>
        <v>only workshop labour is repairs, shuttle/materials go to school group</v>
      </c>
      <c r="AB65" s="60" t="str">
        <f>IF(SUMPRODUCT((R65:W65&lt;&gt;"")*(ISNUMBER(SEARCH(Raw_Data!E65,R65:W65))+ISNUMBER(SEARCH(R65:W65,Raw_Data!E65))))&gt;0,"OK","CHECK")</f>
        <v>OK</v>
      </c>
    </row>
    <row r="66">
      <c r="A66" s="60" t="str">
        <f>Raw_Data!A66</f>
        <v>VVV-2024-065</v>
      </c>
      <c r="B66" s="60">
        <f>Raw_Data!D66</f>
        <v>9000</v>
      </c>
      <c r="C66" s="60" t="str">
        <f>LOWER(Raw_Data!C66&amp;" | "&amp;Raw_Data!F66)</f>
        <v>retail camping-supply sales | cash and card receipts; settled</v>
      </c>
      <c r="D66" s="60">
        <f t="array" ref="D66">MATCH(1,ISNUMBER(SEARCH(Rules!$A$2:$A$60,C66))*(Rules!$A$2:$A$60&lt;&gt;""),0)</f>
        <v>12</v>
      </c>
      <c r="E66" s="60" t="str">
        <f t="array" ref="E66">INDEX(Rules!$A$2:$A$60,D66)</f>
        <v>camping-supply sales</v>
      </c>
      <c r="F66" s="60">
        <f t="shared" si="1"/>
        <v>9000</v>
      </c>
      <c r="G66" s="60">
        <f>IFERROR(__xludf.DUMMYFUNCTION("IFERROR(VALUE(SUBSTITUTE(REGEXEXTRACT(Raw_Data!J66,""Cost of goods sold: \$([\d,]+)""),"","","""")),0)"),5400.0)</f>
        <v>5400</v>
      </c>
      <c r="H66" s="60">
        <f>IFERROR(__xludf.DUMMYFUNCTION("IFERROR(VALUE(SUBSTITUTE(REGEXEXTRACT(Raw_Data!J66,""withheld a \$([\d,]+) fee""),"","","""")),0)"),0.0)</f>
        <v>0</v>
      </c>
      <c r="I66" s="60">
        <f t="shared" si="2"/>
        <v>9000</v>
      </c>
      <c r="J66" s="60">
        <f>IFERROR(__xludf.DUMMYFUNCTION("IFERROR(VALUE(SUBSTITUTE(REGEXEXTRACT(Raw_Data!J66,""(?i)interest \$([\d,]+)""),"","","""")),0)"),0.0)</f>
        <v>0</v>
      </c>
      <c r="K66" s="60">
        <f t="shared" si="3"/>
        <v>9000</v>
      </c>
      <c r="L66" s="60">
        <f>IFERROR(__xludf.DUMMYFUNCTION("IFERROR(VALUE(SUBSTITUTE(REGEXEXTRACT(Raw_Data!F66,""\$([\d,]+) prior deposit applied""),"","","""")),0)"),0.0)</f>
        <v>0</v>
      </c>
      <c r="M66" s="60">
        <f t="shared" si="4"/>
        <v>9000</v>
      </c>
      <c r="N66" s="60">
        <f>IFERROR(__xludf.DUMMYFUNCTION("IFERROR(VALUE(SUBSTITUTE(REGEXEXTRACT(Raw_Data!F66,""^\$([\d,]+) cash""),"","","""")),0)"),0.0)</f>
        <v>0</v>
      </c>
      <c r="O66" s="60">
        <f t="shared" si="5"/>
        <v>9000</v>
      </c>
      <c r="P66" s="60">
        <f>IFERROR(__xludf.DUMMYFUNCTION("IFERROR(VALUE(SUBSTITUTE(REGEXEXTRACT(Raw_Data!J66,""labour \d+ h at \$\d+/h: \$([\d,]+)""),"","","""")),0)"),0.0)</f>
        <v>0</v>
      </c>
      <c r="Q66" s="60">
        <f t="shared" si="6"/>
        <v>9000</v>
      </c>
      <c r="R66" s="60" t="str">
        <f t="array" ref="R66">IF(INDEX(Rules!$B$2:$B$60,$D66)="","",INDEX(Rules!$B$2:$B$60,$D66))</f>
        <v>Cash</v>
      </c>
      <c r="S66" s="60" t="str">
        <f t="array" ref="S66">IF(INDEX(Rules!$E$2:$E$60,$D66)="","",INDEX(Rules!$E$2:$E$60,$D66))</f>
        <v>Cost of Goods Sold</v>
      </c>
      <c r="T66" s="60" t="str">
        <f t="array" ref="T66">IF(INDEX(Rules!$H$2:$H$60,$D66)="","",INDEX(Rules!$H$2:$H$60,$D66))</f>
        <v/>
      </c>
      <c r="U66" s="60" t="str">
        <f t="array" ref="U66">IF(INDEX(Rules!$C$2:$C$60,$D66)="","",INDEX(Rules!$C$2:$C$60,$D66))</f>
        <v>Retail Sales Revenue</v>
      </c>
      <c r="V66" s="60" t="str">
        <f t="array" ref="V66">IF(INDEX(Rules!$F$2:$F$60,$D66)="","",INDEX(Rules!$F$2:$F$60,$D66))</f>
        <v>Inventory</v>
      </c>
      <c r="W66" s="60" t="str">
        <f t="array" ref="W66">IF(INDEX(Rules!$I$2:$I$60,$D66)="","",INDEX(Rules!$I$2:$I$60,$D66))</f>
        <v/>
      </c>
      <c r="X66" s="60">
        <f t="array" ref="X66">IF(R66="","",INDEX($F66:$Q66,MATCH(INDEX(Rules!$D$2:$D$60,$D66),$F$1:$Q$1,0)))</f>
        <v>9000</v>
      </c>
      <c r="Y66" s="60">
        <f t="array" ref="Y66">IF(S66="","",INDEX($F66:$Q66,MATCH(INDEX(Rules!$G$2:$G$60,$D66),$F$1:$Q$1,0)))</f>
        <v>5400</v>
      </c>
      <c r="Z66" s="60" t="str">
        <f t="array" ref="Z66">IF(T66="","",INDEX($F66:$Q66,MATCH(INDEX(Rules!$J$2:$J$60,$D66),$F$1:$Q$1,0)))</f>
        <v/>
      </c>
      <c r="AA66" s="60" t="str">
        <f t="array" ref="AA66">IF(INDEX(Rules!$K$2:$K$60,$D66)="","",INDEX(Rules!$K$2:$K$60,$D66))</f>
        <v>sale + cost of the goods comes out of inventory (COGS)</v>
      </c>
      <c r="AB66" s="60" t="str">
        <f>IF(SUMPRODUCT((R66:W66&lt;&gt;"")*(ISNUMBER(SEARCH(Raw_Data!E66,R66:W66))+ISNUMBER(SEARCH(R66:W66,Raw_Data!E66))))&gt;0,"OK","CHECK")</f>
        <v>OK</v>
      </c>
    </row>
    <row r="67">
      <c r="A67" s="60" t="str">
        <f>Raw_Data!A67</f>
        <v>VVV-2024-066</v>
      </c>
      <c r="B67" s="60">
        <f>Raw_Data!D67</f>
        <v>12000</v>
      </c>
      <c r="C67" s="60" t="str">
        <f>LOWER(Raw_Data!C67&amp;" | "&amp;Raw_Data!F67)</f>
        <v>guided tour revenue | cash and card receipts; settled</v>
      </c>
      <c r="D67" s="60">
        <f t="array" ref="D67">MATCH(1,ISNUMBER(SEARCH(Rules!$A$2:$A$60,C67))*(Rules!$A$2:$A$60&lt;&gt;""),0)</f>
        <v>32</v>
      </c>
      <c r="E67" s="60" t="str">
        <f t="array" ref="E67">INDEX(Rules!$A$2:$A$60,D67)</f>
        <v>tour revenue</v>
      </c>
      <c r="F67" s="60">
        <f t="shared" si="1"/>
        <v>12000</v>
      </c>
      <c r="G67" s="60">
        <f>IFERROR(__xludf.DUMMYFUNCTION("IFERROR(VALUE(SUBSTITUTE(REGEXEXTRACT(Raw_Data!J67,""Cost of goods sold: \$([\d,]+)""),"","","""")),0)"),0.0)</f>
        <v>0</v>
      </c>
      <c r="H67" s="60">
        <f>IFERROR(__xludf.DUMMYFUNCTION("IFERROR(VALUE(SUBSTITUTE(REGEXEXTRACT(Raw_Data!J67,""withheld a \$([\d,]+) fee""),"","","""")),0)"),0.0)</f>
        <v>0</v>
      </c>
      <c r="I67" s="60">
        <f t="shared" si="2"/>
        <v>12000</v>
      </c>
      <c r="J67" s="60">
        <f>IFERROR(__xludf.DUMMYFUNCTION("IFERROR(VALUE(SUBSTITUTE(REGEXEXTRACT(Raw_Data!J67,""(?i)interest \$([\d,]+)""),"","","""")),0)"),0.0)</f>
        <v>0</v>
      </c>
      <c r="K67" s="60">
        <f t="shared" si="3"/>
        <v>12000</v>
      </c>
      <c r="L67" s="60">
        <f>IFERROR(__xludf.DUMMYFUNCTION("IFERROR(VALUE(SUBSTITUTE(REGEXEXTRACT(Raw_Data!F67,""\$([\d,]+) prior deposit applied""),"","","""")),0)"),0.0)</f>
        <v>0</v>
      </c>
      <c r="M67" s="60">
        <f t="shared" si="4"/>
        <v>12000</v>
      </c>
      <c r="N67" s="60">
        <f>IFERROR(__xludf.DUMMYFUNCTION("IFERROR(VALUE(SUBSTITUTE(REGEXEXTRACT(Raw_Data!F67,""^\$([\d,]+) cash""),"","","""")),0)"),0.0)</f>
        <v>0</v>
      </c>
      <c r="O67" s="60">
        <f t="shared" si="5"/>
        <v>12000</v>
      </c>
      <c r="P67" s="60">
        <f>IFERROR(__xludf.DUMMYFUNCTION("IFERROR(VALUE(SUBSTITUTE(REGEXEXTRACT(Raw_Data!J67,""labour \d+ h at \$\d+/h: \$([\d,]+)""),"","","""")),0)"),0.0)</f>
        <v>0</v>
      </c>
      <c r="Q67" s="60">
        <f t="shared" si="6"/>
        <v>12000</v>
      </c>
      <c r="R67" s="60" t="str">
        <f t="array" ref="R67">IF(INDEX(Rules!$B$2:$B$60,$D67)="","",INDEX(Rules!$B$2:$B$60,$D67))</f>
        <v>Cash</v>
      </c>
      <c r="S67" s="60" t="str">
        <f t="array" ref="S67">IF(INDEX(Rules!$E$2:$E$60,$D67)="","",INDEX(Rules!$E$2:$E$60,$D67))</f>
        <v/>
      </c>
      <c r="T67" s="60" t="str">
        <f t="array" ref="T67">IF(INDEX(Rules!$H$2:$H$60,$D67)="","",INDEX(Rules!$H$2:$H$60,$D67))</f>
        <v/>
      </c>
      <c r="U67" s="60" t="str">
        <f t="array" ref="U67">IF(INDEX(Rules!$C$2:$C$60,$D67)="","",INDEX(Rules!$C$2:$C$60,$D67))</f>
        <v>Tour Revenue</v>
      </c>
      <c r="V67" s="60" t="str">
        <f t="array" ref="V67">IF(INDEX(Rules!$F$2:$F$60,$D67)="","",INDEX(Rules!$F$2:$F$60,$D67))</f>
        <v/>
      </c>
      <c r="W67" s="60" t="str">
        <f t="array" ref="W67">IF(INDEX(Rules!$I$2:$I$60,$D67)="","",INDEX(Rules!$I$2:$I$60,$D67))</f>
        <v/>
      </c>
      <c r="X67" s="60">
        <f t="array" ref="X67">IF(R67="","",INDEX($F67:$Q67,MATCH(INDEX(Rules!$D$2:$D$60,$D67),$F$1:$Q$1,0)))</f>
        <v>12000</v>
      </c>
      <c r="Y67" s="60" t="str">
        <f t="array" ref="Y67">IF(S67="","",INDEX($F67:$Q67,MATCH(INDEX(Rules!$G$2:$G$60,$D67),$F$1:$Q$1,0)))</f>
        <v/>
      </c>
      <c r="Z67" s="60" t="str">
        <f t="array" ref="Z67">IF(T67="","",INDEX($F67:$Q67,MATCH(INDEX(Rules!$J$2:$J$60,$D67),$F$1:$Q$1,0)))</f>
        <v/>
      </c>
      <c r="AA67" s="60" t="str">
        <f t="array" ref="AA67">IF(INDEX(Rules!$K$2:$K$60,$D67)="","",INDEX(Rules!$K$2:$K$60,$D67))</f>
        <v>tours done and paid</v>
      </c>
      <c r="AB67" s="60" t="str">
        <f>IF(SUMPRODUCT((R67:W67&lt;&gt;"")*(ISNUMBER(SEARCH(Raw_Data!E67,R67:W67))+ISNUMBER(SEARCH(R67:W67,Raw_Data!E67))))&gt;0,"OK","CHECK")</f>
        <v>OK</v>
      </c>
    </row>
    <row r="68">
      <c r="A68" s="60" t="str">
        <f>Raw_Data!A68</f>
        <v>VVV-2024-067</v>
      </c>
      <c r="B68" s="60">
        <f>Raw_Data!D68</f>
        <v>7500</v>
      </c>
      <c r="C68" s="60" t="str">
        <f>LOWER(Raw_Data!C68&amp;" | "&amp;Raw_Data!F68)</f>
        <v>summer solstice event completed; deposit applied | $3,000 prior deposit applied; $4,500 received</v>
      </c>
      <c r="D68" s="60">
        <f t="array" ref="D68">MATCH(1,ISNUMBER(SEARCH(Rules!$A$2:$A$60,C68))*(Rules!$A$2:$A$60&lt;&gt;""),0)</f>
        <v>28</v>
      </c>
      <c r="E68" s="60" t="str">
        <f t="array" ref="E68">INDEX(Rules!$A$2:$A$60,D68)</f>
        <v>event completed; deposit applied</v>
      </c>
      <c r="F68" s="60">
        <f t="shared" si="1"/>
        <v>7500</v>
      </c>
      <c r="G68" s="60">
        <f>IFERROR(__xludf.DUMMYFUNCTION("IFERROR(VALUE(SUBSTITUTE(REGEXEXTRACT(Raw_Data!J68,""Cost of goods sold: \$([\d,]+)""),"","","""")),0)"),0.0)</f>
        <v>0</v>
      </c>
      <c r="H68" s="60">
        <f>IFERROR(__xludf.DUMMYFUNCTION("IFERROR(VALUE(SUBSTITUTE(REGEXEXTRACT(Raw_Data!J68,""withheld a \$([\d,]+) fee""),"","","""")),0)"),0.0)</f>
        <v>0</v>
      </c>
      <c r="I68" s="60">
        <f t="shared" si="2"/>
        <v>7500</v>
      </c>
      <c r="J68" s="60">
        <f>IFERROR(__xludf.DUMMYFUNCTION("IFERROR(VALUE(SUBSTITUTE(REGEXEXTRACT(Raw_Data!J68,""(?i)interest \$([\d,]+)""),"","","""")),0)"),0.0)</f>
        <v>0</v>
      </c>
      <c r="K68" s="60">
        <f t="shared" si="3"/>
        <v>7500</v>
      </c>
      <c r="L68" s="60">
        <f>IFERROR(__xludf.DUMMYFUNCTION("IFERROR(VALUE(SUBSTITUTE(REGEXEXTRACT(Raw_Data!F68,""\$([\d,]+) prior deposit applied""),"","","""")),0)"),3000.0)</f>
        <v>3000</v>
      </c>
      <c r="M68" s="60">
        <f t="shared" si="4"/>
        <v>4500</v>
      </c>
      <c r="N68" s="60">
        <f>IFERROR(__xludf.DUMMYFUNCTION("IFERROR(VALUE(SUBSTITUTE(REGEXEXTRACT(Raw_Data!F68,""^\$([\d,]+) cash""),"","","""")),0)"),0.0)</f>
        <v>0</v>
      </c>
      <c r="O68" s="60">
        <f t="shared" si="5"/>
        <v>7500</v>
      </c>
      <c r="P68" s="60">
        <f>IFERROR(__xludf.DUMMYFUNCTION("IFERROR(VALUE(SUBSTITUTE(REGEXEXTRACT(Raw_Data!J68,""labour \d+ h at \$\d+/h: \$([\d,]+)""),"","","""")),0)"),0.0)</f>
        <v>0</v>
      </c>
      <c r="Q68" s="60">
        <f t="shared" si="6"/>
        <v>7500</v>
      </c>
      <c r="R68" s="60" t="str">
        <f t="array" ref="R68">IF(INDEX(Rules!$B$2:$B$60,$D68)="","",INDEX(Rules!$B$2:$B$60,$D68))</f>
        <v>Unearned Revenue</v>
      </c>
      <c r="S68" s="60" t="str">
        <f t="array" ref="S68">IF(INDEX(Rules!$E$2:$E$60,$D68)="","",INDEX(Rules!$E$2:$E$60,$D68))</f>
        <v>Cash</v>
      </c>
      <c r="T68" s="60" t="str">
        <f t="array" ref="T68">IF(INDEX(Rules!$H$2:$H$60,$D68)="","",INDEX(Rules!$H$2:$H$60,$D68))</f>
        <v/>
      </c>
      <c r="U68" s="60" t="str">
        <f t="array" ref="U68">IF(INDEX(Rules!$C$2:$C$60,$D68)="","",INDEX(Rules!$C$2:$C$60,$D68))</f>
        <v>Event Revenue</v>
      </c>
      <c r="V68" s="60" t="str">
        <f t="array" ref="V68">IF(INDEX(Rules!$F$2:$F$60,$D68)="","",INDEX(Rules!$F$2:$F$60,$D68))</f>
        <v>Event Revenue</v>
      </c>
      <c r="W68" s="60" t="str">
        <f t="array" ref="W68">IF(INDEX(Rules!$I$2:$I$60,$D68)="","",INDEX(Rules!$I$2:$I$60,$D68))</f>
        <v/>
      </c>
      <c r="X68" s="60">
        <f t="array" ref="X68">IF(R68="","",INDEX($F68:$Q68,MATCH(INDEX(Rules!$D$2:$D$60,$D68),$F$1:$Q$1,0)))</f>
        <v>3000</v>
      </c>
      <c r="Y68" s="60">
        <f t="array" ref="Y68">IF(S68="","",INDEX($F68:$Q68,MATCH(INDEX(Rules!$G$2:$G$60,$D68),$F$1:$Q$1,0)))</f>
        <v>4500</v>
      </c>
      <c r="Z68" s="60" t="str">
        <f t="array" ref="Z68">IF(T68="","",INDEX($F68:$Q68,MATCH(INDEX(Rules!$J$2:$J$60,$D68),$F$1:$Q$1,0)))</f>
        <v/>
      </c>
      <c r="AA68" s="60" t="str">
        <f t="array" ref="AA68">IF(INDEX(Rules!$K$2:$K$60,$D68)="","",INDEX(Rules!$K$2:$K$60,$D68))</f>
        <v>april deposit now earned + rest paid now</v>
      </c>
      <c r="AB68" s="60" t="str">
        <f>IF(SUMPRODUCT((R68:W68&lt;&gt;"")*(ISNUMBER(SEARCH(Raw_Data!E68,R68:W68))+ISNUMBER(SEARCH(R68:W68,Raw_Data!E68))))&gt;0,"OK","CHECK")</f>
        <v>OK</v>
      </c>
    </row>
    <row r="69">
      <c r="A69" s="60" t="str">
        <f>Raw_Data!A69</f>
        <v>VVV-2024-068</v>
      </c>
      <c r="B69" s="60">
        <f>Raw_Data!D69</f>
        <v>12160</v>
      </c>
      <c r="C69" s="60" t="str">
        <f>LOWER(Raw_Data!C69&amp;" | "&amp;Raw_Data!F69)</f>
        <v>employee payroll settlement | payroll and claims paid from business bank account</v>
      </c>
      <c r="D69" s="60">
        <f t="array" ref="D69">MATCH(1,ISNUMBER(SEARCH(Rules!$A$2:$A$60,C69))*(Rules!$A$2:$A$60&lt;&gt;""),0)</f>
        <v>23</v>
      </c>
      <c r="E69" s="60" t="str">
        <f t="array" ref="E69">INDEX(Rules!$A$2:$A$60,D69)</f>
        <v>payroll</v>
      </c>
      <c r="F69" s="60">
        <f t="shared" si="1"/>
        <v>12160</v>
      </c>
      <c r="G69" s="60">
        <f>IFERROR(__xludf.DUMMYFUNCTION("IFERROR(VALUE(SUBSTITUTE(REGEXEXTRACT(Raw_Data!J69,""Cost of goods sold: \$([\d,]+)""),"","","""")),0)"),0.0)</f>
        <v>0</v>
      </c>
      <c r="H69" s="60">
        <f>IFERROR(__xludf.DUMMYFUNCTION("IFERROR(VALUE(SUBSTITUTE(REGEXEXTRACT(Raw_Data!J69,""withheld a \$([\d,]+) fee""),"","","""")),0)"),0.0)</f>
        <v>0</v>
      </c>
      <c r="I69" s="60">
        <f t="shared" si="2"/>
        <v>12160</v>
      </c>
      <c r="J69" s="60">
        <f>IFERROR(__xludf.DUMMYFUNCTION("IFERROR(VALUE(SUBSTITUTE(REGEXEXTRACT(Raw_Data!J69,""(?i)interest \$([\d,]+)""),"","","""")),0)"),0.0)</f>
        <v>0</v>
      </c>
      <c r="K69" s="60">
        <f t="shared" si="3"/>
        <v>12160</v>
      </c>
      <c r="L69" s="60">
        <f>IFERROR(__xludf.DUMMYFUNCTION("IFERROR(VALUE(SUBSTITUTE(REGEXEXTRACT(Raw_Data!F69,""\$([\d,]+) prior deposit applied""),"","","""")),0)"),0.0)</f>
        <v>0</v>
      </c>
      <c r="M69" s="60">
        <f t="shared" si="4"/>
        <v>12160</v>
      </c>
      <c r="N69" s="60">
        <f>IFERROR(__xludf.DUMMYFUNCTION("IFERROR(VALUE(SUBSTITUTE(REGEXEXTRACT(Raw_Data!F69,""^\$([\d,]+) cash""),"","","""")),0)"),0.0)</f>
        <v>0</v>
      </c>
      <c r="O69" s="60">
        <f t="shared" si="5"/>
        <v>12160</v>
      </c>
      <c r="P69" s="60">
        <f>IFERROR(__xludf.DUMMYFUNCTION("IFERROR(VALUE(SUBSTITUTE(REGEXEXTRACT(Raw_Data!J69,""labour \d+ h at \$\d+/h: \$([\d,]+)""),"","","""")),0)"),0.0)</f>
        <v>0</v>
      </c>
      <c r="Q69" s="60">
        <f t="shared" si="6"/>
        <v>12160</v>
      </c>
      <c r="R69" s="60" t="str">
        <f t="array" ref="R69">IF(INDEX(Rules!$B$2:$B$60,$D69)="","",INDEX(Rules!$B$2:$B$60,$D69))</f>
        <v>Wages Expense</v>
      </c>
      <c r="S69" s="60" t="str">
        <f t="array" ref="S69">IF(INDEX(Rules!$E$2:$E$60,$D69)="","",INDEX(Rules!$E$2:$E$60,$D69))</f>
        <v/>
      </c>
      <c r="T69" s="60" t="str">
        <f t="array" ref="T69">IF(INDEX(Rules!$H$2:$H$60,$D69)="","",INDEX(Rules!$H$2:$H$60,$D69))</f>
        <v/>
      </c>
      <c r="U69" s="60" t="str">
        <f t="array" ref="U69">IF(INDEX(Rules!$C$2:$C$60,$D69)="","",INDEX(Rules!$C$2:$C$60,$D69))</f>
        <v>Cash</v>
      </c>
      <c r="V69" s="60" t="str">
        <f t="array" ref="V69">IF(INDEX(Rules!$F$2:$F$60,$D69)="","",INDEX(Rules!$F$2:$F$60,$D69))</f>
        <v/>
      </c>
      <c r="W69" s="60" t="str">
        <f t="array" ref="W69">IF(INDEX(Rules!$I$2:$I$60,$D69)="","",INDEX(Rules!$I$2:$I$60,$D69))</f>
        <v/>
      </c>
      <c r="X69" s="60">
        <f t="array" ref="X69">IF(R69="","",INDEX($F69:$Q69,MATCH(INDEX(Rules!$D$2:$D$60,$D69),$F$1:$Q$1,0)))</f>
        <v>12160</v>
      </c>
      <c r="Y69" s="60" t="str">
        <f t="array" ref="Y69">IF(S69="","",INDEX($F69:$Q69,MATCH(INDEX(Rules!$G$2:$G$60,$D69),$F$1:$Q$1,0)))</f>
        <v/>
      </c>
      <c r="Z69" s="60" t="str">
        <f t="array" ref="Z69">IF(T69="","",INDEX($F69:$Q69,MATCH(INDEX(Rules!$J$2:$J$60,$D69),$F$1:$Q$1,0)))</f>
        <v/>
      </c>
      <c r="AA69" s="60" t="str">
        <f t="array" ref="AA69">IF(INDEX(Rules!$K$2:$K$60,$D69)="","",INDEX(Rules!$K$2:$K$60,$D69))</f>
        <v>wages, includes E04's $200 travel claim</v>
      </c>
      <c r="AB69" s="60" t="str">
        <f>IF(SUMPRODUCT((R69:W69&lt;&gt;"")*(ISNUMBER(SEARCH(Raw_Data!E69,R69:W69))+ISNUMBER(SEARCH(R69:W69,Raw_Data!E69))))&gt;0,"OK","CHECK")</f>
        <v>OK</v>
      </c>
    </row>
    <row r="70">
      <c r="A70" s="60" t="str">
        <f>Raw_Data!A70</f>
        <v>VVV-2024-069</v>
      </c>
      <c r="B70" s="60">
        <f>Raw_Data!D70</f>
        <v>3600</v>
      </c>
      <c r="C70" s="60" t="str">
        <f>LOWER(Raw_Data!C70&amp;" | "&amp;Raw_Data!F70)</f>
        <v>facility equipment installation | paid from business bank account</v>
      </c>
      <c r="D70" s="60">
        <f t="array" ref="D70">MATCH(1,ISNUMBER(SEARCH(Rules!$A$2:$A$60,C70))*(Rules!$A$2:$A$60&lt;&gt;""),0)</f>
        <v>7</v>
      </c>
      <c r="E70" s="60" t="str">
        <f t="array" ref="E70">INDEX(Rules!$A$2:$A$60,D70)</f>
        <v>facility equipment</v>
      </c>
      <c r="F70" s="60">
        <f t="shared" si="1"/>
        <v>3600</v>
      </c>
      <c r="G70" s="60">
        <f>IFERROR(__xludf.DUMMYFUNCTION("IFERROR(VALUE(SUBSTITUTE(REGEXEXTRACT(Raw_Data!J70,""Cost of goods sold: \$([\d,]+)""),"","","""")),0)"),0.0)</f>
        <v>0</v>
      </c>
      <c r="H70" s="60">
        <f>IFERROR(__xludf.DUMMYFUNCTION("IFERROR(VALUE(SUBSTITUTE(REGEXEXTRACT(Raw_Data!J70,""withheld a \$([\d,]+) fee""),"","","""")),0)"),0.0)</f>
        <v>0</v>
      </c>
      <c r="I70" s="60">
        <f t="shared" si="2"/>
        <v>3600</v>
      </c>
      <c r="J70" s="60">
        <f>IFERROR(__xludf.DUMMYFUNCTION("IFERROR(VALUE(SUBSTITUTE(REGEXEXTRACT(Raw_Data!J70,""(?i)interest \$([\d,]+)""),"","","""")),0)"),0.0)</f>
        <v>0</v>
      </c>
      <c r="K70" s="60">
        <f t="shared" si="3"/>
        <v>3600</v>
      </c>
      <c r="L70" s="60">
        <f>IFERROR(__xludf.DUMMYFUNCTION("IFERROR(VALUE(SUBSTITUTE(REGEXEXTRACT(Raw_Data!F70,""\$([\d,]+) prior deposit applied""),"","","""")),0)"),0.0)</f>
        <v>0</v>
      </c>
      <c r="M70" s="60">
        <f t="shared" si="4"/>
        <v>3600</v>
      </c>
      <c r="N70" s="60">
        <f>IFERROR(__xludf.DUMMYFUNCTION("IFERROR(VALUE(SUBSTITUTE(REGEXEXTRACT(Raw_Data!F70,""^\$([\d,]+) cash""),"","","""")),0)"),0.0)</f>
        <v>0</v>
      </c>
      <c r="O70" s="60">
        <f t="shared" si="5"/>
        <v>3600</v>
      </c>
      <c r="P70" s="60">
        <f>IFERROR(__xludf.DUMMYFUNCTION("IFERROR(VALUE(SUBSTITUTE(REGEXEXTRACT(Raw_Data!J70,""labour \d+ h at \$\d+/h: \$([\d,]+)""),"","","""")),0)"),0.0)</f>
        <v>0</v>
      </c>
      <c r="Q70" s="60">
        <f t="shared" si="6"/>
        <v>3600</v>
      </c>
      <c r="R70" s="60" t="str">
        <f t="array" ref="R70">IF(INDEX(Rules!$B$2:$B$60,$D70)="","",INDEX(Rules!$B$2:$B$60,$D70))</f>
        <v>Equipment</v>
      </c>
      <c r="S70" s="60" t="str">
        <f t="array" ref="S70">IF(INDEX(Rules!$E$2:$E$60,$D70)="","",INDEX(Rules!$E$2:$E$60,$D70))</f>
        <v/>
      </c>
      <c r="T70" s="60" t="str">
        <f t="array" ref="T70">IF(INDEX(Rules!$H$2:$H$60,$D70)="","",INDEX(Rules!$H$2:$H$60,$D70))</f>
        <v/>
      </c>
      <c r="U70" s="60" t="str">
        <f t="array" ref="U70">IF(INDEX(Rules!$C$2:$C$60,$D70)="","",INDEX(Rules!$C$2:$C$60,$D70))</f>
        <v>Cash</v>
      </c>
      <c r="V70" s="60" t="str">
        <f t="array" ref="V70">IF(INDEX(Rules!$F$2:$F$60,$D70)="","",INDEX(Rules!$F$2:$F$60,$D70))</f>
        <v/>
      </c>
      <c r="W70" s="60" t="str">
        <f t="array" ref="W70">IF(INDEX(Rules!$I$2:$I$60,$D70)="","",INDEX(Rules!$I$2:$I$60,$D70))</f>
        <v/>
      </c>
      <c r="X70" s="60">
        <f t="array" ref="X70">IF(R70="","",INDEX($F70:$Q70,MATCH(INDEX(Rules!$D$2:$D$60,$D70),$F$1:$Q$1,0)))</f>
        <v>3600</v>
      </c>
      <c r="Y70" s="60" t="str">
        <f t="array" ref="Y70">IF(S70="","",INDEX($F70:$Q70,MATCH(INDEX(Rules!$G$2:$G$60,$D70),$F$1:$Q$1,0)))</f>
        <v/>
      </c>
      <c r="Z70" s="60" t="str">
        <f t="array" ref="Z70">IF(T70="","",INDEX($F70:$Q70,MATCH(INDEX(Rules!$J$2:$J$60,$D70),$F$1:$Q$1,0)))</f>
        <v/>
      </c>
      <c r="AA70" s="60" t="str">
        <f t="array" ref="AA70">IF(INDEX(Rules!$K$2:$K$60,$D70)="","",INDEX(Rules!$K$2:$K$60,$D70))</f>
        <v>ours and lasts &gt;1 yr -&gt; equipment, not repairs</v>
      </c>
      <c r="AB70" s="60" t="str">
        <f>IF(SUMPRODUCT((R70:W70&lt;&gt;"")*(ISNUMBER(SEARCH(Raw_Data!E70,R70:W70))+ISNUMBER(SEARCH(R70:W70,Raw_Data!E70))))&gt;0,"OK","CHECK")</f>
        <v>OK</v>
      </c>
    </row>
    <row r="71">
      <c r="A71" s="60" t="str">
        <f>Raw_Data!A71</f>
        <v>VVV-2024-070</v>
      </c>
      <c r="B71" s="60">
        <f>Raw_Data!D71</f>
        <v>1173</v>
      </c>
      <c r="C71" s="60" t="str">
        <f>LOWER(Raw_Data!C71&amp;" | "&amp;Raw_Data!F71)</f>
        <v>monthly utility settlement | paid from business bank account</v>
      </c>
      <c r="D71" s="60">
        <f t="array" ref="D71">MATCH(1,ISNUMBER(SEARCH(Rules!$A$2:$A$60,C71))*(Rules!$A$2:$A$60&lt;&gt;""),0)</f>
        <v>24</v>
      </c>
      <c r="E71" s="60" t="str">
        <f t="array" ref="E71">INDEX(Rules!$A$2:$A$60,D71)</f>
        <v>utility</v>
      </c>
      <c r="F71" s="60">
        <f t="shared" si="1"/>
        <v>1173</v>
      </c>
      <c r="G71" s="60">
        <f>IFERROR(__xludf.DUMMYFUNCTION("IFERROR(VALUE(SUBSTITUTE(REGEXEXTRACT(Raw_Data!J71,""Cost of goods sold: \$([\d,]+)""),"","","""")),0)"),0.0)</f>
        <v>0</v>
      </c>
      <c r="H71" s="60">
        <f>IFERROR(__xludf.DUMMYFUNCTION("IFERROR(VALUE(SUBSTITUTE(REGEXEXTRACT(Raw_Data!J71,""withheld a \$([\d,]+) fee""),"","","""")),0)"),0.0)</f>
        <v>0</v>
      </c>
      <c r="I71" s="60">
        <f t="shared" si="2"/>
        <v>1173</v>
      </c>
      <c r="J71" s="60">
        <f>IFERROR(__xludf.DUMMYFUNCTION("IFERROR(VALUE(SUBSTITUTE(REGEXEXTRACT(Raw_Data!J71,""(?i)interest \$([\d,]+)""),"","","""")),0)"),0.0)</f>
        <v>0</v>
      </c>
      <c r="K71" s="60">
        <f t="shared" si="3"/>
        <v>1173</v>
      </c>
      <c r="L71" s="60">
        <f>IFERROR(__xludf.DUMMYFUNCTION("IFERROR(VALUE(SUBSTITUTE(REGEXEXTRACT(Raw_Data!F71,""\$([\d,]+) prior deposit applied""),"","","""")),0)"),0.0)</f>
        <v>0</v>
      </c>
      <c r="M71" s="60">
        <f t="shared" si="4"/>
        <v>1173</v>
      </c>
      <c r="N71" s="60">
        <f>IFERROR(__xludf.DUMMYFUNCTION("IFERROR(VALUE(SUBSTITUTE(REGEXEXTRACT(Raw_Data!F71,""^\$([\d,]+) cash""),"","","""")),0)"),0.0)</f>
        <v>0</v>
      </c>
      <c r="O71" s="60">
        <f t="shared" si="5"/>
        <v>1173</v>
      </c>
      <c r="P71" s="60">
        <f>IFERROR(__xludf.DUMMYFUNCTION("IFERROR(VALUE(SUBSTITUTE(REGEXEXTRACT(Raw_Data!J71,""labour \d+ h at \$\d+/h: \$([\d,]+)""),"","","""")),0)"),0.0)</f>
        <v>0</v>
      </c>
      <c r="Q71" s="60">
        <f t="shared" si="6"/>
        <v>1173</v>
      </c>
      <c r="R71" s="60" t="str">
        <f t="array" ref="R71">IF(INDEX(Rules!$B$2:$B$60,$D71)="","",INDEX(Rules!$B$2:$B$60,$D71))</f>
        <v>Utilities Expense</v>
      </c>
      <c r="S71" s="60" t="str">
        <f t="array" ref="S71">IF(INDEX(Rules!$E$2:$E$60,$D71)="","",INDEX(Rules!$E$2:$E$60,$D71))</f>
        <v/>
      </c>
      <c r="T71" s="60" t="str">
        <f t="array" ref="T71">IF(INDEX(Rules!$H$2:$H$60,$D71)="","",INDEX(Rules!$H$2:$H$60,$D71))</f>
        <v/>
      </c>
      <c r="U71" s="60" t="str">
        <f t="array" ref="U71">IF(INDEX(Rules!$C$2:$C$60,$D71)="","",INDEX(Rules!$C$2:$C$60,$D71))</f>
        <v>Cash</v>
      </c>
      <c r="V71" s="60" t="str">
        <f t="array" ref="V71">IF(INDEX(Rules!$F$2:$F$60,$D71)="","",INDEX(Rules!$F$2:$F$60,$D71))</f>
        <v/>
      </c>
      <c r="W71" s="60" t="str">
        <f t="array" ref="W71">IF(INDEX(Rules!$I$2:$I$60,$D71)="","",INDEX(Rules!$I$2:$I$60,$D71))</f>
        <v/>
      </c>
      <c r="X71" s="60">
        <f t="array" ref="X71">IF(R71="","",INDEX($F71:$Q71,MATCH(INDEX(Rules!$D$2:$D$60,$D71),$F$1:$Q$1,0)))</f>
        <v>1173</v>
      </c>
      <c r="Y71" s="60" t="str">
        <f t="array" ref="Y71">IF(S71="","",INDEX($F71:$Q71,MATCH(INDEX(Rules!$G$2:$G$60,$D71),$F$1:$Q$1,0)))</f>
        <v/>
      </c>
      <c r="Z71" s="60" t="str">
        <f t="array" ref="Z71">IF(T71="","",INDEX($F71:$Q71,MATCH(INDEX(Rules!$J$2:$J$60,$D71),$F$1:$Q$1,0)))</f>
        <v/>
      </c>
      <c r="AA71" s="60" t="str">
        <f t="array" ref="AA71">IF(INDEX(Rules!$K$2:$K$60,$D71)="","",INDEX(Rules!$K$2:$K$60,$D71))</f>
        <v>monthly utilities</v>
      </c>
      <c r="AB71" s="60" t="str">
        <f>IF(SUMPRODUCT((R71:W71&lt;&gt;"")*(ISNUMBER(SEARCH(Raw_Data!E71,R71:W71))+ISNUMBER(SEARCH(R71:W71,Raw_Data!E71))))&gt;0,"OK","CHECK")</f>
        <v>OK</v>
      </c>
    </row>
    <row r="72">
      <c r="A72" s="60" t="str">
        <f>Raw_Data!A72</f>
        <v>VVV-2024-071</v>
      </c>
      <c r="B72" s="60">
        <f>Raw_Data!D72</f>
        <v>5400</v>
      </c>
      <c r="C72" s="60" t="str">
        <f>LOWER(Raw_Data!C72&amp;" | "&amp;Raw_Data!F72)</f>
        <v>monthly facility rent | automatic bank transfer; settled</v>
      </c>
      <c r="D72" s="60">
        <f t="array" ref="D72">MATCH(1,ISNUMBER(SEARCH(Rules!$A$2:$A$60,C72))*(Rules!$A$2:$A$60&lt;&gt;""),0)</f>
        <v>15</v>
      </c>
      <c r="E72" s="60" t="str">
        <f t="array" ref="E72">INDEX(Rules!$A$2:$A$60,D72)</f>
        <v>facility rent</v>
      </c>
      <c r="F72" s="60">
        <f t="shared" si="1"/>
        <v>5400</v>
      </c>
      <c r="G72" s="60">
        <f>IFERROR(__xludf.DUMMYFUNCTION("IFERROR(VALUE(SUBSTITUTE(REGEXEXTRACT(Raw_Data!J72,""Cost of goods sold: \$([\d,]+)""),"","","""")),0)"),0.0)</f>
        <v>0</v>
      </c>
      <c r="H72" s="60">
        <f>IFERROR(__xludf.DUMMYFUNCTION("IFERROR(VALUE(SUBSTITUTE(REGEXEXTRACT(Raw_Data!J72,""withheld a \$([\d,]+) fee""),"","","""")),0)"),0.0)</f>
        <v>0</v>
      </c>
      <c r="I72" s="60">
        <f t="shared" si="2"/>
        <v>5400</v>
      </c>
      <c r="J72" s="60">
        <f>IFERROR(__xludf.DUMMYFUNCTION("IFERROR(VALUE(SUBSTITUTE(REGEXEXTRACT(Raw_Data!J72,""(?i)interest \$([\d,]+)""),"","","""")),0)"),0.0)</f>
        <v>0</v>
      </c>
      <c r="K72" s="60">
        <f t="shared" si="3"/>
        <v>5400</v>
      </c>
      <c r="L72" s="60">
        <f>IFERROR(__xludf.DUMMYFUNCTION("IFERROR(VALUE(SUBSTITUTE(REGEXEXTRACT(Raw_Data!F72,""\$([\d,]+) prior deposit applied""),"","","""")),0)"),0.0)</f>
        <v>0</v>
      </c>
      <c r="M72" s="60">
        <f t="shared" si="4"/>
        <v>5400</v>
      </c>
      <c r="N72" s="60">
        <f>IFERROR(__xludf.DUMMYFUNCTION("IFERROR(VALUE(SUBSTITUTE(REGEXEXTRACT(Raw_Data!F72,""^\$([\d,]+) cash""),"","","""")),0)"),0.0)</f>
        <v>0</v>
      </c>
      <c r="O72" s="60">
        <f t="shared" si="5"/>
        <v>5400</v>
      </c>
      <c r="P72" s="60">
        <f>IFERROR(__xludf.DUMMYFUNCTION("IFERROR(VALUE(SUBSTITUTE(REGEXEXTRACT(Raw_Data!J72,""labour \d+ h at \$\d+/h: \$([\d,]+)""),"","","""")),0)"),0.0)</f>
        <v>0</v>
      </c>
      <c r="Q72" s="60">
        <f t="shared" si="6"/>
        <v>5400</v>
      </c>
      <c r="R72" s="60" t="str">
        <f t="array" ref="R72">IF(INDEX(Rules!$B$2:$B$60,$D72)="","",INDEX(Rules!$B$2:$B$60,$D72))</f>
        <v>Rent Expense</v>
      </c>
      <c r="S72" s="60" t="str">
        <f t="array" ref="S72">IF(INDEX(Rules!$E$2:$E$60,$D72)="","",INDEX(Rules!$E$2:$E$60,$D72))</f>
        <v/>
      </c>
      <c r="T72" s="60" t="str">
        <f t="array" ref="T72">IF(INDEX(Rules!$H$2:$H$60,$D72)="","",INDEX(Rules!$H$2:$H$60,$D72))</f>
        <v/>
      </c>
      <c r="U72" s="60" t="str">
        <f t="array" ref="U72">IF(INDEX(Rules!$C$2:$C$60,$D72)="","",INDEX(Rules!$C$2:$C$60,$D72))</f>
        <v>Cash</v>
      </c>
      <c r="V72" s="60" t="str">
        <f t="array" ref="V72">IF(INDEX(Rules!$F$2:$F$60,$D72)="","",INDEX(Rules!$F$2:$F$60,$D72))</f>
        <v/>
      </c>
      <c r="W72" s="60" t="str">
        <f t="array" ref="W72">IF(INDEX(Rules!$I$2:$I$60,$D72)="","",INDEX(Rules!$I$2:$I$60,$D72))</f>
        <v/>
      </c>
      <c r="X72" s="60">
        <f t="array" ref="X72">IF(R72="","",INDEX($F72:$Q72,MATCH(INDEX(Rules!$D$2:$D$60,$D72),$F$1:$Q$1,0)))</f>
        <v>5400</v>
      </c>
      <c r="Y72" s="60" t="str">
        <f t="array" ref="Y72">IF(S72="","",INDEX($F72:$Q72,MATCH(INDEX(Rules!$G$2:$G$60,$D72),$F$1:$Q$1,0)))</f>
        <v/>
      </c>
      <c r="Z72" s="60" t="str">
        <f t="array" ref="Z72">IF(T72="","",INDEX($F72:$Q72,MATCH(INDEX(Rules!$J$2:$J$60,$D72),$F$1:$Q$1,0)))</f>
        <v/>
      </c>
      <c r="AA72" s="60" t="str">
        <f t="array" ref="AA72">IF(INDEX(Rules!$K$2:$K$60,$D72)="","",INDEX(Rules!$K$2:$K$60,$D72))</f>
        <v>monthly rent</v>
      </c>
      <c r="AB72" s="60" t="str">
        <f>IF(SUMPRODUCT((R72:W72&lt;&gt;"")*(ISNUMBER(SEARCH(Raw_Data!E72,R72:W72))+ISNUMBER(SEARCH(R72:W72,Raw_Data!E72))))&gt;0,"OK","CHECK")</f>
        <v>OK</v>
      </c>
    </row>
    <row r="73">
      <c r="A73" s="60" t="str">
        <f>Raw_Data!A73</f>
        <v>VVV-2024-072</v>
      </c>
      <c r="B73" s="60">
        <f>Raw_Data!D73</f>
        <v>1800</v>
      </c>
      <c r="C73" s="60" t="str">
        <f>LOWER(Raw_Data!C73&amp;" | "&amp;Raw_Data!F73)</f>
        <v>fleet service work order | paid from business bank account</v>
      </c>
      <c r="D73" s="60">
        <f t="array" ref="D73">MATCH(1,ISNUMBER(SEARCH(Rules!$A$2:$A$60,C73))*(Rules!$A$2:$A$60&lt;&gt;""),0)</f>
        <v>5</v>
      </c>
      <c r="E73" s="60" t="str">
        <f t="array" ref="E73">INDEX(Rules!$A$2:$A$60,D73)</f>
        <v>fleet service work order</v>
      </c>
      <c r="F73" s="60">
        <f t="shared" si="1"/>
        <v>1800</v>
      </c>
      <c r="G73" s="60">
        <f>IFERROR(__xludf.DUMMYFUNCTION("IFERROR(VALUE(SUBSTITUTE(REGEXEXTRACT(Raw_Data!J73,""Cost of goods sold: \$([\d,]+)""),"","","""")),0)"),0.0)</f>
        <v>0</v>
      </c>
      <c r="H73" s="60">
        <f>IFERROR(__xludf.DUMMYFUNCTION("IFERROR(VALUE(SUBSTITUTE(REGEXEXTRACT(Raw_Data!J73,""withheld a \$([\d,]+) fee""),"","","""")),0)"),0.0)</f>
        <v>0</v>
      </c>
      <c r="I73" s="60">
        <f t="shared" si="2"/>
        <v>1800</v>
      </c>
      <c r="J73" s="60">
        <f>IFERROR(__xludf.DUMMYFUNCTION("IFERROR(VALUE(SUBSTITUTE(REGEXEXTRACT(Raw_Data!J73,""(?i)interest \$([\d,]+)""),"","","""")),0)"),0.0)</f>
        <v>0</v>
      </c>
      <c r="K73" s="60">
        <f t="shared" si="3"/>
        <v>1800</v>
      </c>
      <c r="L73" s="60">
        <f>IFERROR(__xludf.DUMMYFUNCTION("IFERROR(VALUE(SUBSTITUTE(REGEXEXTRACT(Raw_Data!F73,""\$([\d,]+) prior deposit applied""),"","","""")),0)"),0.0)</f>
        <v>0</v>
      </c>
      <c r="M73" s="60">
        <f t="shared" si="4"/>
        <v>1800</v>
      </c>
      <c r="N73" s="60">
        <f>IFERROR(__xludf.DUMMYFUNCTION("IFERROR(VALUE(SUBSTITUTE(REGEXEXTRACT(Raw_Data!F73,""^\$([\d,]+) cash""),"","","""")),0)"),0.0)</f>
        <v>0</v>
      </c>
      <c r="O73" s="60">
        <f t="shared" si="5"/>
        <v>1800</v>
      </c>
      <c r="P73" s="60">
        <f>IFERROR(__xludf.DUMMYFUNCTION("IFERROR(VALUE(SUBSTITUTE(REGEXEXTRACT(Raw_Data!J73,""labour \d+ h at \$\d+/h: \$([\d,]+)""),"","","""")),0)"),0.0)</f>
        <v>0</v>
      </c>
      <c r="Q73" s="60">
        <f t="shared" si="6"/>
        <v>1800</v>
      </c>
      <c r="R73" s="60" t="str">
        <f t="array" ref="R73">IF(INDEX(Rules!$B$2:$B$60,$D73)="","",INDEX(Rules!$B$2:$B$60,$D73))</f>
        <v>Repairs and Maintenance Expense</v>
      </c>
      <c r="S73" s="60" t="str">
        <f t="array" ref="S73">IF(INDEX(Rules!$E$2:$E$60,$D73)="","",INDEX(Rules!$E$2:$E$60,$D73))</f>
        <v/>
      </c>
      <c r="T73" s="60" t="str">
        <f t="array" ref="T73">IF(INDEX(Rules!$H$2:$H$60,$D73)="","",INDEX(Rules!$H$2:$H$60,$D73))</f>
        <v/>
      </c>
      <c r="U73" s="60" t="str">
        <f t="array" ref="U73">IF(INDEX(Rules!$C$2:$C$60,$D73)="","",INDEX(Rules!$C$2:$C$60,$D73))</f>
        <v>Cash</v>
      </c>
      <c r="V73" s="60" t="str">
        <f t="array" ref="V73">IF(INDEX(Rules!$F$2:$F$60,$D73)="","",INDEX(Rules!$F$2:$F$60,$D73))</f>
        <v/>
      </c>
      <c r="W73" s="60" t="str">
        <f t="array" ref="W73">IF(INDEX(Rules!$I$2:$I$60,$D73)="","",INDEX(Rules!$I$2:$I$60,$D73))</f>
        <v/>
      </c>
      <c r="X73" s="60">
        <f t="array" ref="X73">IF(R73="","",INDEX($F73:$Q73,MATCH(INDEX(Rules!$D$2:$D$60,$D73),$F$1:$Q$1,0)))</f>
        <v>1800</v>
      </c>
      <c r="Y73" s="60" t="str">
        <f t="array" ref="Y73">IF(S73="","",INDEX($F73:$Q73,MATCH(INDEX(Rules!$G$2:$G$60,$D73),$F$1:$Q$1,0)))</f>
        <v/>
      </c>
      <c r="Z73" s="60" t="str">
        <f t="array" ref="Z73">IF(T73="","",INDEX($F73:$Q73,MATCH(INDEX(Rules!$J$2:$J$60,$D73),$F$1:$Q$1,0)))</f>
        <v/>
      </c>
      <c r="AA73" s="60" t="str">
        <f t="array" ref="AA73">IF(INDEX(Rules!$K$2:$K$60,$D73)="","",INDEX(Rules!$K$2:$K$60,$D73))</f>
        <v>fleet repairs</v>
      </c>
      <c r="AB73" s="60" t="str">
        <f>IF(SUMPRODUCT((R73:W73&lt;&gt;"")*(ISNUMBER(SEARCH(Raw_Data!E73,R73:W73))+ISNUMBER(SEARCH(R73:W73,Raw_Data!E73))))&gt;0,"OK","CHECK")</f>
        <v>OK</v>
      </c>
    </row>
    <row r="74">
      <c r="A74" s="60" t="str">
        <f>Raw_Data!A74</f>
        <v>VVV-2024-073</v>
      </c>
      <c r="B74" s="60">
        <f>Raw_Data!D74</f>
        <v>600</v>
      </c>
      <c r="C74" s="60" t="str">
        <f>LOWER(Raw_Data!C74&amp;" | "&amp;Raw_Data!F74)</f>
        <v>monthly business insurance premium | automatic bank transfer; settled</v>
      </c>
      <c r="D74" s="60">
        <f t="array" ref="D74">MATCH(1,ISNUMBER(SEARCH(Rules!$A$2:$A$60,C74))*(Rules!$A$2:$A$60&lt;&gt;""),0)</f>
        <v>20</v>
      </c>
      <c r="E74" s="60" t="str">
        <f t="array" ref="E74">INDEX(Rules!$A$2:$A$60,D74)</f>
        <v>insurance</v>
      </c>
      <c r="F74" s="60">
        <f t="shared" si="1"/>
        <v>600</v>
      </c>
      <c r="G74" s="60">
        <f>IFERROR(__xludf.DUMMYFUNCTION("IFERROR(VALUE(SUBSTITUTE(REGEXEXTRACT(Raw_Data!J74,""Cost of goods sold: \$([\d,]+)""),"","","""")),0)"),0.0)</f>
        <v>0</v>
      </c>
      <c r="H74" s="60">
        <f>IFERROR(__xludf.DUMMYFUNCTION("IFERROR(VALUE(SUBSTITUTE(REGEXEXTRACT(Raw_Data!J74,""withheld a \$([\d,]+) fee""),"","","""")),0)"),0.0)</f>
        <v>0</v>
      </c>
      <c r="I74" s="60">
        <f t="shared" si="2"/>
        <v>600</v>
      </c>
      <c r="J74" s="60">
        <f>IFERROR(__xludf.DUMMYFUNCTION("IFERROR(VALUE(SUBSTITUTE(REGEXEXTRACT(Raw_Data!J74,""(?i)interest \$([\d,]+)""),"","","""")),0)"),0.0)</f>
        <v>0</v>
      </c>
      <c r="K74" s="60">
        <f t="shared" si="3"/>
        <v>600</v>
      </c>
      <c r="L74" s="60">
        <f>IFERROR(__xludf.DUMMYFUNCTION("IFERROR(VALUE(SUBSTITUTE(REGEXEXTRACT(Raw_Data!F74,""\$([\d,]+) prior deposit applied""),"","","""")),0)"),0.0)</f>
        <v>0</v>
      </c>
      <c r="M74" s="60">
        <f t="shared" si="4"/>
        <v>600</v>
      </c>
      <c r="N74" s="60">
        <f>IFERROR(__xludf.DUMMYFUNCTION("IFERROR(VALUE(SUBSTITUTE(REGEXEXTRACT(Raw_Data!F74,""^\$([\d,]+) cash""),"","","""")),0)"),0.0)</f>
        <v>0</v>
      </c>
      <c r="O74" s="60">
        <f t="shared" si="5"/>
        <v>600</v>
      </c>
      <c r="P74" s="60">
        <f>IFERROR(__xludf.DUMMYFUNCTION("IFERROR(VALUE(SUBSTITUTE(REGEXEXTRACT(Raw_Data!J74,""labour \d+ h at \$\d+/h: \$([\d,]+)""),"","","""")),0)"),0.0)</f>
        <v>0</v>
      </c>
      <c r="Q74" s="60">
        <f t="shared" si="6"/>
        <v>600</v>
      </c>
      <c r="R74" s="60" t="str">
        <f t="array" ref="R74">IF(INDEX(Rules!$B$2:$B$60,$D74)="","",INDEX(Rules!$B$2:$B$60,$D74))</f>
        <v>Insurance Expense</v>
      </c>
      <c r="S74" s="60" t="str">
        <f t="array" ref="S74">IF(INDEX(Rules!$E$2:$E$60,$D74)="","",INDEX(Rules!$E$2:$E$60,$D74))</f>
        <v/>
      </c>
      <c r="T74" s="60" t="str">
        <f t="array" ref="T74">IF(INDEX(Rules!$H$2:$H$60,$D74)="","",INDEX(Rules!$H$2:$H$60,$D74))</f>
        <v/>
      </c>
      <c r="U74" s="60" t="str">
        <f t="array" ref="U74">IF(INDEX(Rules!$C$2:$C$60,$D74)="","",INDEX(Rules!$C$2:$C$60,$D74))</f>
        <v>Cash</v>
      </c>
      <c r="V74" s="60" t="str">
        <f t="array" ref="V74">IF(INDEX(Rules!$F$2:$F$60,$D74)="","",INDEX(Rules!$F$2:$F$60,$D74))</f>
        <v/>
      </c>
      <c r="W74" s="60" t="str">
        <f t="array" ref="W74">IF(INDEX(Rules!$I$2:$I$60,$D74)="","",INDEX(Rules!$I$2:$I$60,$D74))</f>
        <v/>
      </c>
      <c r="X74" s="60">
        <f t="array" ref="X74">IF(R74="","",INDEX($F74:$Q74,MATCH(INDEX(Rules!$D$2:$D$60,$D74),$F$1:$Q$1,0)))</f>
        <v>600</v>
      </c>
      <c r="Y74" s="60" t="str">
        <f t="array" ref="Y74">IF(S74="","",INDEX($F74:$Q74,MATCH(INDEX(Rules!$G$2:$G$60,$D74),$F$1:$Q$1,0)))</f>
        <v/>
      </c>
      <c r="Z74" s="60" t="str">
        <f t="array" ref="Z74">IF(T74="","",INDEX($F74:$Q74,MATCH(INDEX(Rules!$J$2:$J$60,$D74),$F$1:$Q$1,0)))</f>
        <v/>
      </c>
      <c r="AA74" s="60" t="str">
        <f t="array" ref="AA74">IF(INDEX(Rules!$K$2:$K$60,$D74)="","",INDEX(Rules!$K$2:$K$60,$D74))</f>
        <v>monthly insurance</v>
      </c>
      <c r="AB74" s="60" t="str">
        <f>IF(SUMPRODUCT((R74:W74&lt;&gt;"")*(ISNUMBER(SEARCH(Raw_Data!E74,R74:W74))+ISNUMBER(SEARCH(R74:W74,Raw_Data!E74))))&gt;0,"OK","CHECK")</f>
        <v>OK</v>
      </c>
    </row>
    <row r="75">
      <c r="A75" s="60" t="str">
        <f>Raw_Data!A75</f>
        <v>VVV-2024-074</v>
      </c>
      <c r="B75" s="60">
        <f>Raw_Data!D75</f>
        <v>18000</v>
      </c>
      <c r="C75" s="60" t="str">
        <f>LOWER(Raw_Data!C75&amp;" | "&amp;Raw_Data!F75)</f>
        <v>equipment rental receipts batch | cash and card receipts; settled</v>
      </c>
      <c r="D75" s="60">
        <f t="array" ref="D75">MATCH(1,ISNUMBER(SEARCH(Rules!$A$2:$A$60,C75))*(Rules!$A$2:$A$60&lt;&gt;""),0)</f>
        <v>26</v>
      </c>
      <c r="E75" s="60" t="str">
        <f t="array" ref="E75">INDEX(Rules!$A$2:$A$60,D75)</f>
        <v>rental receipts</v>
      </c>
      <c r="F75" s="60">
        <f t="shared" si="1"/>
        <v>18000</v>
      </c>
      <c r="G75" s="60">
        <f>IFERROR(__xludf.DUMMYFUNCTION("IFERROR(VALUE(SUBSTITUTE(REGEXEXTRACT(Raw_Data!J75,""Cost of goods sold: \$([\d,]+)""),"","","""")),0)"),0.0)</f>
        <v>0</v>
      </c>
      <c r="H75" s="60">
        <f>IFERROR(__xludf.DUMMYFUNCTION("IFERROR(VALUE(SUBSTITUTE(REGEXEXTRACT(Raw_Data!J75,""withheld a \$([\d,]+) fee""),"","","""")),0)"),0.0)</f>
        <v>0</v>
      </c>
      <c r="I75" s="60">
        <f t="shared" si="2"/>
        <v>18000</v>
      </c>
      <c r="J75" s="60">
        <f>IFERROR(__xludf.DUMMYFUNCTION("IFERROR(VALUE(SUBSTITUTE(REGEXEXTRACT(Raw_Data!J75,""(?i)interest \$([\d,]+)""),"","","""")),0)"),0.0)</f>
        <v>0</v>
      </c>
      <c r="K75" s="60">
        <f t="shared" si="3"/>
        <v>18000</v>
      </c>
      <c r="L75" s="60">
        <f>IFERROR(__xludf.DUMMYFUNCTION("IFERROR(VALUE(SUBSTITUTE(REGEXEXTRACT(Raw_Data!F75,""\$([\d,]+) prior deposit applied""),"","","""")),0)"),0.0)</f>
        <v>0</v>
      </c>
      <c r="M75" s="60">
        <f t="shared" si="4"/>
        <v>18000</v>
      </c>
      <c r="N75" s="60">
        <f>IFERROR(__xludf.DUMMYFUNCTION("IFERROR(VALUE(SUBSTITUTE(REGEXEXTRACT(Raw_Data!F75,""^\$([\d,]+) cash""),"","","""")),0)"),0.0)</f>
        <v>0</v>
      </c>
      <c r="O75" s="60">
        <f t="shared" si="5"/>
        <v>18000</v>
      </c>
      <c r="P75" s="60">
        <f>IFERROR(__xludf.DUMMYFUNCTION("IFERROR(VALUE(SUBSTITUTE(REGEXEXTRACT(Raw_Data!J75,""labour \d+ h at \$\d+/h: \$([\d,]+)""),"","","""")),0)"),0.0)</f>
        <v>0</v>
      </c>
      <c r="Q75" s="60">
        <f t="shared" si="6"/>
        <v>18000</v>
      </c>
      <c r="R75" s="60" t="str">
        <f t="array" ref="R75">IF(INDEX(Rules!$B$2:$B$60,$D75)="","",INDEX(Rules!$B$2:$B$60,$D75))</f>
        <v>Cash</v>
      </c>
      <c r="S75" s="60" t="str">
        <f t="array" ref="S75">IF(INDEX(Rules!$E$2:$E$60,$D75)="","",INDEX(Rules!$E$2:$E$60,$D75))</f>
        <v/>
      </c>
      <c r="T75" s="60" t="str">
        <f t="array" ref="T75">IF(INDEX(Rules!$H$2:$H$60,$D75)="","",INDEX(Rules!$H$2:$H$60,$D75))</f>
        <v/>
      </c>
      <c r="U75" s="60" t="str">
        <f t="array" ref="U75">IF(INDEX(Rules!$C$2:$C$60,$D75)="","",INDEX(Rules!$C$2:$C$60,$D75))</f>
        <v>Equipment Rental Revenue</v>
      </c>
      <c r="V75" s="60" t="str">
        <f t="array" ref="V75">IF(INDEX(Rules!$F$2:$F$60,$D75)="","",INDEX(Rules!$F$2:$F$60,$D75))</f>
        <v/>
      </c>
      <c r="W75" s="60" t="str">
        <f t="array" ref="W75">IF(INDEX(Rules!$I$2:$I$60,$D75)="","",INDEX(Rules!$I$2:$I$60,$D75))</f>
        <v/>
      </c>
      <c r="X75" s="60">
        <f t="array" ref="X75">IF(R75="","",INDEX($F75:$Q75,MATCH(INDEX(Rules!$D$2:$D$60,$D75),$F$1:$Q$1,0)))</f>
        <v>18000</v>
      </c>
      <c r="Y75" s="60" t="str">
        <f t="array" ref="Y75">IF(S75="","",INDEX($F75:$Q75,MATCH(INDEX(Rules!$G$2:$G$60,$D75),$F$1:$Q$1,0)))</f>
        <v/>
      </c>
      <c r="Z75" s="60" t="str">
        <f t="array" ref="Z75">IF(T75="","",INDEX($F75:$Q75,MATCH(INDEX(Rules!$J$2:$J$60,$D75),$F$1:$Q$1,0)))</f>
        <v/>
      </c>
      <c r="AA75" s="60" t="str">
        <f t="array" ref="AA75">IF(INDEX(Rules!$K$2:$K$60,$D75)="","",INDEX(Rules!$K$2:$K$60,$D75))</f>
        <v>rentals done and paid</v>
      </c>
      <c r="AB75" s="60" t="str">
        <f>IF(SUMPRODUCT((R75:W75&lt;&gt;"")*(ISNUMBER(SEARCH(Raw_Data!E75,R75:W75))+ISNUMBER(SEARCH(R75:W75,Raw_Data!E75))))&gt;0,"OK","CHECK")</f>
        <v>OK</v>
      </c>
    </row>
    <row r="76">
      <c r="A76" s="60" t="str">
        <f>Raw_Data!A76</f>
        <v>VVV-2024-075</v>
      </c>
      <c r="B76" s="60">
        <f>Raw_Data!D76</f>
        <v>10000</v>
      </c>
      <c r="C76" s="60" t="str">
        <f>LOWER(Raw_Data!C76&amp;" | "&amp;Raw_Data!F76)</f>
        <v>retail camping-supply sales | cash and card receipts; settled</v>
      </c>
      <c r="D76" s="60">
        <f t="array" ref="D76">MATCH(1,ISNUMBER(SEARCH(Rules!$A$2:$A$60,C76))*(Rules!$A$2:$A$60&lt;&gt;""),0)</f>
        <v>12</v>
      </c>
      <c r="E76" s="60" t="str">
        <f t="array" ref="E76">INDEX(Rules!$A$2:$A$60,D76)</f>
        <v>camping-supply sales</v>
      </c>
      <c r="F76" s="60">
        <f t="shared" si="1"/>
        <v>10000</v>
      </c>
      <c r="G76" s="60">
        <f>IFERROR(__xludf.DUMMYFUNCTION("IFERROR(VALUE(SUBSTITUTE(REGEXEXTRACT(Raw_Data!J76,""Cost of goods sold: \$([\d,]+)""),"","","""")),0)"),6000.0)</f>
        <v>6000</v>
      </c>
      <c r="H76" s="60">
        <f>IFERROR(__xludf.DUMMYFUNCTION("IFERROR(VALUE(SUBSTITUTE(REGEXEXTRACT(Raw_Data!J76,""withheld a \$([\d,]+) fee""),"","","""")),0)"),0.0)</f>
        <v>0</v>
      </c>
      <c r="I76" s="60">
        <f t="shared" si="2"/>
        <v>10000</v>
      </c>
      <c r="J76" s="60">
        <f>IFERROR(__xludf.DUMMYFUNCTION("IFERROR(VALUE(SUBSTITUTE(REGEXEXTRACT(Raw_Data!J76,""(?i)interest \$([\d,]+)""),"","","""")),0)"),0.0)</f>
        <v>0</v>
      </c>
      <c r="K76" s="60">
        <f t="shared" si="3"/>
        <v>10000</v>
      </c>
      <c r="L76" s="60">
        <f>IFERROR(__xludf.DUMMYFUNCTION("IFERROR(VALUE(SUBSTITUTE(REGEXEXTRACT(Raw_Data!F76,""\$([\d,]+) prior deposit applied""),"","","""")),0)"),0.0)</f>
        <v>0</v>
      </c>
      <c r="M76" s="60">
        <f t="shared" si="4"/>
        <v>10000</v>
      </c>
      <c r="N76" s="60">
        <f>IFERROR(__xludf.DUMMYFUNCTION("IFERROR(VALUE(SUBSTITUTE(REGEXEXTRACT(Raw_Data!F76,""^\$([\d,]+) cash""),"","","""")),0)"),0.0)</f>
        <v>0</v>
      </c>
      <c r="O76" s="60">
        <f t="shared" si="5"/>
        <v>10000</v>
      </c>
      <c r="P76" s="60">
        <f>IFERROR(__xludf.DUMMYFUNCTION("IFERROR(VALUE(SUBSTITUTE(REGEXEXTRACT(Raw_Data!J76,""labour \d+ h at \$\d+/h: \$([\d,]+)""),"","","""")),0)"),0.0)</f>
        <v>0</v>
      </c>
      <c r="Q76" s="60">
        <f t="shared" si="6"/>
        <v>10000</v>
      </c>
      <c r="R76" s="60" t="str">
        <f t="array" ref="R76">IF(INDEX(Rules!$B$2:$B$60,$D76)="","",INDEX(Rules!$B$2:$B$60,$D76))</f>
        <v>Cash</v>
      </c>
      <c r="S76" s="60" t="str">
        <f t="array" ref="S76">IF(INDEX(Rules!$E$2:$E$60,$D76)="","",INDEX(Rules!$E$2:$E$60,$D76))</f>
        <v>Cost of Goods Sold</v>
      </c>
      <c r="T76" s="60" t="str">
        <f t="array" ref="T76">IF(INDEX(Rules!$H$2:$H$60,$D76)="","",INDEX(Rules!$H$2:$H$60,$D76))</f>
        <v/>
      </c>
      <c r="U76" s="60" t="str">
        <f t="array" ref="U76">IF(INDEX(Rules!$C$2:$C$60,$D76)="","",INDEX(Rules!$C$2:$C$60,$D76))</f>
        <v>Retail Sales Revenue</v>
      </c>
      <c r="V76" s="60" t="str">
        <f t="array" ref="V76">IF(INDEX(Rules!$F$2:$F$60,$D76)="","",INDEX(Rules!$F$2:$F$60,$D76))</f>
        <v>Inventory</v>
      </c>
      <c r="W76" s="60" t="str">
        <f t="array" ref="W76">IF(INDEX(Rules!$I$2:$I$60,$D76)="","",INDEX(Rules!$I$2:$I$60,$D76))</f>
        <v/>
      </c>
      <c r="X76" s="60">
        <f t="array" ref="X76">IF(R76="","",INDEX($F76:$Q76,MATCH(INDEX(Rules!$D$2:$D$60,$D76),$F$1:$Q$1,0)))</f>
        <v>10000</v>
      </c>
      <c r="Y76" s="60">
        <f t="array" ref="Y76">IF(S76="","",INDEX($F76:$Q76,MATCH(INDEX(Rules!$G$2:$G$60,$D76),$F$1:$Q$1,0)))</f>
        <v>6000</v>
      </c>
      <c r="Z76" s="60" t="str">
        <f t="array" ref="Z76">IF(T76="","",INDEX($F76:$Q76,MATCH(INDEX(Rules!$J$2:$J$60,$D76),$F$1:$Q$1,0)))</f>
        <v/>
      </c>
      <c r="AA76" s="60" t="str">
        <f t="array" ref="AA76">IF(INDEX(Rules!$K$2:$K$60,$D76)="","",INDEX(Rules!$K$2:$K$60,$D76))</f>
        <v>sale + cost of the goods comes out of inventory (COGS)</v>
      </c>
      <c r="AB76" s="60" t="str">
        <f>IF(SUMPRODUCT((R76:W76&lt;&gt;"")*(ISNUMBER(SEARCH(Raw_Data!E76,R76:W76))+ISNUMBER(SEARCH(R76:W76,Raw_Data!E76))))&gt;0,"OK","CHECK")</f>
        <v>OK</v>
      </c>
    </row>
    <row r="77">
      <c r="A77" s="60" t="str">
        <f>Raw_Data!A77</f>
        <v>VVV-2024-076</v>
      </c>
      <c r="B77" s="60">
        <f>Raw_Data!D77</f>
        <v>14000</v>
      </c>
      <c r="C77" s="60" t="str">
        <f>LOWER(Raw_Data!C77&amp;" | "&amp;Raw_Data!F77)</f>
        <v>guided tour revenue | cash and card receipts; settled</v>
      </c>
      <c r="D77" s="60">
        <f t="array" ref="D77">MATCH(1,ISNUMBER(SEARCH(Rules!$A$2:$A$60,C77))*(Rules!$A$2:$A$60&lt;&gt;""),0)</f>
        <v>32</v>
      </c>
      <c r="E77" s="60" t="str">
        <f t="array" ref="E77">INDEX(Rules!$A$2:$A$60,D77)</f>
        <v>tour revenue</v>
      </c>
      <c r="F77" s="60">
        <f t="shared" si="1"/>
        <v>14000</v>
      </c>
      <c r="G77" s="60">
        <f>IFERROR(__xludf.DUMMYFUNCTION("IFERROR(VALUE(SUBSTITUTE(REGEXEXTRACT(Raw_Data!J77,""Cost of goods sold: \$([\d,]+)""),"","","""")),0)"),0.0)</f>
        <v>0</v>
      </c>
      <c r="H77" s="60">
        <f>IFERROR(__xludf.DUMMYFUNCTION("IFERROR(VALUE(SUBSTITUTE(REGEXEXTRACT(Raw_Data!J77,""withheld a \$([\d,]+) fee""),"","","""")),0)"),0.0)</f>
        <v>0</v>
      </c>
      <c r="I77" s="60">
        <f t="shared" si="2"/>
        <v>14000</v>
      </c>
      <c r="J77" s="60">
        <f>IFERROR(__xludf.DUMMYFUNCTION("IFERROR(VALUE(SUBSTITUTE(REGEXEXTRACT(Raw_Data!J77,""(?i)interest \$([\d,]+)""),"","","""")),0)"),0.0)</f>
        <v>0</v>
      </c>
      <c r="K77" s="60">
        <f t="shared" si="3"/>
        <v>14000</v>
      </c>
      <c r="L77" s="60">
        <f>IFERROR(__xludf.DUMMYFUNCTION("IFERROR(VALUE(SUBSTITUTE(REGEXEXTRACT(Raw_Data!F77,""\$([\d,]+) prior deposit applied""),"","","""")),0)"),0.0)</f>
        <v>0</v>
      </c>
      <c r="M77" s="60">
        <f t="shared" si="4"/>
        <v>14000</v>
      </c>
      <c r="N77" s="60">
        <f>IFERROR(__xludf.DUMMYFUNCTION("IFERROR(VALUE(SUBSTITUTE(REGEXEXTRACT(Raw_Data!F77,""^\$([\d,]+) cash""),"","","""")),0)"),0.0)</f>
        <v>0</v>
      </c>
      <c r="O77" s="60">
        <f t="shared" si="5"/>
        <v>14000</v>
      </c>
      <c r="P77" s="60">
        <f>IFERROR(__xludf.DUMMYFUNCTION("IFERROR(VALUE(SUBSTITUTE(REGEXEXTRACT(Raw_Data!J77,""labour \d+ h at \$\d+/h: \$([\d,]+)""),"","","""")),0)"),0.0)</f>
        <v>0</v>
      </c>
      <c r="Q77" s="60">
        <f t="shared" si="6"/>
        <v>14000</v>
      </c>
      <c r="R77" s="60" t="str">
        <f t="array" ref="R77">IF(INDEX(Rules!$B$2:$B$60,$D77)="","",INDEX(Rules!$B$2:$B$60,$D77))</f>
        <v>Cash</v>
      </c>
      <c r="S77" s="60" t="str">
        <f t="array" ref="S77">IF(INDEX(Rules!$E$2:$E$60,$D77)="","",INDEX(Rules!$E$2:$E$60,$D77))</f>
        <v/>
      </c>
      <c r="T77" s="60" t="str">
        <f t="array" ref="T77">IF(INDEX(Rules!$H$2:$H$60,$D77)="","",INDEX(Rules!$H$2:$H$60,$D77))</f>
        <v/>
      </c>
      <c r="U77" s="60" t="str">
        <f t="array" ref="U77">IF(INDEX(Rules!$C$2:$C$60,$D77)="","",INDEX(Rules!$C$2:$C$60,$D77))</f>
        <v>Tour Revenue</v>
      </c>
      <c r="V77" s="60" t="str">
        <f t="array" ref="V77">IF(INDEX(Rules!$F$2:$F$60,$D77)="","",INDEX(Rules!$F$2:$F$60,$D77))</f>
        <v/>
      </c>
      <c r="W77" s="60" t="str">
        <f t="array" ref="W77">IF(INDEX(Rules!$I$2:$I$60,$D77)="","",INDEX(Rules!$I$2:$I$60,$D77))</f>
        <v/>
      </c>
      <c r="X77" s="60">
        <f t="array" ref="X77">IF(R77="","",INDEX($F77:$Q77,MATCH(INDEX(Rules!$D$2:$D$60,$D77),$F$1:$Q$1,0)))</f>
        <v>14000</v>
      </c>
      <c r="Y77" s="60" t="str">
        <f t="array" ref="Y77">IF(S77="","",INDEX($F77:$Q77,MATCH(INDEX(Rules!$G$2:$G$60,$D77),$F$1:$Q$1,0)))</f>
        <v/>
      </c>
      <c r="Z77" s="60" t="str">
        <f t="array" ref="Z77">IF(T77="","",INDEX($F77:$Q77,MATCH(INDEX(Rules!$J$2:$J$60,$D77),$F$1:$Q$1,0)))</f>
        <v/>
      </c>
      <c r="AA77" s="60" t="str">
        <f t="array" ref="AA77">IF(INDEX(Rules!$K$2:$K$60,$D77)="","",INDEX(Rules!$K$2:$K$60,$D77))</f>
        <v>tours done and paid</v>
      </c>
      <c r="AB77" s="60" t="str">
        <f>IF(SUMPRODUCT((R77:W77&lt;&gt;"")*(ISNUMBER(SEARCH(Raw_Data!E77,R77:W77))+ISNUMBER(SEARCH(R77:W77,Raw_Data!E77))))&gt;0,"OK","CHECK")</f>
        <v>OK</v>
      </c>
    </row>
    <row r="78">
      <c r="A78" s="60" t="str">
        <f>Raw_Data!A78</f>
        <v>VVV-2024-077</v>
      </c>
      <c r="B78" s="60">
        <f>Raw_Data!D78</f>
        <v>9000</v>
      </c>
      <c r="C78" s="60" t="str">
        <f>LOWER(Raw_Data!C78&amp;" | "&amp;Raw_Data!F78)</f>
        <v>seasonal event revenue | cash and card receipts; settled</v>
      </c>
      <c r="D78" s="60">
        <f t="array" ref="D78">MATCH(1,ISNUMBER(SEARCH(Rules!$A$2:$A$60,C78))*(Rules!$A$2:$A$60&lt;&gt;""),0)</f>
        <v>33</v>
      </c>
      <c r="E78" s="60" t="str">
        <f t="array" ref="E78">INDEX(Rules!$A$2:$A$60,D78)</f>
        <v>event revenue</v>
      </c>
      <c r="F78" s="60">
        <f t="shared" si="1"/>
        <v>9000</v>
      </c>
      <c r="G78" s="60">
        <f>IFERROR(__xludf.DUMMYFUNCTION("IFERROR(VALUE(SUBSTITUTE(REGEXEXTRACT(Raw_Data!J78,""Cost of goods sold: \$([\d,]+)""),"","","""")),0)"),0.0)</f>
        <v>0</v>
      </c>
      <c r="H78" s="60">
        <f>IFERROR(__xludf.DUMMYFUNCTION("IFERROR(VALUE(SUBSTITUTE(REGEXEXTRACT(Raw_Data!J78,""withheld a \$([\d,]+) fee""),"","","""")),0)"),0.0)</f>
        <v>0</v>
      </c>
      <c r="I78" s="60">
        <f t="shared" si="2"/>
        <v>9000</v>
      </c>
      <c r="J78" s="60">
        <f>IFERROR(__xludf.DUMMYFUNCTION("IFERROR(VALUE(SUBSTITUTE(REGEXEXTRACT(Raw_Data!J78,""(?i)interest \$([\d,]+)""),"","","""")),0)"),0.0)</f>
        <v>0</v>
      </c>
      <c r="K78" s="60">
        <f t="shared" si="3"/>
        <v>9000</v>
      </c>
      <c r="L78" s="60">
        <f>IFERROR(__xludf.DUMMYFUNCTION("IFERROR(VALUE(SUBSTITUTE(REGEXEXTRACT(Raw_Data!F78,""\$([\d,]+) prior deposit applied""),"","","""")),0)"),0.0)</f>
        <v>0</v>
      </c>
      <c r="M78" s="60">
        <f t="shared" si="4"/>
        <v>9000</v>
      </c>
      <c r="N78" s="60">
        <f>IFERROR(__xludf.DUMMYFUNCTION("IFERROR(VALUE(SUBSTITUTE(REGEXEXTRACT(Raw_Data!F78,""^\$([\d,]+) cash""),"","","""")),0)"),0.0)</f>
        <v>0</v>
      </c>
      <c r="O78" s="60">
        <f t="shared" si="5"/>
        <v>9000</v>
      </c>
      <c r="P78" s="60">
        <f>IFERROR(__xludf.DUMMYFUNCTION("IFERROR(VALUE(SUBSTITUTE(REGEXEXTRACT(Raw_Data!J78,""labour \d+ h at \$\d+/h: \$([\d,]+)""),"","","""")),0)"),0.0)</f>
        <v>0</v>
      </c>
      <c r="Q78" s="60">
        <f t="shared" si="6"/>
        <v>9000</v>
      </c>
      <c r="R78" s="60" t="str">
        <f t="array" ref="R78">IF(INDEX(Rules!$B$2:$B$60,$D78)="","",INDEX(Rules!$B$2:$B$60,$D78))</f>
        <v>Cash</v>
      </c>
      <c r="S78" s="60" t="str">
        <f t="array" ref="S78">IF(INDEX(Rules!$E$2:$E$60,$D78)="","",INDEX(Rules!$E$2:$E$60,$D78))</f>
        <v/>
      </c>
      <c r="T78" s="60" t="str">
        <f t="array" ref="T78">IF(INDEX(Rules!$H$2:$H$60,$D78)="","",INDEX(Rules!$H$2:$H$60,$D78))</f>
        <v/>
      </c>
      <c r="U78" s="60" t="str">
        <f t="array" ref="U78">IF(INDEX(Rules!$C$2:$C$60,$D78)="","",INDEX(Rules!$C$2:$C$60,$D78))</f>
        <v>Event Revenue</v>
      </c>
      <c r="V78" s="60" t="str">
        <f t="array" ref="V78">IF(INDEX(Rules!$F$2:$F$60,$D78)="","",INDEX(Rules!$F$2:$F$60,$D78))</f>
        <v/>
      </c>
      <c r="W78" s="60" t="str">
        <f t="array" ref="W78">IF(INDEX(Rules!$I$2:$I$60,$D78)="","",INDEX(Rules!$I$2:$I$60,$D78))</f>
        <v/>
      </c>
      <c r="X78" s="60">
        <f t="array" ref="X78">IF(R78="","",INDEX($F78:$Q78,MATCH(INDEX(Rules!$D$2:$D$60,$D78),$F$1:$Q$1,0)))</f>
        <v>9000</v>
      </c>
      <c r="Y78" s="60" t="str">
        <f t="array" ref="Y78">IF(S78="","",INDEX($F78:$Q78,MATCH(INDEX(Rules!$G$2:$G$60,$D78),$F$1:$Q$1,0)))</f>
        <v/>
      </c>
      <c r="Z78" s="60" t="str">
        <f t="array" ref="Z78">IF(T78="","",INDEX($F78:$Q78,MATCH(INDEX(Rules!$J$2:$J$60,$D78),$F$1:$Q$1,0)))</f>
        <v/>
      </c>
      <c r="AA78" s="60" t="str">
        <f t="array" ref="AA78">IF(INDEX(Rules!$K$2:$K$60,$D78)="","",INDEX(Rules!$K$2:$K$60,$D78))</f>
        <v>events done and paid</v>
      </c>
      <c r="AB78" s="60" t="str">
        <f>IF(SUMPRODUCT((R78:W78&lt;&gt;"")*(ISNUMBER(SEARCH(Raw_Data!E78,R78:W78))+ISNUMBER(SEARCH(R78:W78,Raw_Data!E78))))&gt;0,"OK","CHECK")</f>
        <v>OK</v>
      </c>
    </row>
    <row r="79">
      <c r="A79" s="60" t="str">
        <f>Raw_Data!A79</f>
        <v>VVV-2024-078</v>
      </c>
      <c r="B79" s="60">
        <f>Raw_Data!D79</f>
        <v>10000</v>
      </c>
      <c r="C79" s="60" t="str">
        <f>LOWER(Raw_Data!C79&amp;" | "&amp;Raw_Data!F79)</f>
        <v>purchased additional retail inventory | bank transfer; settled</v>
      </c>
      <c r="D79" s="60">
        <f t="array" ref="D79">MATCH(1,ISNUMBER(SEARCH(Rules!$A$2:$A$60,C79))*(Rules!$A$2:$A$60&lt;&gt;""),0)</f>
        <v>10</v>
      </c>
      <c r="E79" s="60" t="str">
        <f t="array" ref="E79">INDEX(Rules!$A$2:$A$60,D79)</f>
        <v>inventory</v>
      </c>
      <c r="F79" s="60">
        <f t="shared" si="1"/>
        <v>10000</v>
      </c>
      <c r="G79" s="60">
        <f>IFERROR(__xludf.DUMMYFUNCTION("IFERROR(VALUE(SUBSTITUTE(REGEXEXTRACT(Raw_Data!J79,""Cost of goods sold: \$([\d,]+)""),"","","""")),0)"),0.0)</f>
        <v>0</v>
      </c>
      <c r="H79" s="60">
        <f>IFERROR(__xludf.DUMMYFUNCTION("IFERROR(VALUE(SUBSTITUTE(REGEXEXTRACT(Raw_Data!J79,""withheld a \$([\d,]+) fee""),"","","""")),0)"),0.0)</f>
        <v>0</v>
      </c>
      <c r="I79" s="60">
        <f t="shared" si="2"/>
        <v>10000</v>
      </c>
      <c r="J79" s="60">
        <f>IFERROR(__xludf.DUMMYFUNCTION("IFERROR(VALUE(SUBSTITUTE(REGEXEXTRACT(Raw_Data!J79,""(?i)interest \$([\d,]+)""),"","","""")),0)"),0.0)</f>
        <v>0</v>
      </c>
      <c r="K79" s="60">
        <f t="shared" si="3"/>
        <v>10000</v>
      </c>
      <c r="L79" s="60">
        <f>IFERROR(__xludf.DUMMYFUNCTION("IFERROR(VALUE(SUBSTITUTE(REGEXEXTRACT(Raw_Data!F79,""\$([\d,]+) prior deposit applied""),"","","""")),0)"),0.0)</f>
        <v>0</v>
      </c>
      <c r="M79" s="60">
        <f t="shared" si="4"/>
        <v>10000</v>
      </c>
      <c r="N79" s="60">
        <f>IFERROR(__xludf.DUMMYFUNCTION("IFERROR(VALUE(SUBSTITUTE(REGEXEXTRACT(Raw_Data!F79,""^\$([\d,]+) cash""),"","","""")),0)"),0.0)</f>
        <v>0</v>
      </c>
      <c r="O79" s="60">
        <f t="shared" si="5"/>
        <v>10000</v>
      </c>
      <c r="P79" s="60">
        <f>IFERROR(__xludf.DUMMYFUNCTION("IFERROR(VALUE(SUBSTITUTE(REGEXEXTRACT(Raw_Data!J79,""labour \d+ h at \$\d+/h: \$([\d,]+)""),"","","""")),0)"),0.0)</f>
        <v>0</v>
      </c>
      <c r="Q79" s="60">
        <f t="shared" si="6"/>
        <v>10000</v>
      </c>
      <c r="R79" s="60" t="str">
        <f t="array" ref="R79">IF(INDEX(Rules!$B$2:$B$60,$D79)="","",INDEX(Rules!$B$2:$B$60,$D79))</f>
        <v>Inventory</v>
      </c>
      <c r="S79" s="60" t="str">
        <f t="array" ref="S79">IF(INDEX(Rules!$E$2:$E$60,$D79)="","",INDEX(Rules!$E$2:$E$60,$D79))</f>
        <v/>
      </c>
      <c r="T79" s="60" t="str">
        <f t="array" ref="T79">IF(INDEX(Rules!$H$2:$H$60,$D79)="","",INDEX(Rules!$H$2:$H$60,$D79))</f>
        <v/>
      </c>
      <c r="U79" s="60" t="str">
        <f t="array" ref="U79">IF(INDEX(Rules!$C$2:$C$60,$D79)="","",INDEX(Rules!$C$2:$C$60,$D79))</f>
        <v>Cash</v>
      </c>
      <c r="V79" s="60" t="str">
        <f t="array" ref="V79">IF(INDEX(Rules!$F$2:$F$60,$D79)="","",INDEX(Rules!$F$2:$F$60,$D79))</f>
        <v/>
      </c>
      <c r="W79" s="60" t="str">
        <f t="array" ref="W79">IF(INDEX(Rules!$I$2:$I$60,$D79)="","",INDEX(Rules!$I$2:$I$60,$D79))</f>
        <v/>
      </c>
      <c r="X79" s="60">
        <f t="array" ref="X79">IF(R79="","",INDEX($F79:$Q79,MATCH(INDEX(Rules!$D$2:$D$60,$D79),$F$1:$Q$1,0)))</f>
        <v>10000</v>
      </c>
      <c r="Y79" s="60" t="str">
        <f t="array" ref="Y79">IF(S79="","",INDEX($F79:$Q79,MATCH(INDEX(Rules!$G$2:$G$60,$D79),$F$1:$Q$1,0)))</f>
        <v/>
      </c>
      <c r="Z79" s="60" t="str">
        <f t="array" ref="Z79">IF(T79="","",INDEX($F79:$Q79,MATCH(INDEX(Rules!$J$2:$J$60,$D79),$F$1:$Q$1,0)))</f>
        <v/>
      </c>
      <c r="AA79" s="60" t="str">
        <f t="array" ref="AA79">IF(INDEX(Rules!$K$2:$K$60,$D79)="","",INDEX(Rules!$K$2:$K$60,$D79))</f>
        <v>stuff to resell, paid cash</v>
      </c>
      <c r="AB79" s="60" t="str">
        <f>IF(SUMPRODUCT((R79:W79&lt;&gt;"")*(ISNUMBER(SEARCH(Raw_Data!E79,R79:W79))+ISNUMBER(SEARCH(R79:W79,Raw_Data!E79))))&gt;0,"OK","CHECK")</f>
        <v>OK</v>
      </c>
    </row>
    <row r="80">
      <c r="A80" s="60" t="str">
        <f>Raw_Data!A80</f>
        <v>VVV-2024-079</v>
      </c>
      <c r="B80" s="60">
        <f>Raw_Data!D80</f>
        <v>13280</v>
      </c>
      <c r="C80" s="60" t="str">
        <f>LOWER(Raw_Data!C80&amp;" | "&amp;Raw_Data!F80)</f>
        <v>employee payroll settlement | payroll and claims paid from business bank account</v>
      </c>
      <c r="D80" s="60">
        <f t="array" ref="D80">MATCH(1,ISNUMBER(SEARCH(Rules!$A$2:$A$60,C80))*(Rules!$A$2:$A$60&lt;&gt;""),0)</f>
        <v>23</v>
      </c>
      <c r="E80" s="60" t="str">
        <f t="array" ref="E80">INDEX(Rules!$A$2:$A$60,D80)</f>
        <v>payroll</v>
      </c>
      <c r="F80" s="60">
        <f t="shared" si="1"/>
        <v>13280</v>
      </c>
      <c r="G80" s="60">
        <f>IFERROR(__xludf.DUMMYFUNCTION("IFERROR(VALUE(SUBSTITUTE(REGEXEXTRACT(Raw_Data!J80,""Cost of goods sold: \$([\d,]+)""),"","","""")),0)"),0.0)</f>
        <v>0</v>
      </c>
      <c r="H80" s="60">
        <f>IFERROR(__xludf.DUMMYFUNCTION("IFERROR(VALUE(SUBSTITUTE(REGEXEXTRACT(Raw_Data!J80,""withheld a \$([\d,]+) fee""),"","","""")),0)"),0.0)</f>
        <v>0</v>
      </c>
      <c r="I80" s="60">
        <f t="shared" si="2"/>
        <v>13280</v>
      </c>
      <c r="J80" s="60">
        <f>IFERROR(__xludf.DUMMYFUNCTION("IFERROR(VALUE(SUBSTITUTE(REGEXEXTRACT(Raw_Data!J80,""(?i)interest \$([\d,]+)""),"","","""")),0)"),0.0)</f>
        <v>0</v>
      </c>
      <c r="K80" s="60">
        <f t="shared" si="3"/>
        <v>13280</v>
      </c>
      <c r="L80" s="60">
        <f>IFERROR(__xludf.DUMMYFUNCTION("IFERROR(VALUE(SUBSTITUTE(REGEXEXTRACT(Raw_Data!F80,""\$([\d,]+) prior deposit applied""),"","","""")),0)"),0.0)</f>
        <v>0</v>
      </c>
      <c r="M80" s="60">
        <f t="shared" si="4"/>
        <v>13280</v>
      </c>
      <c r="N80" s="60">
        <f>IFERROR(__xludf.DUMMYFUNCTION("IFERROR(VALUE(SUBSTITUTE(REGEXEXTRACT(Raw_Data!F80,""^\$([\d,]+) cash""),"","","""")),0)"),0.0)</f>
        <v>0</v>
      </c>
      <c r="O80" s="60">
        <f t="shared" si="5"/>
        <v>13280</v>
      </c>
      <c r="P80" s="60">
        <f>IFERROR(__xludf.DUMMYFUNCTION("IFERROR(VALUE(SUBSTITUTE(REGEXEXTRACT(Raw_Data!J80,""labour \d+ h at \$\d+/h: \$([\d,]+)""),"","","""")),0)"),0.0)</f>
        <v>0</v>
      </c>
      <c r="Q80" s="60">
        <f t="shared" si="6"/>
        <v>13280</v>
      </c>
      <c r="R80" s="60" t="str">
        <f t="array" ref="R80">IF(INDEX(Rules!$B$2:$B$60,$D80)="","",INDEX(Rules!$B$2:$B$60,$D80))</f>
        <v>Wages Expense</v>
      </c>
      <c r="S80" s="60" t="str">
        <f t="array" ref="S80">IF(INDEX(Rules!$E$2:$E$60,$D80)="","",INDEX(Rules!$E$2:$E$60,$D80))</f>
        <v/>
      </c>
      <c r="T80" s="60" t="str">
        <f t="array" ref="T80">IF(INDEX(Rules!$H$2:$H$60,$D80)="","",INDEX(Rules!$H$2:$H$60,$D80))</f>
        <v/>
      </c>
      <c r="U80" s="60" t="str">
        <f t="array" ref="U80">IF(INDEX(Rules!$C$2:$C$60,$D80)="","",INDEX(Rules!$C$2:$C$60,$D80))</f>
        <v>Cash</v>
      </c>
      <c r="V80" s="60" t="str">
        <f t="array" ref="V80">IF(INDEX(Rules!$F$2:$F$60,$D80)="","",INDEX(Rules!$F$2:$F$60,$D80))</f>
        <v/>
      </c>
      <c r="W80" s="60" t="str">
        <f t="array" ref="W80">IF(INDEX(Rules!$I$2:$I$60,$D80)="","",INDEX(Rules!$I$2:$I$60,$D80))</f>
        <v/>
      </c>
      <c r="X80" s="60">
        <f t="array" ref="X80">IF(R80="","",INDEX($F80:$Q80,MATCH(INDEX(Rules!$D$2:$D$60,$D80),$F$1:$Q$1,0)))</f>
        <v>13280</v>
      </c>
      <c r="Y80" s="60" t="str">
        <f t="array" ref="Y80">IF(S80="","",INDEX($F80:$Q80,MATCH(INDEX(Rules!$G$2:$G$60,$D80),$F$1:$Q$1,0)))</f>
        <v/>
      </c>
      <c r="Z80" s="60" t="str">
        <f t="array" ref="Z80">IF(T80="","",INDEX($F80:$Q80,MATCH(INDEX(Rules!$J$2:$J$60,$D80),$F$1:$Q$1,0)))</f>
        <v/>
      </c>
      <c r="AA80" s="60" t="str">
        <f t="array" ref="AA80">IF(INDEX(Rules!$K$2:$K$60,$D80)="","",INDEX(Rules!$K$2:$K$60,$D80))</f>
        <v>wages, includes E04's $200 travel claim</v>
      </c>
      <c r="AB80" s="60" t="str">
        <f>IF(SUMPRODUCT((R80:W80&lt;&gt;"")*(ISNUMBER(SEARCH(Raw_Data!E80,R80:W80))+ISNUMBER(SEARCH(R80:W80,Raw_Data!E80))))&gt;0,"OK","CHECK")</f>
        <v>OK</v>
      </c>
    </row>
    <row r="81">
      <c r="A81" s="60" t="str">
        <f>Raw_Data!A81</f>
        <v>VVV-2024-080</v>
      </c>
      <c r="B81" s="60">
        <f>Raw_Data!D81</f>
        <v>9000</v>
      </c>
      <c r="C81" s="60" t="str">
        <f>LOWER(Raw_Data!C81&amp;" | "&amp;Raw_Data!F81)</f>
        <v>bank loan instalment and interest paid | $7,500 principal and $1,500 interest; bank transfer</v>
      </c>
      <c r="D81" s="60">
        <f t="array" ref="D81">MATCH(1,ISNUMBER(SEARCH(Rules!$A$2:$A$60,C81))*(Rules!$A$2:$A$60&lt;&gt;""),0)</f>
        <v>18</v>
      </c>
      <c r="E81" s="60" t="str">
        <f t="array" ref="E81">INDEX(Rules!$A$2:$A$60,D81)</f>
        <v>loan instalment</v>
      </c>
      <c r="F81" s="60">
        <f t="shared" si="1"/>
        <v>9000</v>
      </c>
      <c r="G81" s="60">
        <f>IFERROR(__xludf.DUMMYFUNCTION("IFERROR(VALUE(SUBSTITUTE(REGEXEXTRACT(Raw_Data!J81,""Cost of goods sold: \$([\d,]+)""),"","","""")),0)"),0.0)</f>
        <v>0</v>
      </c>
      <c r="H81" s="60">
        <f>IFERROR(__xludf.DUMMYFUNCTION("IFERROR(VALUE(SUBSTITUTE(REGEXEXTRACT(Raw_Data!J81,""withheld a \$([\d,]+) fee""),"","","""")),0)"),0.0)</f>
        <v>0</v>
      </c>
      <c r="I81" s="60">
        <f t="shared" si="2"/>
        <v>9000</v>
      </c>
      <c r="J81" s="60">
        <f>IFERROR(__xludf.DUMMYFUNCTION("IFERROR(VALUE(SUBSTITUTE(REGEXEXTRACT(Raw_Data!J81,""(?i)interest \$([\d,]+)""),"","","""")),0)"),1500.0)</f>
        <v>1500</v>
      </c>
      <c r="K81" s="60">
        <f t="shared" si="3"/>
        <v>7500</v>
      </c>
      <c r="L81" s="60">
        <f>IFERROR(__xludf.DUMMYFUNCTION("IFERROR(VALUE(SUBSTITUTE(REGEXEXTRACT(Raw_Data!F81,""\$([\d,]+) prior deposit applied""),"","","""")),0)"),0.0)</f>
        <v>0</v>
      </c>
      <c r="M81" s="60">
        <f t="shared" si="4"/>
        <v>9000</v>
      </c>
      <c r="N81" s="60">
        <f>IFERROR(__xludf.DUMMYFUNCTION("IFERROR(VALUE(SUBSTITUTE(REGEXEXTRACT(Raw_Data!F81,""^\$([\d,]+) cash""),"","","""")),0)"),0.0)</f>
        <v>0</v>
      </c>
      <c r="O81" s="60">
        <f t="shared" si="5"/>
        <v>9000</v>
      </c>
      <c r="P81" s="60">
        <f>IFERROR(__xludf.DUMMYFUNCTION("IFERROR(VALUE(SUBSTITUTE(REGEXEXTRACT(Raw_Data!J81,""labour \d+ h at \$\d+/h: \$([\d,]+)""),"","","""")),0)"),0.0)</f>
        <v>0</v>
      </c>
      <c r="Q81" s="60">
        <f t="shared" si="6"/>
        <v>9000</v>
      </c>
      <c r="R81" s="60" t="str">
        <f t="array" ref="R81">IF(INDEX(Rules!$B$2:$B$60,$D81)="","",INDEX(Rules!$B$2:$B$60,$D81))</f>
        <v>Notes Payable</v>
      </c>
      <c r="S81" s="60" t="str">
        <f t="array" ref="S81">IF(INDEX(Rules!$E$2:$E$60,$D81)="","",INDEX(Rules!$E$2:$E$60,$D81))</f>
        <v>Interest Expense</v>
      </c>
      <c r="T81" s="60" t="str">
        <f t="array" ref="T81">IF(INDEX(Rules!$H$2:$H$60,$D81)="","",INDEX(Rules!$H$2:$H$60,$D81))</f>
        <v/>
      </c>
      <c r="U81" s="60" t="str">
        <f t="array" ref="U81">IF(INDEX(Rules!$C$2:$C$60,$D81)="","",INDEX(Rules!$C$2:$C$60,$D81))</f>
        <v>Cash</v>
      </c>
      <c r="V81" s="60" t="str">
        <f t="array" ref="V81">IF(INDEX(Rules!$F$2:$F$60,$D81)="","",INDEX(Rules!$F$2:$F$60,$D81))</f>
        <v>Cash</v>
      </c>
      <c r="W81" s="60" t="str">
        <f t="array" ref="W81">IF(INDEX(Rules!$I$2:$I$60,$D81)="","",INDEX(Rules!$I$2:$I$60,$D81))</f>
        <v/>
      </c>
      <c r="X81" s="60">
        <f t="array" ref="X81">IF(R81="","",INDEX($F81:$Q81,MATCH(INDEX(Rules!$D$2:$D$60,$D81),$F$1:$Q$1,0)))</f>
        <v>7500</v>
      </c>
      <c r="Y81" s="60">
        <f t="array" ref="Y81">IF(S81="","",INDEX($F81:$Q81,MATCH(INDEX(Rules!$G$2:$G$60,$D81),$F$1:$Q$1,0)))</f>
        <v>1500</v>
      </c>
      <c r="Z81" s="60" t="str">
        <f t="array" ref="Z81">IF(T81="","",INDEX($F81:$Q81,MATCH(INDEX(Rules!$J$2:$J$60,$D81),$F$1:$Q$1,0)))</f>
        <v/>
      </c>
      <c r="AA81" s="60" t="str">
        <f t="array" ref="AA81">IF(INDEX(Rules!$K$2:$K$60,$D81)="","",INDEX(Rules!$K$2:$K$60,$D81))</f>
        <v>principal pays back the loan, only the interest is an expense</v>
      </c>
      <c r="AB81" s="60" t="str">
        <f>IF(SUMPRODUCT((R81:W81&lt;&gt;"")*(ISNUMBER(SEARCH(Raw_Data!E81,R81:W81))+ISNUMBER(SEARCH(R81:W81,Raw_Data!E81))))&gt;0,"OK","CHECK")</f>
        <v>OK</v>
      </c>
    </row>
    <row r="82">
      <c r="A82" s="60" t="str">
        <f>Raw_Data!A82</f>
        <v>VVV-2024-081</v>
      </c>
      <c r="B82" s="60">
        <f>Raw_Data!D82</f>
        <v>1354</v>
      </c>
      <c r="C82" s="60" t="str">
        <f>LOWER(Raw_Data!C82&amp;" | "&amp;Raw_Data!F82)</f>
        <v>monthly utility settlement | paid from business bank account</v>
      </c>
      <c r="D82" s="60">
        <f t="array" ref="D82">MATCH(1,ISNUMBER(SEARCH(Rules!$A$2:$A$60,C82))*(Rules!$A$2:$A$60&lt;&gt;""),0)</f>
        <v>24</v>
      </c>
      <c r="E82" s="60" t="str">
        <f t="array" ref="E82">INDEX(Rules!$A$2:$A$60,D82)</f>
        <v>utility</v>
      </c>
      <c r="F82" s="60">
        <f t="shared" si="1"/>
        <v>1354</v>
      </c>
      <c r="G82" s="60">
        <f>IFERROR(__xludf.DUMMYFUNCTION("IFERROR(VALUE(SUBSTITUTE(REGEXEXTRACT(Raw_Data!J82,""Cost of goods sold: \$([\d,]+)""),"","","""")),0)"),0.0)</f>
        <v>0</v>
      </c>
      <c r="H82" s="60">
        <f>IFERROR(__xludf.DUMMYFUNCTION("IFERROR(VALUE(SUBSTITUTE(REGEXEXTRACT(Raw_Data!J82,""withheld a \$([\d,]+) fee""),"","","""")),0)"),0.0)</f>
        <v>0</v>
      </c>
      <c r="I82" s="60">
        <f t="shared" si="2"/>
        <v>1354</v>
      </c>
      <c r="J82" s="60">
        <f>IFERROR(__xludf.DUMMYFUNCTION("IFERROR(VALUE(SUBSTITUTE(REGEXEXTRACT(Raw_Data!J82,""(?i)interest \$([\d,]+)""),"","","""")),0)"),0.0)</f>
        <v>0</v>
      </c>
      <c r="K82" s="60">
        <f t="shared" si="3"/>
        <v>1354</v>
      </c>
      <c r="L82" s="60">
        <f>IFERROR(__xludf.DUMMYFUNCTION("IFERROR(VALUE(SUBSTITUTE(REGEXEXTRACT(Raw_Data!F82,""\$([\d,]+) prior deposit applied""),"","","""")),0)"),0.0)</f>
        <v>0</v>
      </c>
      <c r="M82" s="60">
        <f t="shared" si="4"/>
        <v>1354</v>
      </c>
      <c r="N82" s="60">
        <f>IFERROR(__xludf.DUMMYFUNCTION("IFERROR(VALUE(SUBSTITUTE(REGEXEXTRACT(Raw_Data!F82,""^\$([\d,]+) cash""),"","","""")),0)"),0.0)</f>
        <v>0</v>
      </c>
      <c r="O82" s="60">
        <f t="shared" si="5"/>
        <v>1354</v>
      </c>
      <c r="P82" s="60">
        <f>IFERROR(__xludf.DUMMYFUNCTION("IFERROR(VALUE(SUBSTITUTE(REGEXEXTRACT(Raw_Data!J82,""labour \d+ h at \$\d+/h: \$([\d,]+)""),"","","""")),0)"),0.0)</f>
        <v>0</v>
      </c>
      <c r="Q82" s="60">
        <f t="shared" si="6"/>
        <v>1354</v>
      </c>
      <c r="R82" s="60" t="str">
        <f t="array" ref="R82">IF(INDEX(Rules!$B$2:$B$60,$D82)="","",INDEX(Rules!$B$2:$B$60,$D82))</f>
        <v>Utilities Expense</v>
      </c>
      <c r="S82" s="60" t="str">
        <f t="array" ref="S82">IF(INDEX(Rules!$E$2:$E$60,$D82)="","",INDEX(Rules!$E$2:$E$60,$D82))</f>
        <v/>
      </c>
      <c r="T82" s="60" t="str">
        <f t="array" ref="T82">IF(INDEX(Rules!$H$2:$H$60,$D82)="","",INDEX(Rules!$H$2:$H$60,$D82))</f>
        <v/>
      </c>
      <c r="U82" s="60" t="str">
        <f t="array" ref="U82">IF(INDEX(Rules!$C$2:$C$60,$D82)="","",INDEX(Rules!$C$2:$C$60,$D82))</f>
        <v>Cash</v>
      </c>
      <c r="V82" s="60" t="str">
        <f t="array" ref="V82">IF(INDEX(Rules!$F$2:$F$60,$D82)="","",INDEX(Rules!$F$2:$F$60,$D82))</f>
        <v/>
      </c>
      <c r="W82" s="60" t="str">
        <f t="array" ref="W82">IF(INDEX(Rules!$I$2:$I$60,$D82)="","",INDEX(Rules!$I$2:$I$60,$D82))</f>
        <v/>
      </c>
      <c r="X82" s="60">
        <f t="array" ref="X82">IF(R82="","",INDEX($F82:$Q82,MATCH(INDEX(Rules!$D$2:$D$60,$D82),$F$1:$Q$1,0)))</f>
        <v>1354</v>
      </c>
      <c r="Y82" s="60" t="str">
        <f t="array" ref="Y82">IF(S82="","",INDEX($F82:$Q82,MATCH(INDEX(Rules!$G$2:$G$60,$D82),$F$1:$Q$1,0)))</f>
        <v/>
      </c>
      <c r="Z82" s="60" t="str">
        <f t="array" ref="Z82">IF(T82="","",INDEX($F82:$Q82,MATCH(INDEX(Rules!$J$2:$J$60,$D82),$F$1:$Q$1,0)))</f>
        <v/>
      </c>
      <c r="AA82" s="60" t="str">
        <f t="array" ref="AA82">IF(INDEX(Rules!$K$2:$K$60,$D82)="","",INDEX(Rules!$K$2:$K$60,$D82))</f>
        <v>monthly utilities</v>
      </c>
      <c r="AB82" s="60" t="str">
        <f>IF(SUMPRODUCT((R82:W82&lt;&gt;"")*(ISNUMBER(SEARCH(Raw_Data!E82,R82:W82))+ISNUMBER(SEARCH(R82:W82,Raw_Data!E82))))&gt;0,"OK","CHECK")</f>
        <v>OK</v>
      </c>
    </row>
    <row r="83">
      <c r="A83" s="60" t="str">
        <f>Raw_Data!A83</f>
        <v>VVV-2024-082</v>
      </c>
      <c r="B83" s="60">
        <f>Raw_Data!D83</f>
        <v>5400</v>
      </c>
      <c r="C83" s="60" t="str">
        <f>LOWER(Raw_Data!C83&amp;" | "&amp;Raw_Data!F83)</f>
        <v>monthly facility rent | automatic bank transfer; settled</v>
      </c>
      <c r="D83" s="60">
        <f t="array" ref="D83">MATCH(1,ISNUMBER(SEARCH(Rules!$A$2:$A$60,C83))*(Rules!$A$2:$A$60&lt;&gt;""),0)</f>
        <v>15</v>
      </c>
      <c r="E83" s="60" t="str">
        <f t="array" ref="E83">INDEX(Rules!$A$2:$A$60,D83)</f>
        <v>facility rent</v>
      </c>
      <c r="F83" s="60">
        <f t="shared" si="1"/>
        <v>5400</v>
      </c>
      <c r="G83" s="60">
        <f>IFERROR(__xludf.DUMMYFUNCTION("IFERROR(VALUE(SUBSTITUTE(REGEXEXTRACT(Raw_Data!J83,""Cost of goods sold: \$([\d,]+)""),"","","""")),0)"),0.0)</f>
        <v>0</v>
      </c>
      <c r="H83" s="60">
        <f>IFERROR(__xludf.DUMMYFUNCTION("IFERROR(VALUE(SUBSTITUTE(REGEXEXTRACT(Raw_Data!J83,""withheld a \$([\d,]+) fee""),"","","""")),0)"),0.0)</f>
        <v>0</v>
      </c>
      <c r="I83" s="60">
        <f t="shared" si="2"/>
        <v>5400</v>
      </c>
      <c r="J83" s="60">
        <f>IFERROR(__xludf.DUMMYFUNCTION("IFERROR(VALUE(SUBSTITUTE(REGEXEXTRACT(Raw_Data!J83,""(?i)interest \$([\d,]+)""),"","","""")),0)"),0.0)</f>
        <v>0</v>
      </c>
      <c r="K83" s="60">
        <f t="shared" si="3"/>
        <v>5400</v>
      </c>
      <c r="L83" s="60">
        <f>IFERROR(__xludf.DUMMYFUNCTION("IFERROR(VALUE(SUBSTITUTE(REGEXEXTRACT(Raw_Data!F83,""\$([\d,]+) prior deposit applied""),"","","""")),0)"),0.0)</f>
        <v>0</v>
      </c>
      <c r="M83" s="60">
        <f t="shared" si="4"/>
        <v>5400</v>
      </c>
      <c r="N83" s="60">
        <f>IFERROR(__xludf.DUMMYFUNCTION("IFERROR(VALUE(SUBSTITUTE(REGEXEXTRACT(Raw_Data!F83,""^\$([\d,]+) cash""),"","","""")),0)"),0.0)</f>
        <v>0</v>
      </c>
      <c r="O83" s="60">
        <f t="shared" si="5"/>
        <v>5400</v>
      </c>
      <c r="P83" s="60">
        <f>IFERROR(__xludf.DUMMYFUNCTION("IFERROR(VALUE(SUBSTITUTE(REGEXEXTRACT(Raw_Data!J83,""labour \d+ h at \$\d+/h: \$([\d,]+)""),"","","""")),0)"),0.0)</f>
        <v>0</v>
      </c>
      <c r="Q83" s="60">
        <f t="shared" si="6"/>
        <v>5400</v>
      </c>
      <c r="R83" s="60" t="str">
        <f t="array" ref="R83">IF(INDEX(Rules!$B$2:$B$60,$D83)="","",INDEX(Rules!$B$2:$B$60,$D83))</f>
        <v>Rent Expense</v>
      </c>
      <c r="S83" s="60" t="str">
        <f t="array" ref="S83">IF(INDEX(Rules!$E$2:$E$60,$D83)="","",INDEX(Rules!$E$2:$E$60,$D83))</f>
        <v/>
      </c>
      <c r="T83" s="60" t="str">
        <f t="array" ref="T83">IF(INDEX(Rules!$H$2:$H$60,$D83)="","",INDEX(Rules!$H$2:$H$60,$D83))</f>
        <v/>
      </c>
      <c r="U83" s="60" t="str">
        <f t="array" ref="U83">IF(INDEX(Rules!$C$2:$C$60,$D83)="","",INDEX(Rules!$C$2:$C$60,$D83))</f>
        <v>Cash</v>
      </c>
      <c r="V83" s="60" t="str">
        <f t="array" ref="V83">IF(INDEX(Rules!$F$2:$F$60,$D83)="","",INDEX(Rules!$F$2:$F$60,$D83))</f>
        <v/>
      </c>
      <c r="W83" s="60" t="str">
        <f t="array" ref="W83">IF(INDEX(Rules!$I$2:$I$60,$D83)="","",INDEX(Rules!$I$2:$I$60,$D83))</f>
        <v/>
      </c>
      <c r="X83" s="60">
        <f t="array" ref="X83">IF(R83="","",INDEX($F83:$Q83,MATCH(INDEX(Rules!$D$2:$D$60,$D83),$F$1:$Q$1,0)))</f>
        <v>5400</v>
      </c>
      <c r="Y83" s="60" t="str">
        <f t="array" ref="Y83">IF(S83="","",INDEX($F83:$Q83,MATCH(INDEX(Rules!$G$2:$G$60,$D83),$F$1:$Q$1,0)))</f>
        <v/>
      </c>
      <c r="Z83" s="60" t="str">
        <f t="array" ref="Z83">IF(T83="","",INDEX($F83:$Q83,MATCH(INDEX(Rules!$J$2:$J$60,$D83),$F$1:$Q$1,0)))</f>
        <v/>
      </c>
      <c r="AA83" s="60" t="str">
        <f t="array" ref="AA83">IF(INDEX(Rules!$K$2:$K$60,$D83)="","",INDEX(Rules!$K$2:$K$60,$D83))</f>
        <v>monthly rent</v>
      </c>
      <c r="AB83" s="60" t="str">
        <f>IF(SUMPRODUCT((R83:W83&lt;&gt;"")*(ISNUMBER(SEARCH(Raw_Data!E83,R83:W83))+ISNUMBER(SEARCH(R83:W83,Raw_Data!E83))))&gt;0,"OK","CHECK")</f>
        <v>OK</v>
      </c>
    </row>
    <row r="84">
      <c r="A84" s="60" t="str">
        <f>Raw_Data!A84</f>
        <v>VVV-2024-083</v>
      </c>
      <c r="B84" s="60">
        <f>Raw_Data!D84</f>
        <v>600</v>
      </c>
      <c r="C84" s="60" t="str">
        <f>LOWER(Raw_Data!C84&amp;" | "&amp;Raw_Data!F84)</f>
        <v>monthly business insurance premium | automatic bank transfer; settled</v>
      </c>
      <c r="D84" s="60">
        <f t="array" ref="D84">MATCH(1,ISNUMBER(SEARCH(Rules!$A$2:$A$60,C84))*(Rules!$A$2:$A$60&lt;&gt;""),0)</f>
        <v>20</v>
      </c>
      <c r="E84" s="60" t="str">
        <f t="array" ref="E84">INDEX(Rules!$A$2:$A$60,D84)</f>
        <v>insurance</v>
      </c>
      <c r="F84" s="60">
        <f t="shared" si="1"/>
        <v>600</v>
      </c>
      <c r="G84" s="60">
        <f>IFERROR(__xludf.DUMMYFUNCTION("IFERROR(VALUE(SUBSTITUTE(REGEXEXTRACT(Raw_Data!J84,""Cost of goods sold: \$([\d,]+)""),"","","""")),0)"),0.0)</f>
        <v>0</v>
      </c>
      <c r="H84" s="60">
        <f>IFERROR(__xludf.DUMMYFUNCTION("IFERROR(VALUE(SUBSTITUTE(REGEXEXTRACT(Raw_Data!J84,""withheld a \$([\d,]+) fee""),"","","""")),0)"),0.0)</f>
        <v>0</v>
      </c>
      <c r="I84" s="60">
        <f t="shared" si="2"/>
        <v>600</v>
      </c>
      <c r="J84" s="60">
        <f>IFERROR(__xludf.DUMMYFUNCTION("IFERROR(VALUE(SUBSTITUTE(REGEXEXTRACT(Raw_Data!J84,""(?i)interest \$([\d,]+)""),"","","""")),0)"),0.0)</f>
        <v>0</v>
      </c>
      <c r="K84" s="60">
        <f t="shared" si="3"/>
        <v>600</v>
      </c>
      <c r="L84" s="60">
        <f>IFERROR(__xludf.DUMMYFUNCTION("IFERROR(VALUE(SUBSTITUTE(REGEXEXTRACT(Raw_Data!F84,""\$([\d,]+) prior deposit applied""),"","","""")),0)"),0.0)</f>
        <v>0</v>
      </c>
      <c r="M84" s="60">
        <f t="shared" si="4"/>
        <v>600</v>
      </c>
      <c r="N84" s="60">
        <f>IFERROR(__xludf.DUMMYFUNCTION("IFERROR(VALUE(SUBSTITUTE(REGEXEXTRACT(Raw_Data!F84,""^\$([\d,]+) cash""),"","","""")),0)"),0.0)</f>
        <v>0</v>
      </c>
      <c r="O84" s="60">
        <f t="shared" si="5"/>
        <v>600</v>
      </c>
      <c r="P84" s="60">
        <f>IFERROR(__xludf.DUMMYFUNCTION("IFERROR(VALUE(SUBSTITUTE(REGEXEXTRACT(Raw_Data!J84,""labour \d+ h at \$\d+/h: \$([\d,]+)""),"","","""")),0)"),0.0)</f>
        <v>0</v>
      </c>
      <c r="Q84" s="60">
        <f t="shared" si="6"/>
        <v>600</v>
      </c>
      <c r="R84" s="60" t="str">
        <f t="array" ref="R84">IF(INDEX(Rules!$B$2:$B$60,$D84)="","",INDEX(Rules!$B$2:$B$60,$D84))</f>
        <v>Insurance Expense</v>
      </c>
      <c r="S84" s="60" t="str">
        <f t="array" ref="S84">IF(INDEX(Rules!$E$2:$E$60,$D84)="","",INDEX(Rules!$E$2:$E$60,$D84))</f>
        <v/>
      </c>
      <c r="T84" s="60" t="str">
        <f t="array" ref="T84">IF(INDEX(Rules!$H$2:$H$60,$D84)="","",INDEX(Rules!$H$2:$H$60,$D84))</f>
        <v/>
      </c>
      <c r="U84" s="60" t="str">
        <f t="array" ref="U84">IF(INDEX(Rules!$C$2:$C$60,$D84)="","",INDEX(Rules!$C$2:$C$60,$D84))</f>
        <v>Cash</v>
      </c>
      <c r="V84" s="60" t="str">
        <f t="array" ref="V84">IF(INDEX(Rules!$F$2:$F$60,$D84)="","",INDEX(Rules!$F$2:$F$60,$D84))</f>
        <v/>
      </c>
      <c r="W84" s="60" t="str">
        <f t="array" ref="W84">IF(INDEX(Rules!$I$2:$I$60,$D84)="","",INDEX(Rules!$I$2:$I$60,$D84))</f>
        <v/>
      </c>
      <c r="X84" s="60">
        <f t="array" ref="X84">IF(R84="","",INDEX($F84:$Q84,MATCH(INDEX(Rules!$D$2:$D$60,$D84),$F$1:$Q$1,0)))</f>
        <v>600</v>
      </c>
      <c r="Y84" s="60" t="str">
        <f t="array" ref="Y84">IF(S84="","",INDEX($F84:$Q84,MATCH(INDEX(Rules!$G$2:$G$60,$D84),$F$1:$Q$1,0)))</f>
        <v/>
      </c>
      <c r="Z84" s="60" t="str">
        <f t="array" ref="Z84">IF(T84="","",INDEX($F84:$Q84,MATCH(INDEX(Rules!$J$2:$J$60,$D84),$F$1:$Q$1,0)))</f>
        <v/>
      </c>
      <c r="AA84" s="60" t="str">
        <f t="array" ref="AA84">IF(INDEX(Rules!$K$2:$K$60,$D84)="","",INDEX(Rules!$K$2:$K$60,$D84))</f>
        <v>monthly insurance</v>
      </c>
      <c r="AB84" s="60" t="str">
        <f>IF(SUMPRODUCT((R84:W84&lt;&gt;"")*(ISNUMBER(SEARCH(Raw_Data!E84,R84:W84))+ISNUMBER(SEARCH(R84:W84,Raw_Data!E84))))&gt;0,"OK","CHECK")</f>
        <v>OK</v>
      </c>
    </row>
    <row r="85">
      <c r="A85" s="60" t="str">
        <f>Raw_Data!A85</f>
        <v>VVV-2024-084</v>
      </c>
      <c r="B85" s="60">
        <f>Raw_Data!D85</f>
        <v>15000</v>
      </c>
      <c r="C85" s="60" t="str">
        <f>LOWER(Raw_Data!C85&amp;" | "&amp;Raw_Data!F85)</f>
        <v>equipment rental receipts batch | cash and card receipts; settled</v>
      </c>
      <c r="D85" s="60">
        <f t="array" ref="D85">MATCH(1,ISNUMBER(SEARCH(Rules!$A$2:$A$60,C85))*(Rules!$A$2:$A$60&lt;&gt;""),0)</f>
        <v>26</v>
      </c>
      <c r="E85" s="60" t="str">
        <f t="array" ref="E85">INDEX(Rules!$A$2:$A$60,D85)</f>
        <v>rental receipts</v>
      </c>
      <c r="F85" s="60">
        <f t="shared" si="1"/>
        <v>15000</v>
      </c>
      <c r="G85" s="60">
        <f>IFERROR(__xludf.DUMMYFUNCTION("IFERROR(VALUE(SUBSTITUTE(REGEXEXTRACT(Raw_Data!J85,""Cost of goods sold: \$([\d,]+)""),"","","""")),0)"),0.0)</f>
        <v>0</v>
      </c>
      <c r="H85" s="60">
        <f>IFERROR(__xludf.DUMMYFUNCTION("IFERROR(VALUE(SUBSTITUTE(REGEXEXTRACT(Raw_Data!J85,""withheld a \$([\d,]+) fee""),"","","""")),0)"),0.0)</f>
        <v>0</v>
      </c>
      <c r="I85" s="60">
        <f t="shared" si="2"/>
        <v>15000</v>
      </c>
      <c r="J85" s="60">
        <f>IFERROR(__xludf.DUMMYFUNCTION("IFERROR(VALUE(SUBSTITUTE(REGEXEXTRACT(Raw_Data!J85,""(?i)interest \$([\d,]+)""),"","","""")),0)"),0.0)</f>
        <v>0</v>
      </c>
      <c r="K85" s="60">
        <f t="shared" si="3"/>
        <v>15000</v>
      </c>
      <c r="L85" s="60">
        <f>IFERROR(__xludf.DUMMYFUNCTION("IFERROR(VALUE(SUBSTITUTE(REGEXEXTRACT(Raw_Data!F85,""\$([\d,]+) prior deposit applied""),"","","""")),0)"),0.0)</f>
        <v>0</v>
      </c>
      <c r="M85" s="60">
        <f t="shared" si="4"/>
        <v>15000</v>
      </c>
      <c r="N85" s="60">
        <f>IFERROR(__xludf.DUMMYFUNCTION("IFERROR(VALUE(SUBSTITUTE(REGEXEXTRACT(Raw_Data!F85,""^\$([\d,]+) cash""),"","","""")),0)"),0.0)</f>
        <v>0</v>
      </c>
      <c r="O85" s="60">
        <f t="shared" si="5"/>
        <v>15000</v>
      </c>
      <c r="P85" s="60">
        <f>IFERROR(__xludf.DUMMYFUNCTION("IFERROR(VALUE(SUBSTITUTE(REGEXEXTRACT(Raw_Data!J85,""labour \d+ h at \$\d+/h: \$([\d,]+)""),"","","""")),0)"),0.0)</f>
        <v>0</v>
      </c>
      <c r="Q85" s="60">
        <f t="shared" si="6"/>
        <v>15000</v>
      </c>
      <c r="R85" s="60" t="str">
        <f t="array" ref="R85">IF(INDEX(Rules!$B$2:$B$60,$D85)="","",INDEX(Rules!$B$2:$B$60,$D85))</f>
        <v>Cash</v>
      </c>
      <c r="S85" s="60" t="str">
        <f t="array" ref="S85">IF(INDEX(Rules!$E$2:$E$60,$D85)="","",INDEX(Rules!$E$2:$E$60,$D85))</f>
        <v/>
      </c>
      <c r="T85" s="60" t="str">
        <f t="array" ref="T85">IF(INDEX(Rules!$H$2:$H$60,$D85)="","",INDEX(Rules!$H$2:$H$60,$D85))</f>
        <v/>
      </c>
      <c r="U85" s="60" t="str">
        <f t="array" ref="U85">IF(INDEX(Rules!$C$2:$C$60,$D85)="","",INDEX(Rules!$C$2:$C$60,$D85))</f>
        <v>Equipment Rental Revenue</v>
      </c>
      <c r="V85" s="60" t="str">
        <f t="array" ref="V85">IF(INDEX(Rules!$F$2:$F$60,$D85)="","",INDEX(Rules!$F$2:$F$60,$D85))</f>
        <v/>
      </c>
      <c r="W85" s="60" t="str">
        <f t="array" ref="W85">IF(INDEX(Rules!$I$2:$I$60,$D85)="","",INDEX(Rules!$I$2:$I$60,$D85))</f>
        <v/>
      </c>
      <c r="X85" s="60">
        <f t="array" ref="X85">IF(R85="","",INDEX($F85:$Q85,MATCH(INDEX(Rules!$D$2:$D$60,$D85),$F$1:$Q$1,0)))</f>
        <v>15000</v>
      </c>
      <c r="Y85" s="60" t="str">
        <f t="array" ref="Y85">IF(S85="","",INDEX($F85:$Q85,MATCH(INDEX(Rules!$G$2:$G$60,$D85),$F$1:$Q$1,0)))</f>
        <v/>
      </c>
      <c r="Z85" s="60" t="str">
        <f t="array" ref="Z85">IF(T85="","",INDEX($F85:$Q85,MATCH(INDEX(Rules!$J$2:$J$60,$D85),$F$1:$Q$1,0)))</f>
        <v/>
      </c>
      <c r="AA85" s="60" t="str">
        <f t="array" ref="AA85">IF(INDEX(Rules!$K$2:$K$60,$D85)="","",INDEX(Rules!$K$2:$K$60,$D85))</f>
        <v>rentals done and paid</v>
      </c>
      <c r="AB85" s="60" t="str">
        <f>IF(SUMPRODUCT((R85:W85&lt;&gt;"")*(ISNUMBER(SEARCH(Raw_Data!E85,R85:W85))+ISNUMBER(SEARCH(R85:W85,Raw_Data!E85))))&gt;0,"OK","CHECK")</f>
        <v>OK</v>
      </c>
    </row>
    <row r="86">
      <c r="A86" s="60" t="str">
        <f>Raw_Data!A86</f>
        <v>VVV-2024-085</v>
      </c>
      <c r="B86" s="60">
        <f>Raw_Data!D86</f>
        <v>9000</v>
      </c>
      <c r="C86" s="60" t="str">
        <f>LOWER(Raw_Data!C86&amp;" | "&amp;Raw_Data!F86)</f>
        <v>retail camping-supply sales | cash and card receipts; settled</v>
      </c>
      <c r="D86" s="60">
        <f t="array" ref="D86">MATCH(1,ISNUMBER(SEARCH(Rules!$A$2:$A$60,C86))*(Rules!$A$2:$A$60&lt;&gt;""),0)</f>
        <v>12</v>
      </c>
      <c r="E86" s="60" t="str">
        <f t="array" ref="E86">INDEX(Rules!$A$2:$A$60,D86)</f>
        <v>camping-supply sales</v>
      </c>
      <c r="F86" s="60">
        <f t="shared" si="1"/>
        <v>9000</v>
      </c>
      <c r="G86" s="60">
        <f>IFERROR(__xludf.DUMMYFUNCTION("IFERROR(VALUE(SUBSTITUTE(REGEXEXTRACT(Raw_Data!J86,""Cost of goods sold: \$([\d,]+)""),"","","""")),0)"),5400.0)</f>
        <v>5400</v>
      </c>
      <c r="H86" s="60">
        <f>IFERROR(__xludf.DUMMYFUNCTION("IFERROR(VALUE(SUBSTITUTE(REGEXEXTRACT(Raw_Data!J86,""withheld a \$([\d,]+) fee""),"","","""")),0)"),0.0)</f>
        <v>0</v>
      </c>
      <c r="I86" s="60">
        <f t="shared" si="2"/>
        <v>9000</v>
      </c>
      <c r="J86" s="60">
        <f>IFERROR(__xludf.DUMMYFUNCTION("IFERROR(VALUE(SUBSTITUTE(REGEXEXTRACT(Raw_Data!J86,""(?i)interest \$([\d,]+)""),"","","""")),0)"),0.0)</f>
        <v>0</v>
      </c>
      <c r="K86" s="60">
        <f t="shared" si="3"/>
        <v>9000</v>
      </c>
      <c r="L86" s="60">
        <f>IFERROR(__xludf.DUMMYFUNCTION("IFERROR(VALUE(SUBSTITUTE(REGEXEXTRACT(Raw_Data!F86,""\$([\d,]+) prior deposit applied""),"","","""")),0)"),0.0)</f>
        <v>0</v>
      </c>
      <c r="M86" s="60">
        <f t="shared" si="4"/>
        <v>9000</v>
      </c>
      <c r="N86" s="60">
        <f>IFERROR(__xludf.DUMMYFUNCTION("IFERROR(VALUE(SUBSTITUTE(REGEXEXTRACT(Raw_Data!F86,""^\$([\d,]+) cash""),"","","""")),0)"),0.0)</f>
        <v>0</v>
      </c>
      <c r="O86" s="60">
        <f t="shared" si="5"/>
        <v>9000</v>
      </c>
      <c r="P86" s="60">
        <f>IFERROR(__xludf.DUMMYFUNCTION("IFERROR(VALUE(SUBSTITUTE(REGEXEXTRACT(Raw_Data!J86,""labour \d+ h at \$\d+/h: \$([\d,]+)""),"","","""")),0)"),0.0)</f>
        <v>0</v>
      </c>
      <c r="Q86" s="60">
        <f t="shared" si="6"/>
        <v>9000</v>
      </c>
      <c r="R86" s="60" t="str">
        <f t="array" ref="R86">IF(INDEX(Rules!$B$2:$B$60,$D86)="","",INDEX(Rules!$B$2:$B$60,$D86))</f>
        <v>Cash</v>
      </c>
      <c r="S86" s="60" t="str">
        <f t="array" ref="S86">IF(INDEX(Rules!$E$2:$E$60,$D86)="","",INDEX(Rules!$E$2:$E$60,$D86))</f>
        <v>Cost of Goods Sold</v>
      </c>
      <c r="T86" s="60" t="str">
        <f t="array" ref="T86">IF(INDEX(Rules!$H$2:$H$60,$D86)="","",INDEX(Rules!$H$2:$H$60,$D86))</f>
        <v/>
      </c>
      <c r="U86" s="60" t="str">
        <f t="array" ref="U86">IF(INDEX(Rules!$C$2:$C$60,$D86)="","",INDEX(Rules!$C$2:$C$60,$D86))</f>
        <v>Retail Sales Revenue</v>
      </c>
      <c r="V86" s="60" t="str">
        <f t="array" ref="V86">IF(INDEX(Rules!$F$2:$F$60,$D86)="","",INDEX(Rules!$F$2:$F$60,$D86))</f>
        <v>Inventory</v>
      </c>
      <c r="W86" s="60" t="str">
        <f t="array" ref="W86">IF(INDEX(Rules!$I$2:$I$60,$D86)="","",INDEX(Rules!$I$2:$I$60,$D86))</f>
        <v/>
      </c>
      <c r="X86" s="60">
        <f t="array" ref="X86">IF(R86="","",INDEX($F86:$Q86,MATCH(INDEX(Rules!$D$2:$D$60,$D86),$F$1:$Q$1,0)))</f>
        <v>9000</v>
      </c>
      <c r="Y86" s="60">
        <f t="array" ref="Y86">IF(S86="","",INDEX($F86:$Q86,MATCH(INDEX(Rules!$G$2:$G$60,$D86),$F$1:$Q$1,0)))</f>
        <v>5400</v>
      </c>
      <c r="Z86" s="60" t="str">
        <f t="array" ref="Z86">IF(T86="","",INDEX($F86:$Q86,MATCH(INDEX(Rules!$J$2:$J$60,$D86),$F$1:$Q$1,0)))</f>
        <v/>
      </c>
      <c r="AA86" s="60" t="str">
        <f t="array" ref="AA86">IF(INDEX(Rules!$K$2:$K$60,$D86)="","",INDEX(Rules!$K$2:$K$60,$D86))</f>
        <v>sale + cost of the goods comes out of inventory (COGS)</v>
      </c>
      <c r="AB86" s="60" t="str">
        <f>IF(SUMPRODUCT((R86:W86&lt;&gt;"")*(ISNUMBER(SEARCH(Raw_Data!E86,R86:W86))+ISNUMBER(SEARCH(R86:W86,Raw_Data!E86))))&gt;0,"OK","CHECK")</f>
        <v>OK</v>
      </c>
    </row>
    <row r="87">
      <c r="A87" s="60" t="str">
        <f>Raw_Data!A87</f>
        <v>VVV-2024-086</v>
      </c>
      <c r="B87" s="60">
        <f>Raw_Data!D87</f>
        <v>12000</v>
      </c>
      <c r="C87" s="60" t="str">
        <f>LOWER(Raw_Data!C87&amp;" | "&amp;Raw_Data!F87)</f>
        <v>guided tour revenue | cash and card receipts; settled</v>
      </c>
      <c r="D87" s="60">
        <f t="array" ref="D87">MATCH(1,ISNUMBER(SEARCH(Rules!$A$2:$A$60,C87))*(Rules!$A$2:$A$60&lt;&gt;""),0)</f>
        <v>32</v>
      </c>
      <c r="E87" s="60" t="str">
        <f t="array" ref="E87">INDEX(Rules!$A$2:$A$60,D87)</f>
        <v>tour revenue</v>
      </c>
      <c r="F87" s="60">
        <f t="shared" si="1"/>
        <v>12000</v>
      </c>
      <c r="G87" s="60">
        <f>IFERROR(__xludf.DUMMYFUNCTION("IFERROR(VALUE(SUBSTITUTE(REGEXEXTRACT(Raw_Data!J87,""Cost of goods sold: \$([\d,]+)""),"","","""")),0)"),0.0)</f>
        <v>0</v>
      </c>
      <c r="H87" s="60">
        <f>IFERROR(__xludf.DUMMYFUNCTION("IFERROR(VALUE(SUBSTITUTE(REGEXEXTRACT(Raw_Data!J87,""withheld a \$([\d,]+) fee""),"","","""")),0)"),0.0)</f>
        <v>0</v>
      </c>
      <c r="I87" s="60">
        <f t="shared" si="2"/>
        <v>12000</v>
      </c>
      <c r="J87" s="60">
        <f>IFERROR(__xludf.DUMMYFUNCTION("IFERROR(VALUE(SUBSTITUTE(REGEXEXTRACT(Raw_Data!J87,""(?i)interest \$([\d,]+)""),"","","""")),0)"),0.0)</f>
        <v>0</v>
      </c>
      <c r="K87" s="60">
        <f t="shared" si="3"/>
        <v>12000</v>
      </c>
      <c r="L87" s="60">
        <f>IFERROR(__xludf.DUMMYFUNCTION("IFERROR(VALUE(SUBSTITUTE(REGEXEXTRACT(Raw_Data!F87,""\$([\d,]+) prior deposit applied""),"","","""")),0)"),0.0)</f>
        <v>0</v>
      </c>
      <c r="M87" s="60">
        <f t="shared" si="4"/>
        <v>12000</v>
      </c>
      <c r="N87" s="60">
        <f>IFERROR(__xludf.DUMMYFUNCTION("IFERROR(VALUE(SUBSTITUTE(REGEXEXTRACT(Raw_Data!F87,""^\$([\d,]+) cash""),"","","""")),0)"),0.0)</f>
        <v>0</v>
      </c>
      <c r="O87" s="60">
        <f t="shared" si="5"/>
        <v>12000</v>
      </c>
      <c r="P87" s="60">
        <f>IFERROR(__xludf.DUMMYFUNCTION("IFERROR(VALUE(SUBSTITUTE(REGEXEXTRACT(Raw_Data!J87,""labour \d+ h at \$\d+/h: \$([\d,]+)""),"","","""")),0)"),0.0)</f>
        <v>0</v>
      </c>
      <c r="Q87" s="60">
        <f t="shared" si="6"/>
        <v>12000</v>
      </c>
      <c r="R87" s="60" t="str">
        <f t="array" ref="R87">IF(INDEX(Rules!$B$2:$B$60,$D87)="","",INDEX(Rules!$B$2:$B$60,$D87))</f>
        <v>Cash</v>
      </c>
      <c r="S87" s="60" t="str">
        <f t="array" ref="S87">IF(INDEX(Rules!$E$2:$E$60,$D87)="","",INDEX(Rules!$E$2:$E$60,$D87))</f>
        <v/>
      </c>
      <c r="T87" s="60" t="str">
        <f t="array" ref="T87">IF(INDEX(Rules!$H$2:$H$60,$D87)="","",INDEX(Rules!$H$2:$H$60,$D87))</f>
        <v/>
      </c>
      <c r="U87" s="60" t="str">
        <f t="array" ref="U87">IF(INDEX(Rules!$C$2:$C$60,$D87)="","",INDEX(Rules!$C$2:$C$60,$D87))</f>
        <v>Tour Revenue</v>
      </c>
      <c r="V87" s="60" t="str">
        <f t="array" ref="V87">IF(INDEX(Rules!$F$2:$F$60,$D87)="","",INDEX(Rules!$F$2:$F$60,$D87))</f>
        <v/>
      </c>
      <c r="W87" s="60" t="str">
        <f t="array" ref="W87">IF(INDEX(Rules!$I$2:$I$60,$D87)="","",INDEX(Rules!$I$2:$I$60,$D87))</f>
        <v/>
      </c>
      <c r="X87" s="60">
        <f t="array" ref="X87">IF(R87="","",INDEX($F87:$Q87,MATCH(INDEX(Rules!$D$2:$D$60,$D87),$F$1:$Q$1,0)))</f>
        <v>12000</v>
      </c>
      <c r="Y87" s="60" t="str">
        <f t="array" ref="Y87">IF(S87="","",INDEX($F87:$Q87,MATCH(INDEX(Rules!$G$2:$G$60,$D87),$F$1:$Q$1,0)))</f>
        <v/>
      </c>
      <c r="Z87" s="60" t="str">
        <f t="array" ref="Z87">IF(T87="","",INDEX($F87:$Q87,MATCH(INDEX(Rules!$J$2:$J$60,$D87),$F$1:$Q$1,0)))</f>
        <v/>
      </c>
      <c r="AA87" s="60" t="str">
        <f t="array" ref="AA87">IF(INDEX(Rules!$K$2:$K$60,$D87)="","",INDEX(Rules!$K$2:$K$60,$D87))</f>
        <v>tours done and paid</v>
      </c>
      <c r="AB87" s="60" t="str">
        <f>IF(SUMPRODUCT((R87:W87&lt;&gt;"")*(ISNUMBER(SEARCH(Raw_Data!E87,R87:W87))+ISNUMBER(SEARCH(R87:W87,Raw_Data!E87))))&gt;0,"OK","CHECK")</f>
        <v>OK</v>
      </c>
    </row>
    <row r="88">
      <c r="A88" s="60" t="str">
        <f>Raw_Data!A88</f>
        <v>VVV-2024-087</v>
      </c>
      <c r="B88" s="60">
        <f>Raw_Data!D88</f>
        <v>4000</v>
      </c>
      <c r="C88" s="60" t="str">
        <f>LOWER(Raw_Data!C88&amp;" | "&amp;Raw_Data!F88)</f>
        <v>collected remaining corporate tour receivables | two bank transfers received</v>
      </c>
      <c r="D88" s="60">
        <f t="array" ref="D88">MATCH(1,ISNUMBER(SEARCH(Rules!$A$2:$A$60,C88))*(Rules!$A$2:$A$60&lt;&gt;""),0)</f>
        <v>30</v>
      </c>
      <c r="E88" s="60" t="str">
        <f t="array" ref="E88">INDEX(Rules!$A$2:$A$60,D88)</f>
        <v>collected</v>
      </c>
      <c r="F88" s="60">
        <f t="shared" si="1"/>
        <v>4000</v>
      </c>
      <c r="G88" s="60">
        <f>IFERROR(__xludf.DUMMYFUNCTION("IFERROR(VALUE(SUBSTITUTE(REGEXEXTRACT(Raw_Data!J88,""Cost of goods sold: \$([\d,]+)""),"","","""")),0)"),0.0)</f>
        <v>0</v>
      </c>
      <c r="H88" s="60">
        <f>IFERROR(__xludf.DUMMYFUNCTION("IFERROR(VALUE(SUBSTITUTE(REGEXEXTRACT(Raw_Data!J88,""withheld a \$([\d,]+) fee""),"","","""")),0)"),0.0)</f>
        <v>0</v>
      </c>
      <c r="I88" s="60">
        <f t="shared" si="2"/>
        <v>4000</v>
      </c>
      <c r="J88" s="60">
        <f>IFERROR(__xludf.DUMMYFUNCTION("IFERROR(VALUE(SUBSTITUTE(REGEXEXTRACT(Raw_Data!J88,""(?i)interest \$([\d,]+)""),"","","""")),0)"),0.0)</f>
        <v>0</v>
      </c>
      <c r="K88" s="60">
        <f t="shared" si="3"/>
        <v>4000</v>
      </c>
      <c r="L88" s="60">
        <f>IFERROR(__xludf.DUMMYFUNCTION("IFERROR(VALUE(SUBSTITUTE(REGEXEXTRACT(Raw_Data!F88,""\$([\d,]+) prior deposit applied""),"","","""")),0)"),0.0)</f>
        <v>0</v>
      </c>
      <c r="M88" s="60">
        <f t="shared" si="4"/>
        <v>4000</v>
      </c>
      <c r="N88" s="60">
        <f>IFERROR(__xludf.DUMMYFUNCTION("IFERROR(VALUE(SUBSTITUTE(REGEXEXTRACT(Raw_Data!F88,""^\$([\d,]+) cash""),"","","""")),0)"),0.0)</f>
        <v>0</v>
      </c>
      <c r="O88" s="60">
        <f t="shared" si="5"/>
        <v>4000</v>
      </c>
      <c r="P88" s="60">
        <f>IFERROR(__xludf.DUMMYFUNCTION("IFERROR(VALUE(SUBSTITUTE(REGEXEXTRACT(Raw_Data!J88,""labour \d+ h at \$\d+/h: \$([\d,]+)""),"","","""")),0)"),0.0)</f>
        <v>0</v>
      </c>
      <c r="Q88" s="60">
        <f t="shared" si="6"/>
        <v>4000</v>
      </c>
      <c r="R88" s="60" t="str">
        <f t="array" ref="R88">IF(INDEX(Rules!$B$2:$B$60,$D88)="","",INDEX(Rules!$B$2:$B$60,$D88))</f>
        <v>Cash</v>
      </c>
      <c r="S88" s="60" t="str">
        <f t="array" ref="S88">IF(INDEX(Rules!$E$2:$E$60,$D88)="","",INDEX(Rules!$E$2:$E$60,$D88))</f>
        <v/>
      </c>
      <c r="T88" s="60" t="str">
        <f t="array" ref="T88">IF(INDEX(Rules!$H$2:$H$60,$D88)="","",INDEX(Rules!$H$2:$H$60,$D88))</f>
        <v/>
      </c>
      <c r="U88" s="60" t="str">
        <f t="array" ref="U88">IF(INDEX(Rules!$C$2:$C$60,$D88)="","",INDEX(Rules!$C$2:$C$60,$D88))</f>
        <v>Accounts Receivable</v>
      </c>
      <c r="V88" s="60" t="str">
        <f t="array" ref="V88">IF(INDEX(Rules!$F$2:$F$60,$D88)="","",INDEX(Rules!$F$2:$F$60,$D88))</f>
        <v/>
      </c>
      <c r="W88" s="60" t="str">
        <f t="array" ref="W88">IF(INDEX(Rules!$I$2:$I$60,$D88)="","",INDEX(Rules!$I$2:$I$60,$D88))</f>
        <v/>
      </c>
      <c r="X88" s="60">
        <f t="array" ref="X88">IF(R88="","",INDEX($F88:$Q88,MATCH(INDEX(Rules!$D$2:$D$60,$D88),$F$1:$Q$1,0)))</f>
        <v>4000</v>
      </c>
      <c r="Y88" s="60" t="str">
        <f t="array" ref="Y88">IF(S88="","",INDEX($F88:$Q88,MATCH(INDEX(Rules!$G$2:$G$60,$D88),$F$1:$Q$1,0)))</f>
        <v/>
      </c>
      <c r="Z88" s="60" t="str">
        <f t="array" ref="Z88">IF(T88="","",INDEX($F88:$Q88,MATCH(INDEX(Rules!$J$2:$J$60,$D88),$F$1:$Q$1,0)))</f>
        <v/>
      </c>
      <c r="AA88" s="60" t="str">
        <f t="array" ref="AA88">IF(INDEX(Rules!$K$2:$K$60,$D88)="","",INDEX(Rules!$K$2:$K$60,$D88))</f>
        <v>customer pays what they owed</v>
      </c>
      <c r="AB88" s="60" t="str">
        <f>IF(SUMPRODUCT((R88:W88&lt;&gt;"")*(ISNUMBER(SEARCH(Raw_Data!E88,R88:W88))+ISNUMBER(SEARCH(R88:W88,Raw_Data!E88))))&gt;0,"OK","CHECK")</f>
        <v>OK</v>
      </c>
    </row>
    <row r="89">
      <c r="A89" s="60" t="str">
        <f>Raw_Data!A89</f>
        <v>VVV-2024-088</v>
      </c>
      <c r="B89" s="60">
        <f>Raw_Data!D89</f>
        <v>7000</v>
      </c>
      <c r="C89" s="60" t="str">
        <f>LOWER(Raw_Data!C89&amp;" | "&amp;Raw_Data!F89)</f>
        <v>seasonal event revenue | cash and card receipts; settled</v>
      </c>
      <c r="D89" s="60">
        <f t="array" ref="D89">MATCH(1,ISNUMBER(SEARCH(Rules!$A$2:$A$60,C89))*(Rules!$A$2:$A$60&lt;&gt;""),0)</f>
        <v>33</v>
      </c>
      <c r="E89" s="60" t="str">
        <f t="array" ref="E89">INDEX(Rules!$A$2:$A$60,D89)</f>
        <v>event revenue</v>
      </c>
      <c r="F89" s="60">
        <f t="shared" si="1"/>
        <v>7000</v>
      </c>
      <c r="G89" s="60">
        <f>IFERROR(__xludf.DUMMYFUNCTION("IFERROR(VALUE(SUBSTITUTE(REGEXEXTRACT(Raw_Data!J89,""Cost of goods sold: \$([\d,]+)""),"","","""")),0)"),0.0)</f>
        <v>0</v>
      </c>
      <c r="H89" s="60">
        <f>IFERROR(__xludf.DUMMYFUNCTION("IFERROR(VALUE(SUBSTITUTE(REGEXEXTRACT(Raw_Data!J89,""withheld a \$([\d,]+) fee""),"","","""")),0)"),0.0)</f>
        <v>0</v>
      </c>
      <c r="I89" s="60">
        <f t="shared" si="2"/>
        <v>7000</v>
      </c>
      <c r="J89" s="60">
        <f>IFERROR(__xludf.DUMMYFUNCTION("IFERROR(VALUE(SUBSTITUTE(REGEXEXTRACT(Raw_Data!J89,""(?i)interest \$([\d,]+)""),"","","""")),0)"),0.0)</f>
        <v>0</v>
      </c>
      <c r="K89" s="60">
        <f t="shared" si="3"/>
        <v>7000</v>
      </c>
      <c r="L89" s="60">
        <f>IFERROR(__xludf.DUMMYFUNCTION("IFERROR(VALUE(SUBSTITUTE(REGEXEXTRACT(Raw_Data!F89,""\$([\d,]+) prior deposit applied""),"","","""")),0)"),0.0)</f>
        <v>0</v>
      </c>
      <c r="M89" s="60">
        <f t="shared" si="4"/>
        <v>7000</v>
      </c>
      <c r="N89" s="60">
        <f>IFERROR(__xludf.DUMMYFUNCTION("IFERROR(VALUE(SUBSTITUTE(REGEXEXTRACT(Raw_Data!F89,""^\$([\d,]+) cash""),"","","""")),0)"),0.0)</f>
        <v>0</v>
      </c>
      <c r="O89" s="60">
        <f t="shared" si="5"/>
        <v>7000</v>
      </c>
      <c r="P89" s="60">
        <f>IFERROR(__xludf.DUMMYFUNCTION("IFERROR(VALUE(SUBSTITUTE(REGEXEXTRACT(Raw_Data!J89,""labour \d+ h at \$\d+/h: \$([\d,]+)""),"","","""")),0)"),0.0)</f>
        <v>0</v>
      </c>
      <c r="Q89" s="60">
        <f t="shared" si="6"/>
        <v>7000</v>
      </c>
      <c r="R89" s="60" t="str">
        <f t="array" ref="R89">IF(INDEX(Rules!$B$2:$B$60,$D89)="","",INDEX(Rules!$B$2:$B$60,$D89))</f>
        <v>Cash</v>
      </c>
      <c r="S89" s="60" t="str">
        <f t="array" ref="S89">IF(INDEX(Rules!$E$2:$E$60,$D89)="","",INDEX(Rules!$E$2:$E$60,$D89))</f>
        <v/>
      </c>
      <c r="T89" s="60" t="str">
        <f t="array" ref="T89">IF(INDEX(Rules!$H$2:$H$60,$D89)="","",INDEX(Rules!$H$2:$H$60,$D89))</f>
        <v/>
      </c>
      <c r="U89" s="60" t="str">
        <f t="array" ref="U89">IF(INDEX(Rules!$C$2:$C$60,$D89)="","",INDEX(Rules!$C$2:$C$60,$D89))</f>
        <v>Event Revenue</v>
      </c>
      <c r="V89" s="60" t="str">
        <f t="array" ref="V89">IF(INDEX(Rules!$F$2:$F$60,$D89)="","",INDEX(Rules!$F$2:$F$60,$D89))</f>
        <v/>
      </c>
      <c r="W89" s="60" t="str">
        <f t="array" ref="W89">IF(INDEX(Rules!$I$2:$I$60,$D89)="","",INDEX(Rules!$I$2:$I$60,$D89))</f>
        <v/>
      </c>
      <c r="X89" s="60">
        <f t="array" ref="X89">IF(R89="","",INDEX($F89:$Q89,MATCH(INDEX(Rules!$D$2:$D$60,$D89),$F$1:$Q$1,0)))</f>
        <v>7000</v>
      </c>
      <c r="Y89" s="60" t="str">
        <f t="array" ref="Y89">IF(S89="","",INDEX($F89:$Q89,MATCH(INDEX(Rules!$G$2:$G$60,$D89),$F$1:$Q$1,0)))</f>
        <v/>
      </c>
      <c r="Z89" s="60" t="str">
        <f t="array" ref="Z89">IF(T89="","",INDEX($F89:$Q89,MATCH(INDEX(Rules!$J$2:$J$60,$D89),$F$1:$Q$1,0)))</f>
        <v/>
      </c>
      <c r="AA89" s="60" t="str">
        <f t="array" ref="AA89">IF(INDEX(Rules!$K$2:$K$60,$D89)="","",INDEX(Rules!$K$2:$K$60,$D89))</f>
        <v>events done and paid</v>
      </c>
      <c r="AB89" s="60" t="str">
        <f>IF(SUMPRODUCT((R89:W89&lt;&gt;"")*(ISNUMBER(SEARCH(Raw_Data!E89,R89:W89))+ISNUMBER(SEARCH(R89:W89,Raw_Data!E89))))&gt;0,"OK","CHECK")</f>
        <v>OK</v>
      </c>
    </row>
    <row r="90">
      <c r="A90" s="60" t="str">
        <f>Raw_Data!A90</f>
        <v>VVV-2024-089</v>
      </c>
      <c r="B90" s="60">
        <f>Raw_Data!D90</f>
        <v>12120</v>
      </c>
      <c r="C90" s="60" t="str">
        <f>LOWER(Raw_Data!C90&amp;" | "&amp;Raw_Data!F90)</f>
        <v>employee payroll settlement | payroll and claims paid from business bank account</v>
      </c>
      <c r="D90" s="60">
        <f t="array" ref="D90">MATCH(1,ISNUMBER(SEARCH(Rules!$A$2:$A$60,C90))*(Rules!$A$2:$A$60&lt;&gt;""),0)</f>
        <v>23</v>
      </c>
      <c r="E90" s="60" t="str">
        <f t="array" ref="E90">INDEX(Rules!$A$2:$A$60,D90)</f>
        <v>payroll</v>
      </c>
      <c r="F90" s="60">
        <f t="shared" si="1"/>
        <v>12120</v>
      </c>
      <c r="G90" s="60">
        <f>IFERROR(__xludf.DUMMYFUNCTION("IFERROR(VALUE(SUBSTITUTE(REGEXEXTRACT(Raw_Data!J90,""Cost of goods sold: \$([\d,]+)""),"","","""")),0)"),0.0)</f>
        <v>0</v>
      </c>
      <c r="H90" s="60">
        <f>IFERROR(__xludf.DUMMYFUNCTION("IFERROR(VALUE(SUBSTITUTE(REGEXEXTRACT(Raw_Data!J90,""withheld a \$([\d,]+) fee""),"","","""")),0)"),0.0)</f>
        <v>0</v>
      </c>
      <c r="I90" s="60">
        <f t="shared" si="2"/>
        <v>12120</v>
      </c>
      <c r="J90" s="60">
        <f>IFERROR(__xludf.DUMMYFUNCTION("IFERROR(VALUE(SUBSTITUTE(REGEXEXTRACT(Raw_Data!J90,""(?i)interest \$([\d,]+)""),"","","""")),0)"),0.0)</f>
        <v>0</v>
      </c>
      <c r="K90" s="60">
        <f t="shared" si="3"/>
        <v>12120</v>
      </c>
      <c r="L90" s="60">
        <f>IFERROR(__xludf.DUMMYFUNCTION("IFERROR(VALUE(SUBSTITUTE(REGEXEXTRACT(Raw_Data!F90,""\$([\d,]+) prior deposit applied""),"","","""")),0)"),0.0)</f>
        <v>0</v>
      </c>
      <c r="M90" s="60">
        <f t="shared" si="4"/>
        <v>12120</v>
      </c>
      <c r="N90" s="60">
        <f>IFERROR(__xludf.DUMMYFUNCTION("IFERROR(VALUE(SUBSTITUTE(REGEXEXTRACT(Raw_Data!F90,""^\$([\d,]+) cash""),"","","""")),0)"),0.0)</f>
        <v>0</v>
      </c>
      <c r="O90" s="60">
        <f t="shared" si="5"/>
        <v>12120</v>
      </c>
      <c r="P90" s="60">
        <f>IFERROR(__xludf.DUMMYFUNCTION("IFERROR(VALUE(SUBSTITUTE(REGEXEXTRACT(Raw_Data!J90,""labour \d+ h at \$\d+/h: \$([\d,]+)""),"","","""")),0)"),0.0)</f>
        <v>0</v>
      </c>
      <c r="Q90" s="60">
        <f t="shared" si="6"/>
        <v>12120</v>
      </c>
      <c r="R90" s="60" t="str">
        <f t="array" ref="R90">IF(INDEX(Rules!$B$2:$B$60,$D90)="","",INDEX(Rules!$B$2:$B$60,$D90))</f>
        <v>Wages Expense</v>
      </c>
      <c r="S90" s="60" t="str">
        <f t="array" ref="S90">IF(INDEX(Rules!$E$2:$E$60,$D90)="","",INDEX(Rules!$E$2:$E$60,$D90))</f>
        <v/>
      </c>
      <c r="T90" s="60" t="str">
        <f t="array" ref="T90">IF(INDEX(Rules!$H$2:$H$60,$D90)="","",INDEX(Rules!$H$2:$H$60,$D90))</f>
        <v/>
      </c>
      <c r="U90" s="60" t="str">
        <f t="array" ref="U90">IF(INDEX(Rules!$C$2:$C$60,$D90)="","",INDEX(Rules!$C$2:$C$60,$D90))</f>
        <v>Cash</v>
      </c>
      <c r="V90" s="60" t="str">
        <f t="array" ref="V90">IF(INDEX(Rules!$F$2:$F$60,$D90)="","",INDEX(Rules!$F$2:$F$60,$D90))</f>
        <v/>
      </c>
      <c r="W90" s="60" t="str">
        <f t="array" ref="W90">IF(INDEX(Rules!$I$2:$I$60,$D90)="","",INDEX(Rules!$I$2:$I$60,$D90))</f>
        <v/>
      </c>
      <c r="X90" s="60">
        <f t="array" ref="X90">IF(R90="","",INDEX($F90:$Q90,MATCH(INDEX(Rules!$D$2:$D$60,$D90),$F$1:$Q$1,0)))</f>
        <v>12120</v>
      </c>
      <c r="Y90" s="60" t="str">
        <f t="array" ref="Y90">IF(S90="","",INDEX($F90:$Q90,MATCH(INDEX(Rules!$G$2:$G$60,$D90),$F$1:$Q$1,0)))</f>
        <v/>
      </c>
      <c r="Z90" s="60" t="str">
        <f t="array" ref="Z90">IF(T90="","",INDEX($F90:$Q90,MATCH(INDEX(Rules!$J$2:$J$60,$D90),$F$1:$Q$1,0)))</f>
        <v/>
      </c>
      <c r="AA90" s="60" t="str">
        <f t="array" ref="AA90">IF(INDEX(Rules!$K$2:$K$60,$D90)="","",INDEX(Rules!$K$2:$K$60,$D90))</f>
        <v>wages, includes E04's $200 travel claim</v>
      </c>
      <c r="AB90" s="60" t="str">
        <f>IF(SUMPRODUCT((R90:W90&lt;&gt;"")*(ISNUMBER(SEARCH(Raw_Data!E90,R90:W90))+ISNUMBER(SEARCH(R90:W90,Raw_Data!E90))))&gt;0,"OK","CHECK")</f>
        <v>OK</v>
      </c>
    </row>
    <row r="91">
      <c r="A91" s="60" t="str">
        <f>Raw_Data!A91</f>
        <v>VVV-2024-090</v>
      </c>
      <c r="B91" s="60">
        <f>Raw_Data!D91</f>
        <v>1227</v>
      </c>
      <c r="C91" s="60" t="str">
        <f>LOWER(Raw_Data!C91&amp;" | "&amp;Raw_Data!F91)</f>
        <v>monthly utility settlement | paid from business bank account</v>
      </c>
      <c r="D91" s="60">
        <f t="array" ref="D91">MATCH(1,ISNUMBER(SEARCH(Rules!$A$2:$A$60,C91))*(Rules!$A$2:$A$60&lt;&gt;""),0)</f>
        <v>24</v>
      </c>
      <c r="E91" s="60" t="str">
        <f t="array" ref="E91">INDEX(Rules!$A$2:$A$60,D91)</f>
        <v>utility</v>
      </c>
      <c r="F91" s="60">
        <f t="shared" si="1"/>
        <v>1227</v>
      </c>
      <c r="G91" s="60">
        <f>IFERROR(__xludf.DUMMYFUNCTION("IFERROR(VALUE(SUBSTITUTE(REGEXEXTRACT(Raw_Data!J91,""Cost of goods sold: \$([\d,]+)""),"","","""")),0)"),0.0)</f>
        <v>0</v>
      </c>
      <c r="H91" s="60">
        <f>IFERROR(__xludf.DUMMYFUNCTION("IFERROR(VALUE(SUBSTITUTE(REGEXEXTRACT(Raw_Data!J91,""withheld a \$([\d,]+) fee""),"","","""")),0)"),0.0)</f>
        <v>0</v>
      </c>
      <c r="I91" s="60">
        <f t="shared" si="2"/>
        <v>1227</v>
      </c>
      <c r="J91" s="60">
        <f>IFERROR(__xludf.DUMMYFUNCTION("IFERROR(VALUE(SUBSTITUTE(REGEXEXTRACT(Raw_Data!J91,""(?i)interest \$([\d,]+)""),"","","""")),0)"),0.0)</f>
        <v>0</v>
      </c>
      <c r="K91" s="60">
        <f t="shared" si="3"/>
        <v>1227</v>
      </c>
      <c r="L91" s="60">
        <f>IFERROR(__xludf.DUMMYFUNCTION("IFERROR(VALUE(SUBSTITUTE(REGEXEXTRACT(Raw_Data!F91,""\$([\d,]+) prior deposit applied""),"","","""")),0)"),0.0)</f>
        <v>0</v>
      </c>
      <c r="M91" s="60">
        <f t="shared" si="4"/>
        <v>1227</v>
      </c>
      <c r="N91" s="60">
        <f>IFERROR(__xludf.DUMMYFUNCTION("IFERROR(VALUE(SUBSTITUTE(REGEXEXTRACT(Raw_Data!F91,""^\$([\d,]+) cash""),"","","""")),0)"),0.0)</f>
        <v>0</v>
      </c>
      <c r="O91" s="60">
        <f t="shared" si="5"/>
        <v>1227</v>
      </c>
      <c r="P91" s="60">
        <f>IFERROR(__xludf.DUMMYFUNCTION("IFERROR(VALUE(SUBSTITUTE(REGEXEXTRACT(Raw_Data!J91,""labour \d+ h at \$\d+/h: \$([\d,]+)""),"","","""")),0)"),0.0)</f>
        <v>0</v>
      </c>
      <c r="Q91" s="60">
        <f t="shared" si="6"/>
        <v>1227</v>
      </c>
      <c r="R91" s="60" t="str">
        <f t="array" ref="R91">IF(INDEX(Rules!$B$2:$B$60,$D91)="","",INDEX(Rules!$B$2:$B$60,$D91))</f>
        <v>Utilities Expense</v>
      </c>
      <c r="S91" s="60" t="str">
        <f t="array" ref="S91">IF(INDEX(Rules!$E$2:$E$60,$D91)="","",INDEX(Rules!$E$2:$E$60,$D91))</f>
        <v/>
      </c>
      <c r="T91" s="60" t="str">
        <f t="array" ref="T91">IF(INDEX(Rules!$H$2:$H$60,$D91)="","",INDEX(Rules!$H$2:$H$60,$D91))</f>
        <v/>
      </c>
      <c r="U91" s="60" t="str">
        <f t="array" ref="U91">IF(INDEX(Rules!$C$2:$C$60,$D91)="","",INDEX(Rules!$C$2:$C$60,$D91))</f>
        <v>Cash</v>
      </c>
      <c r="V91" s="60" t="str">
        <f t="array" ref="V91">IF(INDEX(Rules!$F$2:$F$60,$D91)="","",INDEX(Rules!$F$2:$F$60,$D91))</f>
        <v/>
      </c>
      <c r="W91" s="60" t="str">
        <f t="array" ref="W91">IF(INDEX(Rules!$I$2:$I$60,$D91)="","",INDEX(Rules!$I$2:$I$60,$D91))</f>
        <v/>
      </c>
      <c r="X91" s="60">
        <f t="array" ref="X91">IF(R91="","",INDEX($F91:$Q91,MATCH(INDEX(Rules!$D$2:$D$60,$D91),$F$1:$Q$1,0)))</f>
        <v>1227</v>
      </c>
      <c r="Y91" s="60" t="str">
        <f t="array" ref="Y91">IF(S91="","",INDEX($F91:$Q91,MATCH(INDEX(Rules!$G$2:$G$60,$D91),$F$1:$Q$1,0)))</f>
        <v/>
      </c>
      <c r="Z91" s="60" t="str">
        <f t="array" ref="Z91">IF(T91="","",INDEX($F91:$Q91,MATCH(INDEX(Rules!$J$2:$J$60,$D91),$F$1:$Q$1,0)))</f>
        <v/>
      </c>
      <c r="AA91" s="60" t="str">
        <f t="array" ref="AA91">IF(INDEX(Rules!$K$2:$K$60,$D91)="","",INDEX(Rules!$K$2:$K$60,$D91))</f>
        <v>monthly utilities</v>
      </c>
      <c r="AB91" s="60" t="str">
        <f>IF(SUMPRODUCT((R91:W91&lt;&gt;"")*(ISNUMBER(SEARCH(Raw_Data!E91,R91:W91))+ISNUMBER(SEARCH(R91:W91,Raw_Data!E91))))&gt;0,"OK","CHECK")</f>
        <v>OK</v>
      </c>
    </row>
    <row r="92">
      <c r="A92" s="60" t="str">
        <f>Raw_Data!A92</f>
        <v>VVV-2024-091</v>
      </c>
      <c r="B92" s="60">
        <f>Raw_Data!D92</f>
        <v>5400</v>
      </c>
      <c r="C92" s="60" t="str">
        <f>LOWER(Raw_Data!C92&amp;" | "&amp;Raw_Data!F92)</f>
        <v>monthly facility rent | automatic bank transfer; settled</v>
      </c>
      <c r="D92" s="60">
        <f t="array" ref="D92">MATCH(1,ISNUMBER(SEARCH(Rules!$A$2:$A$60,C92))*(Rules!$A$2:$A$60&lt;&gt;""),0)</f>
        <v>15</v>
      </c>
      <c r="E92" s="60" t="str">
        <f t="array" ref="E92">INDEX(Rules!$A$2:$A$60,D92)</f>
        <v>facility rent</v>
      </c>
      <c r="F92" s="60">
        <f t="shared" si="1"/>
        <v>5400</v>
      </c>
      <c r="G92" s="60">
        <f>IFERROR(__xludf.DUMMYFUNCTION("IFERROR(VALUE(SUBSTITUTE(REGEXEXTRACT(Raw_Data!J92,""Cost of goods sold: \$([\d,]+)""),"","","""")),0)"),0.0)</f>
        <v>0</v>
      </c>
      <c r="H92" s="60">
        <f>IFERROR(__xludf.DUMMYFUNCTION("IFERROR(VALUE(SUBSTITUTE(REGEXEXTRACT(Raw_Data!J92,""withheld a \$([\d,]+) fee""),"","","""")),0)"),0.0)</f>
        <v>0</v>
      </c>
      <c r="I92" s="60">
        <f t="shared" si="2"/>
        <v>5400</v>
      </c>
      <c r="J92" s="60">
        <f>IFERROR(__xludf.DUMMYFUNCTION("IFERROR(VALUE(SUBSTITUTE(REGEXEXTRACT(Raw_Data!J92,""(?i)interest \$([\d,]+)""),"","","""")),0)"),0.0)</f>
        <v>0</v>
      </c>
      <c r="K92" s="60">
        <f t="shared" si="3"/>
        <v>5400</v>
      </c>
      <c r="L92" s="60">
        <f>IFERROR(__xludf.DUMMYFUNCTION("IFERROR(VALUE(SUBSTITUTE(REGEXEXTRACT(Raw_Data!F92,""\$([\d,]+) prior deposit applied""),"","","""")),0)"),0.0)</f>
        <v>0</v>
      </c>
      <c r="M92" s="60">
        <f t="shared" si="4"/>
        <v>5400</v>
      </c>
      <c r="N92" s="60">
        <f>IFERROR(__xludf.DUMMYFUNCTION("IFERROR(VALUE(SUBSTITUTE(REGEXEXTRACT(Raw_Data!F92,""^\$([\d,]+) cash""),"","","""")),0)"),0.0)</f>
        <v>0</v>
      </c>
      <c r="O92" s="60">
        <f t="shared" si="5"/>
        <v>5400</v>
      </c>
      <c r="P92" s="60">
        <f>IFERROR(__xludf.DUMMYFUNCTION("IFERROR(VALUE(SUBSTITUTE(REGEXEXTRACT(Raw_Data!J92,""labour \d+ h at \$\d+/h: \$([\d,]+)""),"","","""")),0)"),0.0)</f>
        <v>0</v>
      </c>
      <c r="Q92" s="60">
        <f t="shared" si="6"/>
        <v>5400</v>
      </c>
      <c r="R92" s="60" t="str">
        <f t="array" ref="R92">IF(INDEX(Rules!$B$2:$B$60,$D92)="","",INDEX(Rules!$B$2:$B$60,$D92))</f>
        <v>Rent Expense</v>
      </c>
      <c r="S92" s="60" t="str">
        <f t="array" ref="S92">IF(INDEX(Rules!$E$2:$E$60,$D92)="","",INDEX(Rules!$E$2:$E$60,$D92))</f>
        <v/>
      </c>
      <c r="T92" s="60" t="str">
        <f t="array" ref="T92">IF(INDEX(Rules!$H$2:$H$60,$D92)="","",INDEX(Rules!$H$2:$H$60,$D92))</f>
        <v/>
      </c>
      <c r="U92" s="60" t="str">
        <f t="array" ref="U92">IF(INDEX(Rules!$C$2:$C$60,$D92)="","",INDEX(Rules!$C$2:$C$60,$D92))</f>
        <v>Cash</v>
      </c>
      <c r="V92" s="60" t="str">
        <f t="array" ref="V92">IF(INDEX(Rules!$F$2:$F$60,$D92)="","",INDEX(Rules!$F$2:$F$60,$D92))</f>
        <v/>
      </c>
      <c r="W92" s="60" t="str">
        <f t="array" ref="W92">IF(INDEX(Rules!$I$2:$I$60,$D92)="","",INDEX(Rules!$I$2:$I$60,$D92))</f>
        <v/>
      </c>
      <c r="X92" s="60">
        <f t="array" ref="X92">IF(R92="","",INDEX($F92:$Q92,MATCH(INDEX(Rules!$D$2:$D$60,$D92),$F$1:$Q$1,0)))</f>
        <v>5400</v>
      </c>
      <c r="Y92" s="60" t="str">
        <f t="array" ref="Y92">IF(S92="","",INDEX($F92:$Q92,MATCH(INDEX(Rules!$G$2:$G$60,$D92),$F$1:$Q$1,0)))</f>
        <v/>
      </c>
      <c r="Z92" s="60" t="str">
        <f t="array" ref="Z92">IF(T92="","",INDEX($F92:$Q92,MATCH(INDEX(Rules!$J$2:$J$60,$D92),$F$1:$Q$1,0)))</f>
        <v/>
      </c>
      <c r="AA92" s="60" t="str">
        <f t="array" ref="AA92">IF(INDEX(Rules!$K$2:$K$60,$D92)="","",INDEX(Rules!$K$2:$K$60,$D92))</f>
        <v>monthly rent</v>
      </c>
      <c r="AB92" s="60" t="str">
        <f>IF(SUMPRODUCT((R92:W92&lt;&gt;"")*(ISNUMBER(SEARCH(Raw_Data!E92,R92:W92))+ISNUMBER(SEARCH(R92:W92,Raw_Data!E92))))&gt;0,"OK","CHECK")</f>
        <v>OK</v>
      </c>
    </row>
    <row r="93">
      <c r="A93" s="60" t="str">
        <f>Raw_Data!A93</f>
        <v>VVV-2024-092</v>
      </c>
      <c r="B93" s="60">
        <f>Raw_Data!D93</f>
        <v>2000</v>
      </c>
      <c r="C93" s="60" t="str">
        <f>LOWER(Raw_Data!C93&amp;" | "&amp;Raw_Data!F93)</f>
        <v>partial payment to inventory supplier | bank transfer; settled</v>
      </c>
      <c r="D93" s="60">
        <f t="array" ref="D93">MATCH(1,ISNUMBER(SEARCH(Rules!$A$2:$A$60,C93))*(Rules!$A$2:$A$60&lt;&gt;""),0)</f>
        <v>8</v>
      </c>
      <c r="E93" s="60" t="str">
        <f t="array" ref="E93">INDEX(Rules!$A$2:$A$60,D93)</f>
        <v>payment to inventory supplier</v>
      </c>
      <c r="F93" s="60">
        <f t="shared" si="1"/>
        <v>2000</v>
      </c>
      <c r="G93" s="60">
        <f>IFERROR(__xludf.DUMMYFUNCTION("IFERROR(VALUE(SUBSTITUTE(REGEXEXTRACT(Raw_Data!J93,""Cost of goods sold: \$([\d,]+)""),"","","""")),0)"),0.0)</f>
        <v>0</v>
      </c>
      <c r="H93" s="60">
        <f>IFERROR(__xludf.DUMMYFUNCTION("IFERROR(VALUE(SUBSTITUTE(REGEXEXTRACT(Raw_Data!J93,""withheld a \$([\d,]+) fee""),"","","""")),0)"),0.0)</f>
        <v>0</v>
      </c>
      <c r="I93" s="60">
        <f t="shared" si="2"/>
        <v>2000</v>
      </c>
      <c r="J93" s="60">
        <f>IFERROR(__xludf.DUMMYFUNCTION("IFERROR(VALUE(SUBSTITUTE(REGEXEXTRACT(Raw_Data!J93,""(?i)interest \$([\d,]+)""),"","","""")),0)"),0.0)</f>
        <v>0</v>
      </c>
      <c r="K93" s="60">
        <f t="shared" si="3"/>
        <v>2000</v>
      </c>
      <c r="L93" s="60">
        <f>IFERROR(__xludf.DUMMYFUNCTION("IFERROR(VALUE(SUBSTITUTE(REGEXEXTRACT(Raw_Data!F93,""\$([\d,]+) prior deposit applied""),"","","""")),0)"),0.0)</f>
        <v>0</v>
      </c>
      <c r="M93" s="60">
        <f t="shared" si="4"/>
        <v>2000</v>
      </c>
      <c r="N93" s="60">
        <f>IFERROR(__xludf.DUMMYFUNCTION("IFERROR(VALUE(SUBSTITUTE(REGEXEXTRACT(Raw_Data!F93,""^\$([\d,]+) cash""),"","","""")),0)"),0.0)</f>
        <v>0</v>
      </c>
      <c r="O93" s="60">
        <f t="shared" si="5"/>
        <v>2000</v>
      </c>
      <c r="P93" s="60">
        <f>IFERROR(__xludf.DUMMYFUNCTION("IFERROR(VALUE(SUBSTITUTE(REGEXEXTRACT(Raw_Data!J93,""labour \d+ h at \$\d+/h: \$([\d,]+)""),"","","""")),0)"),0.0)</f>
        <v>0</v>
      </c>
      <c r="Q93" s="60">
        <f t="shared" si="6"/>
        <v>2000</v>
      </c>
      <c r="R93" s="60" t="str">
        <f t="array" ref="R93">IF(INDEX(Rules!$B$2:$B$60,$D93)="","",INDEX(Rules!$B$2:$B$60,$D93))</f>
        <v>Accounts Payable</v>
      </c>
      <c r="S93" s="60" t="str">
        <f t="array" ref="S93">IF(INDEX(Rules!$E$2:$E$60,$D93)="","",INDEX(Rules!$E$2:$E$60,$D93))</f>
        <v/>
      </c>
      <c r="T93" s="60" t="str">
        <f t="array" ref="T93">IF(INDEX(Rules!$H$2:$H$60,$D93)="","",INDEX(Rules!$H$2:$H$60,$D93))</f>
        <v/>
      </c>
      <c r="U93" s="60" t="str">
        <f t="array" ref="U93">IF(INDEX(Rules!$C$2:$C$60,$D93)="","",INDEX(Rules!$C$2:$C$60,$D93))</f>
        <v>Cash</v>
      </c>
      <c r="V93" s="60" t="str">
        <f t="array" ref="V93">IF(INDEX(Rules!$F$2:$F$60,$D93)="","",INDEX(Rules!$F$2:$F$60,$D93))</f>
        <v/>
      </c>
      <c r="W93" s="60" t="str">
        <f t="array" ref="W93">IF(INDEX(Rules!$I$2:$I$60,$D93)="","",INDEX(Rules!$I$2:$I$60,$D93))</f>
        <v/>
      </c>
      <c r="X93" s="60">
        <f t="array" ref="X93">IF(R93="","",INDEX($F93:$Q93,MATCH(INDEX(Rules!$D$2:$D$60,$D93),$F$1:$Q$1,0)))</f>
        <v>2000</v>
      </c>
      <c r="Y93" s="60" t="str">
        <f t="array" ref="Y93">IF(S93="","",INDEX($F93:$Q93,MATCH(INDEX(Rules!$G$2:$G$60,$D93),$F$1:$Q$1,0)))</f>
        <v/>
      </c>
      <c r="Z93" s="60" t="str">
        <f t="array" ref="Z93">IF(T93="","",INDEX($F93:$Q93,MATCH(INDEX(Rules!$J$2:$J$60,$D93),$F$1:$Q$1,0)))</f>
        <v/>
      </c>
      <c r="AA93" s="60" t="str">
        <f t="array" ref="AA93">IF(INDEX(Rules!$K$2:$K$60,$D93)="","",INDEX(Rules!$K$2:$K$60,$D93))</f>
        <v>paying the supplier back, reduces AP</v>
      </c>
      <c r="AB93" s="60" t="str">
        <f>IF(SUMPRODUCT((R93:W93&lt;&gt;"")*(ISNUMBER(SEARCH(Raw_Data!E93,R93:W93))+ISNUMBER(SEARCH(R93:W93,Raw_Data!E93))))&gt;0,"OK","CHECK")</f>
        <v>OK</v>
      </c>
    </row>
    <row r="94">
      <c r="A94" s="60" t="str">
        <f>Raw_Data!A94</f>
        <v>VVV-2024-093</v>
      </c>
      <c r="B94" s="60">
        <f>Raw_Data!D94</f>
        <v>600</v>
      </c>
      <c r="C94" s="60" t="str">
        <f>LOWER(Raw_Data!C94&amp;" | "&amp;Raw_Data!F94)</f>
        <v>monthly business insurance premium | automatic bank transfer; settled</v>
      </c>
      <c r="D94" s="60">
        <f t="array" ref="D94">MATCH(1,ISNUMBER(SEARCH(Rules!$A$2:$A$60,C94))*(Rules!$A$2:$A$60&lt;&gt;""),0)</f>
        <v>20</v>
      </c>
      <c r="E94" s="60" t="str">
        <f t="array" ref="E94">INDEX(Rules!$A$2:$A$60,D94)</f>
        <v>insurance</v>
      </c>
      <c r="F94" s="60">
        <f t="shared" si="1"/>
        <v>600</v>
      </c>
      <c r="G94" s="60">
        <f>IFERROR(__xludf.DUMMYFUNCTION("IFERROR(VALUE(SUBSTITUTE(REGEXEXTRACT(Raw_Data!J94,""Cost of goods sold: \$([\d,]+)""),"","","""")),0)"),0.0)</f>
        <v>0</v>
      </c>
      <c r="H94" s="60">
        <f>IFERROR(__xludf.DUMMYFUNCTION("IFERROR(VALUE(SUBSTITUTE(REGEXEXTRACT(Raw_Data!J94,""withheld a \$([\d,]+) fee""),"","","""")),0)"),0.0)</f>
        <v>0</v>
      </c>
      <c r="I94" s="60">
        <f t="shared" si="2"/>
        <v>600</v>
      </c>
      <c r="J94" s="60">
        <f>IFERROR(__xludf.DUMMYFUNCTION("IFERROR(VALUE(SUBSTITUTE(REGEXEXTRACT(Raw_Data!J94,""(?i)interest \$([\d,]+)""),"","","""")),0)"),0.0)</f>
        <v>0</v>
      </c>
      <c r="K94" s="60">
        <f t="shared" si="3"/>
        <v>600</v>
      </c>
      <c r="L94" s="60">
        <f>IFERROR(__xludf.DUMMYFUNCTION("IFERROR(VALUE(SUBSTITUTE(REGEXEXTRACT(Raw_Data!F94,""\$([\d,]+) prior deposit applied""),"","","""")),0)"),0.0)</f>
        <v>0</v>
      </c>
      <c r="M94" s="60">
        <f t="shared" si="4"/>
        <v>600</v>
      </c>
      <c r="N94" s="60">
        <f>IFERROR(__xludf.DUMMYFUNCTION("IFERROR(VALUE(SUBSTITUTE(REGEXEXTRACT(Raw_Data!F94,""^\$([\d,]+) cash""),"","","""")),0)"),0.0)</f>
        <v>0</v>
      </c>
      <c r="O94" s="60">
        <f t="shared" si="5"/>
        <v>600</v>
      </c>
      <c r="P94" s="60">
        <f>IFERROR(__xludf.DUMMYFUNCTION("IFERROR(VALUE(SUBSTITUTE(REGEXEXTRACT(Raw_Data!J94,""labour \d+ h at \$\d+/h: \$([\d,]+)""),"","","""")),0)"),0.0)</f>
        <v>0</v>
      </c>
      <c r="Q94" s="60">
        <f t="shared" si="6"/>
        <v>600</v>
      </c>
      <c r="R94" s="60" t="str">
        <f t="array" ref="R94">IF(INDEX(Rules!$B$2:$B$60,$D94)="","",INDEX(Rules!$B$2:$B$60,$D94))</f>
        <v>Insurance Expense</v>
      </c>
      <c r="S94" s="60" t="str">
        <f t="array" ref="S94">IF(INDEX(Rules!$E$2:$E$60,$D94)="","",INDEX(Rules!$E$2:$E$60,$D94))</f>
        <v/>
      </c>
      <c r="T94" s="60" t="str">
        <f t="array" ref="T94">IF(INDEX(Rules!$H$2:$H$60,$D94)="","",INDEX(Rules!$H$2:$H$60,$D94))</f>
        <v/>
      </c>
      <c r="U94" s="60" t="str">
        <f t="array" ref="U94">IF(INDEX(Rules!$C$2:$C$60,$D94)="","",INDEX(Rules!$C$2:$C$60,$D94))</f>
        <v>Cash</v>
      </c>
      <c r="V94" s="60" t="str">
        <f t="array" ref="V94">IF(INDEX(Rules!$F$2:$F$60,$D94)="","",INDEX(Rules!$F$2:$F$60,$D94))</f>
        <v/>
      </c>
      <c r="W94" s="60" t="str">
        <f t="array" ref="W94">IF(INDEX(Rules!$I$2:$I$60,$D94)="","",INDEX(Rules!$I$2:$I$60,$D94))</f>
        <v/>
      </c>
      <c r="X94" s="60">
        <f t="array" ref="X94">IF(R94="","",INDEX($F94:$Q94,MATCH(INDEX(Rules!$D$2:$D$60,$D94),$F$1:$Q$1,0)))</f>
        <v>600</v>
      </c>
      <c r="Y94" s="60" t="str">
        <f t="array" ref="Y94">IF(S94="","",INDEX($F94:$Q94,MATCH(INDEX(Rules!$G$2:$G$60,$D94),$F$1:$Q$1,0)))</f>
        <v/>
      </c>
      <c r="Z94" s="60" t="str">
        <f t="array" ref="Z94">IF(T94="","",INDEX($F94:$Q94,MATCH(INDEX(Rules!$J$2:$J$60,$D94),$F$1:$Q$1,0)))</f>
        <v/>
      </c>
      <c r="AA94" s="60" t="str">
        <f t="array" ref="AA94">IF(INDEX(Rules!$K$2:$K$60,$D94)="","",INDEX(Rules!$K$2:$K$60,$D94))</f>
        <v>monthly insurance</v>
      </c>
      <c r="AB94" s="60" t="str">
        <f>IF(SUMPRODUCT((R94:W94&lt;&gt;"")*(ISNUMBER(SEARCH(Raw_Data!E94,R94:W94))+ISNUMBER(SEARCH(R94:W94,Raw_Data!E94))))&gt;0,"OK","CHECK")</f>
        <v>OK</v>
      </c>
    </row>
    <row r="95">
      <c r="A95" s="60" t="str">
        <f>Raw_Data!A95</f>
        <v>VVV-2024-094</v>
      </c>
      <c r="B95" s="60">
        <f>Raw_Data!D95</f>
        <v>11000</v>
      </c>
      <c r="C95" s="60" t="str">
        <f>LOWER(Raw_Data!C95&amp;" | "&amp;Raw_Data!F95)</f>
        <v>equipment rental receipts batch | cash and card receipts; settled</v>
      </c>
      <c r="D95" s="60">
        <f t="array" ref="D95">MATCH(1,ISNUMBER(SEARCH(Rules!$A$2:$A$60,C95))*(Rules!$A$2:$A$60&lt;&gt;""),0)</f>
        <v>26</v>
      </c>
      <c r="E95" s="60" t="str">
        <f t="array" ref="E95">INDEX(Rules!$A$2:$A$60,D95)</f>
        <v>rental receipts</v>
      </c>
      <c r="F95" s="60">
        <f t="shared" si="1"/>
        <v>11000</v>
      </c>
      <c r="G95" s="60">
        <f>IFERROR(__xludf.DUMMYFUNCTION("IFERROR(VALUE(SUBSTITUTE(REGEXEXTRACT(Raw_Data!J95,""Cost of goods sold: \$([\d,]+)""),"","","""")),0)"),0.0)</f>
        <v>0</v>
      </c>
      <c r="H95" s="60">
        <f>IFERROR(__xludf.DUMMYFUNCTION("IFERROR(VALUE(SUBSTITUTE(REGEXEXTRACT(Raw_Data!J95,""withheld a \$([\d,]+) fee""),"","","""")),0)"),0.0)</f>
        <v>0</v>
      </c>
      <c r="I95" s="60">
        <f t="shared" si="2"/>
        <v>11000</v>
      </c>
      <c r="J95" s="60">
        <f>IFERROR(__xludf.DUMMYFUNCTION("IFERROR(VALUE(SUBSTITUTE(REGEXEXTRACT(Raw_Data!J95,""(?i)interest \$([\d,]+)""),"","","""")),0)"),0.0)</f>
        <v>0</v>
      </c>
      <c r="K95" s="60">
        <f t="shared" si="3"/>
        <v>11000</v>
      </c>
      <c r="L95" s="60">
        <f>IFERROR(__xludf.DUMMYFUNCTION("IFERROR(VALUE(SUBSTITUTE(REGEXEXTRACT(Raw_Data!F95,""\$([\d,]+) prior deposit applied""),"","","""")),0)"),0.0)</f>
        <v>0</v>
      </c>
      <c r="M95" s="60">
        <f t="shared" si="4"/>
        <v>11000</v>
      </c>
      <c r="N95" s="60">
        <f>IFERROR(__xludf.DUMMYFUNCTION("IFERROR(VALUE(SUBSTITUTE(REGEXEXTRACT(Raw_Data!F95,""^\$([\d,]+) cash""),"","","""")),0)"),0.0)</f>
        <v>0</v>
      </c>
      <c r="O95" s="60">
        <f t="shared" si="5"/>
        <v>11000</v>
      </c>
      <c r="P95" s="60">
        <f>IFERROR(__xludf.DUMMYFUNCTION("IFERROR(VALUE(SUBSTITUTE(REGEXEXTRACT(Raw_Data!J95,""labour \d+ h at \$\d+/h: \$([\d,]+)""),"","","""")),0)"),0.0)</f>
        <v>0</v>
      </c>
      <c r="Q95" s="60">
        <f t="shared" si="6"/>
        <v>11000</v>
      </c>
      <c r="R95" s="60" t="str">
        <f t="array" ref="R95">IF(INDEX(Rules!$B$2:$B$60,$D95)="","",INDEX(Rules!$B$2:$B$60,$D95))</f>
        <v>Cash</v>
      </c>
      <c r="S95" s="60" t="str">
        <f t="array" ref="S95">IF(INDEX(Rules!$E$2:$E$60,$D95)="","",INDEX(Rules!$E$2:$E$60,$D95))</f>
        <v/>
      </c>
      <c r="T95" s="60" t="str">
        <f t="array" ref="T95">IF(INDEX(Rules!$H$2:$H$60,$D95)="","",INDEX(Rules!$H$2:$H$60,$D95))</f>
        <v/>
      </c>
      <c r="U95" s="60" t="str">
        <f t="array" ref="U95">IF(INDEX(Rules!$C$2:$C$60,$D95)="","",INDEX(Rules!$C$2:$C$60,$D95))</f>
        <v>Equipment Rental Revenue</v>
      </c>
      <c r="V95" s="60" t="str">
        <f t="array" ref="V95">IF(INDEX(Rules!$F$2:$F$60,$D95)="","",INDEX(Rules!$F$2:$F$60,$D95))</f>
        <v/>
      </c>
      <c r="W95" s="60" t="str">
        <f t="array" ref="W95">IF(INDEX(Rules!$I$2:$I$60,$D95)="","",INDEX(Rules!$I$2:$I$60,$D95))</f>
        <v/>
      </c>
      <c r="X95" s="60">
        <f t="array" ref="X95">IF(R95="","",INDEX($F95:$Q95,MATCH(INDEX(Rules!$D$2:$D$60,$D95),$F$1:$Q$1,0)))</f>
        <v>11000</v>
      </c>
      <c r="Y95" s="60" t="str">
        <f t="array" ref="Y95">IF(S95="","",INDEX($F95:$Q95,MATCH(INDEX(Rules!$G$2:$G$60,$D95),$F$1:$Q$1,0)))</f>
        <v/>
      </c>
      <c r="Z95" s="60" t="str">
        <f t="array" ref="Z95">IF(T95="","",INDEX($F95:$Q95,MATCH(INDEX(Rules!$J$2:$J$60,$D95),$F$1:$Q$1,0)))</f>
        <v/>
      </c>
      <c r="AA95" s="60" t="str">
        <f t="array" ref="AA95">IF(INDEX(Rules!$K$2:$K$60,$D95)="","",INDEX(Rules!$K$2:$K$60,$D95))</f>
        <v>rentals done and paid</v>
      </c>
      <c r="AB95" s="60" t="str">
        <f>IF(SUMPRODUCT((R95:W95&lt;&gt;"")*(ISNUMBER(SEARCH(Raw_Data!E95,R95:W95))+ISNUMBER(SEARCH(R95:W95,Raw_Data!E95))))&gt;0,"OK","CHECK")</f>
        <v>OK</v>
      </c>
    </row>
    <row r="96">
      <c r="A96" s="60" t="str">
        <f>Raw_Data!A96</f>
        <v>VVV-2024-095</v>
      </c>
      <c r="B96" s="60">
        <f>Raw_Data!D96</f>
        <v>4200</v>
      </c>
      <c r="C96" s="60" t="str">
        <f>LOWER(Raw_Data!C96&amp;" | "&amp;Raw_Data!F96)</f>
        <v>fleet service and dispatch | paid from business bank account</v>
      </c>
      <c r="D96" s="60">
        <f t="array" ref="D96">MATCH(1,ISNUMBER(SEARCH(Rules!$A$2:$A$60,C96))*(Rules!$A$2:$A$60&lt;&gt;""),0)</f>
        <v>4</v>
      </c>
      <c r="E96" s="60" t="str">
        <f t="array" ref="E96">INDEX(Rules!$A$2:$A$60,D96)</f>
        <v>fleet service and dispatch</v>
      </c>
      <c r="F96" s="60">
        <f t="shared" si="1"/>
        <v>4200</v>
      </c>
      <c r="G96" s="60">
        <f>IFERROR(__xludf.DUMMYFUNCTION("IFERROR(VALUE(SUBSTITUTE(REGEXEXTRACT(Raw_Data!J96,""Cost of goods sold: \$([\d,]+)""),"","","""")),0)"),0.0)</f>
        <v>0</v>
      </c>
      <c r="H96" s="60">
        <f>IFERROR(__xludf.DUMMYFUNCTION("IFERROR(VALUE(SUBSTITUTE(REGEXEXTRACT(Raw_Data!J96,""withheld a \$([\d,]+) fee""),"","","""")),0)"),0.0)</f>
        <v>0</v>
      </c>
      <c r="I96" s="60">
        <f t="shared" si="2"/>
        <v>4200</v>
      </c>
      <c r="J96" s="60">
        <f>IFERROR(__xludf.DUMMYFUNCTION("IFERROR(VALUE(SUBSTITUTE(REGEXEXTRACT(Raw_Data!J96,""(?i)interest \$([\d,]+)""),"","","""")),0)"),0.0)</f>
        <v>0</v>
      </c>
      <c r="K96" s="60">
        <f t="shared" si="3"/>
        <v>4200</v>
      </c>
      <c r="L96" s="60">
        <f>IFERROR(__xludf.DUMMYFUNCTION("IFERROR(VALUE(SUBSTITUTE(REGEXEXTRACT(Raw_Data!F96,""\$([\d,]+) prior deposit applied""),"","","""")),0)"),0.0)</f>
        <v>0</v>
      </c>
      <c r="M96" s="60">
        <f t="shared" si="4"/>
        <v>4200</v>
      </c>
      <c r="N96" s="60">
        <f>IFERROR(__xludf.DUMMYFUNCTION("IFERROR(VALUE(SUBSTITUTE(REGEXEXTRACT(Raw_Data!F96,""^\$([\d,]+) cash""),"","","""")),0)"),0.0)</f>
        <v>0</v>
      </c>
      <c r="O96" s="60">
        <f t="shared" si="5"/>
        <v>4200</v>
      </c>
      <c r="P96" s="60">
        <f>IFERROR(__xludf.DUMMYFUNCTION("IFERROR(VALUE(SUBSTITUTE(REGEXEXTRACT(Raw_Data!J96,""labour \d+ h at \$\d+/h: \$([\d,]+)""),"","","""")),0)"),3400.0)</f>
        <v>3400</v>
      </c>
      <c r="Q96" s="60">
        <f t="shared" si="6"/>
        <v>800</v>
      </c>
      <c r="R96" s="60" t="str">
        <f t="array" ref="R96">IF(INDEX(Rules!$B$2:$B$60,$D96)="","",INDEX(Rules!$B$2:$B$60,$D96))</f>
        <v>Repairs and Maintenance Expense</v>
      </c>
      <c r="S96" s="60" t="str">
        <f t="array" ref="S96">IF(INDEX(Rules!$E$2:$E$60,$D96)="","",INDEX(Rules!$E$2:$E$60,$D96))</f>
        <v>School Group Expense</v>
      </c>
      <c r="T96" s="60" t="str">
        <f t="array" ref="T96">IF(INDEX(Rules!$H$2:$H$60,$D96)="","",INDEX(Rules!$H$2:$H$60,$D96))</f>
        <v/>
      </c>
      <c r="U96" s="60" t="str">
        <f t="array" ref="U96">IF(INDEX(Rules!$C$2:$C$60,$D96)="","",INDEX(Rules!$C$2:$C$60,$D96))</f>
        <v>Cash</v>
      </c>
      <c r="V96" s="60" t="str">
        <f t="array" ref="V96">IF(INDEX(Rules!$F$2:$F$60,$D96)="","",INDEX(Rules!$F$2:$F$60,$D96))</f>
        <v>Cash</v>
      </c>
      <c r="W96" s="60" t="str">
        <f t="array" ref="W96">IF(INDEX(Rules!$I$2:$I$60,$D96)="","",INDEX(Rules!$I$2:$I$60,$D96))</f>
        <v/>
      </c>
      <c r="X96" s="60">
        <f t="array" ref="X96">IF(R96="","",INDEX($F96:$Q96,MATCH(INDEX(Rules!$D$2:$D$60,$D96),$F$1:$Q$1,0)))</f>
        <v>3400</v>
      </c>
      <c r="Y96" s="60">
        <f t="array" ref="Y96">IF(S96="","",INDEX($F96:$Q96,MATCH(INDEX(Rules!$G$2:$G$60,$D96),$F$1:$Q$1,0)))</f>
        <v>800</v>
      </c>
      <c r="Z96" s="60" t="str">
        <f t="array" ref="Z96">IF(T96="","",INDEX($F96:$Q96,MATCH(INDEX(Rules!$J$2:$J$60,$D96),$F$1:$Q$1,0)))</f>
        <v/>
      </c>
      <c r="AA96" s="60" t="str">
        <f t="array" ref="AA96">IF(INDEX(Rules!$K$2:$K$60,$D96)="","",INDEX(Rules!$K$2:$K$60,$D96))</f>
        <v>only workshop labour is repairs, shuttle/materials go to school group</v>
      </c>
      <c r="AB96" s="60" t="str">
        <f>IF(SUMPRODUCT((R96:W96&lt;&gt;"")*(ISNUMBER(SEARCH(Raw_Data!E96,R96:W96))+ISNUMBER(SEARCH(R96:W96,Raw_Data!E96))))&gt;0,"OK","CHECK")</f>
        <v>OK</v>
      </c>
    </row>
    <row r="97">
      <c r="A97" s="60" t="str">
        <f>Raw_Data!A97</f>
        <v>VVV-2024-096</v>
      </c>
      <c r="B97" s="60">
        <f>Raw_Data!D97</f>
        <v>3120</v>
      </c>
      <c r="C97" s="60" t="str">
        <f>LOWER(Raw_Data!C97&amp;" | "&amp;Raw_Data!F97)</f>
        <v>fleet service and dispatch | paid from business bank account</v>
      </c>
      <c r="D97" s="60">
        <f t="array" ref="D97">MATCH(1,ISNUMBER(SEARCH(Rules!$A$2:$A$60,C97))*(Rules!$A$2:$A$60&lt;&gt;""),0)</f>
        <v>4</v>
      </c>
      <c r="E97" s="60" t="str">
        <f t="array" ref="E97">INDEX(Rules!$A$2:$A$60,D97)</f>
        <v>fleet service and dispatch</v>
      </c>
      <c r="F97" s="60">
        <f t="shared" si="1"/>
        <v>3120</v>
      </c>
      <c r="G97" s="60">
        <f>IFERROR(__xludf.DUMMYFUNCTION("IFERROR(VALUE(SUBSTITUTE(REGEXEXTRACT(Raw_Data!J97,""Cost of goods sold: \$([\d,]+)""),"","","""")),0)"),0.0)</f>
        <v>0</v>
      </c>
      <c r="H97" s="60">
        <f>IFERROR(__xludf.DUMMYFUNCTION("IFERROR(VALUE(SUBSTITUTE(REGEXEXTRACT(Raw_Data!J97,""withheld a \$([\d,]+) fee""),"","","""")),0)"),0.0)</f>
        <v>0</v>
      </c>
      <c r="I97" s="60">
        <f t="shared" si="2"/>
        <v>3120</v>
      </c>
      <c r="J97" s="60">
        <f>IFERROR(__xludf.DUMMYFUNCTION("IFERROR(VALUE(SUBSTITUTE(REGEXEXTRACT(Raw_Data!J97,""(?i)interest \$([\d,]+)""),"","","""")),0)"),0.0)</f>
        <v>0</v>
      </c>
      <c r="K97" s="60">
        <f t="shared" si="3"/>
        <v>3120</v>
      </c>
      <c r="L97" s="60">
        <f>IFERROR(__xludf.DUMMYFUNCTION("IFERROR(VALUE(SUBSTITUTE(REGEXEXTRACT(Raw_Data!F97,""\$([\d,]+) prior deposit applied""),"","","""")),0)"),0.0)</f>
        <v>0</v>
      </c>
      <c r="M97" s="60">
        <f t="shared" si="4"/>
        <v>3120</v>
      </c>
      <c r="N97" s="60">
        <f>IFERROR(__xludf.DUMMYFUNCTION("IFERROR(VALUE(SUBSTITUTE(REGEXEXTRACT(Raw_Data!F97,""^\$([\d,]+) cash""),"","","""")),0)"),0.0)</f>
        <v>0</v>
      </c>
      <c r="O97" s="60">
        <f t="shared" si="5"/>
        <v>3120</v>
      </c>
      <c r="P97" s="60">
        <f>IFERROR(__xludf.DUMMYFUNCTION("IFERROR(VALUE(SUBSTITUTE(REGEXEXTRACT(Raw_Data!J97,""labour \d+ h at \$\d+/h: \$([\d,]+)""),"","","""")),0)"),2400.0)</f>
        <v>2400</v>
      </c>
      <c r="Q97" s="60">
        <f t="shared" si="6"/>
        <v>720</v>
      </c>
      <c r="R97" s="60" t="str">
        <f t="array" ref="R97">IF(INDEX(Rules!$B$2:$B$60,$D97)="","",INDEX(Rules!$B$2:$B$60,$D97))</f>
        <v>Repairs and Maintenance Expense</v>
      </c>
      <c r="S97" s="60" t="str">
        <f t="array" ref="S97">IF(INDEX(Rules!$E$2:$E$60,$D97)="","",INDEX(Rules!$E$2:$E$60,$D97))</f>
        <v>School Group Expense</v>
      </c>
      <c r="T97" s="60" t="str">
        <f t="array" ref="T97">IF(INDEX(Rules!$H$2:$H$60,$D97)="","",INDEX(Rules!$H$2:$H$60,$D97))</f>
        <v/>
      </c>
      <c r="U97" s="60" t="str">
        <f t="array" ref="U97">IF(INDEX(Rules!$C$2:$C$60,$D97)="","",INDEX(Rules!$C$2:$C$60,$D97))</f>
        <v>Cash</v>
      </c>
      <c r="V97" s="60" t="str">
        <f t="array" ref="V97">IF(INDEX(Rules!$F$2:$F$60,$D97)="","",INDEX(Rules!$F$2:$F$60,$D97))</f>
        <v>Cash</v>
      </c>
      <c r="W97" s="60" t="str">
        <f t="array" ref="W97">IF(INDEX(Rules!$I$2:$I$60,$D97)="","",INDEX(Rules!$I$2:$I$60,$D97))</f>
        <v/>
      </c>
      <c r="X97" s="60">
        <f t="array" ref="X97">IF(R97="","",INDEX($F97:$Q97,MATCH(INDEX(Rules!$D$2:$D$60,$D97),$F$1:$Q$1,0)))</f>
        <v>2400</v>
      </c>
      <c r="Y97" s="60">
        <f t="array" ref="Y97">IF(S97="","",INDEX($F97:$Q97,MATCH(INDEX(Rules!$G$2:$G$60,$D97),$F$1:$Q$1,0)))</f>
        <v>720</v>
      </c>
      <c r="Z97" s="60" t="str">
        <f t="array" ref="Z97">IF(T97="","",INDEX($F97:$Q97,MATCH(INDEX(Rules!$J$2:$J$60,$D97),$F$1:$Q$1,0)))</f>
        <v/>
      </c>
      <c r="AA97" s="60" t="str">
        <f t="array" ref="AA97">IF(INDEX(Rules!$K$2:$K$60,$D97)="","",INDEX(Rules!$K$2:$K$60,$D97))</f>
        <v>only workshop labour is repairs, shuttle/materials go to school group</v>
      </c>
      <c r="AB97" s="60" t="str">
        <f>IF(SUMPRODUCT((R97:W97&lt;&gt;"")*(ISNUMBER(SEARCH(Raw_Data!E97,R97:W97))+ISNUMBER(SEARCH(R97:W97,Raw_Data!E97))))&gt;0,"OK","CHECK")</f>
        <v>OK</v>
      </c>
    </row>
    <row r="98">
      <c r="A98" s="60" t="str">
        <f>Raw_Data!A98</f>
        <v>VVV-2024-097</v>
      </c>
      <c r="B98" s="60">
        <f>Raw_Data!D98</f>
        <v>7000</v>
      </c>
      <c r="C98" s="60" t="str">
        <f>LOWER(Raw_Data!C98&amp;" | "&amp;Raw_Data!F98)</f>
        <v>retail camping-supply sales | cash and card receipts; settled</v>
      </c>
      <c r="D98" s="60">
        <f t="array" ref="D98">MATCH(1,ISNUMBER(SEARCH(Rules!$A$2:$A$60,C98))*(Rules!$A$2:$A$60&lt;&gt;""),0)</f>
        <v>12</v>
      </c>
      <c r="E98" s="60" t="str">
        <f t="array" ref="E98">INDEX(Rules!$A$2:$A$60,D98)</f>
        <v>camping-supply sales</v>
      </c>
      <c r="F98" s="60">
        <f t="shared" si="1"/>
        <v>7000</v>
      </c>
      <c r="G98" s="60">
        <f>IFERROR(__xludf.DUMMYFUNCTION("IFERROR(VALUE(SUBSTITUTE(REGEXEXTRACT(Raw_Data!J98,""Cost of goods sold: \$([\d,]+)""),"","","""")),0)"),4200.0)</f>
        <v>4200</v>
      </c>
      <c r="H98" s="60">
        <f>IFERROR(__xludf.DUMMYFUNCTION("IFERROR(VALUE(SUBSTITUTE(REGEXEXTRACT(Raw_Data!J98,""withheld a \$([\d,]+) fee""),"","","""")),0)"),0.0)</f>
        <v>0</v>
      </c>
      <c r="I98" s="60">
        <f t="shared" si="2"/>
        <v>7000</v>
      </c>
      <c r="J98" s="60">
        <f>IFERROR(__xludf.DUMMYFUNCTION("IFERROR(VALUE(SUBSTITUTE(REGEXEXTRACT(Raw_Data!J98,""(?i)interest \$([\d,]+)""),"","","""")),0)"),0.0)</f>
        <v>0</v>
      </c>
      <c r="K98" s="60">
        <f t="shared" si="3"/>
        <v>7000</v>
      </c>
      <c r="L98" s="60">
        <f>IFERROR(__xludf.DUMMYFUNCTION("IFERROR(VALUE(SUBSTITUTE(REGEXEXTRACT(Raw_Data!F98,""\$([\d,]+) prior deposit applied""),"","","""")),0)"),0.0)</f>
        <v>0</v>
      </c>
      <c r="M98" s="60">
        <f t="shared" si="4"/>
        <v>7000</v>
      </c>
      <c r="N98" s="60">
        <f>IFERROR(__xludf.DUMMYFUNCTION("IFERROR(VALUE(SUBSTITUTE(REGEXEXTRACT(Raw_Data!F98,""^\$([\d,]+) cash""),"","","""")),0)"),0.0)</f>
        <v>0</v>
      </c>
      <c r="O98" s="60">
        <f t="shared" si="5"/>
        <v>7000</v>
      </c>
      <c r="P98" s="60">
        <f>IFERROR(__xludf.DUMMYFUNCTION("IFERROR(VALUE(SUBSTITUTE(REGEXEXTRACT(Raw_Data!J98,""labour \d+ h at \$\d+/h: \$([\d,]+)""),"","","""")),0)"),0.0)</f>
        <v>0</v>
      </c>
      <c r="Q98" s="60">
        <f t="shared" si="6"/>
        <v>7000</v>
      </c>
      <c r="R98" s="60" t="str">
        <f t="array" ref="R98">IF(INDEX(Rules!$B$2:$B$60,$D98)="","",INDEX(Rules!$B$2:$B$60,$D98))</f>
        <v>Cash</v>
      </c>
      <c r="S98" s="60" t="str">
        <f t="array" ref="S98">IF(INDEX(Rules!$E$2:$E$60,$D98)="","",INDEX(Rules!$E$2:$E$60,$D98))</f>
        <v>Cost of Goods Sold</v>
      </c>
      <c r="T98" s="60" t="str">
        <f t="array" ref="T98">IF(INDEX(Rules!$H$2:$H$60,$D98)="","",INDEX(Rules!$H$2:$H$60,$D98))</f>
        <v/>
      </c>
      <c r="U98" s="60" t="str">
        <f t="array" ref="U98">IF(INDEX(Rules!$C$2:$C$60,$D98)="","",INDEX(Rules!$C$2:$C$60,$D98))</f>
        <v>Retail Sales Revenue</v>
      </c>
      <c r="V98" s="60" t="str">
        <f t="array" ref="V98">IF(INDEX(Rules!$F$2:$F$60,$D98)="","",INDEX(Rules!$F$2:$F$60,$D98))</f>
        <v>Inventory</v>
      </c>
      <c r="W98" s="60" t="str">
        <f t="array" ref="W98">IF(INDEX(Rules!$I$2:$I$60,$D98)="","",INDEX(Rules!$I$2:$I$60,$D98))</f>
        <v/>
      </c>
      <c r="X98" s="60">
        <f t="array" ref="X98">IF(R98="","",INDEX($F98:$Q98,MATCH(INDEX(Rules!$D$2:$D$60,$D98),$F$1:$Q$1,0)))</f>
        <v>7000</v>
      </c>
      <c r="Y98" s="60">
        <f t="array" ref="Y98">IF(S98="","",INDEX($F98:$Q98,MATCH(INDEX(Rules!$G$2:$G$60,$D98),$F$1:$Q$1,0)))</f>
        <v>4200</v>
      </c>
      <c r="Z98" s="60" t="str">
        <f t="array" ref="Z98">IF(T98="","",INDEX($F98:$Q98,MATCH(INDEX(Rules!$J$2:$J$60,$D98),$F$1:$Q$1,0)))</f>
        <v/>
      </c>
      <c r="AA98" s="60" t="str">
        <f t="array" ref="AA98">IF(INDEX(Rules!$K$2:$K$60,$D98)="","",INDEX(Rules!$K$2:$K$60,$D98))</f>
        <v>sale + cost of the goods comes out of inventory (COGS)</v>
      </c>
      <c r="AB98" s="60" t="str">
        <f>IF(SUMPRODUCT((R98:W98&lt;&gt;"")*(ISNUMBER(SEARCH(Raw_Data!E98,R98:W98))+ISNUMBER(SEARCH(R98:W98,Raw_Data!E98))))&gt;0,"OK","CHECK")</f>
        <v>OK</v>
      </c>
    </row>
    <row r="99">
      <c r="A99" s="60" t="str">
        <f>Raw_Data!A99</f>
        <v>VVV-2024-098</v>
      </c>
      <c r="B99" s="60">
        <f>Raw_Data!D99</f>
        <v>8000</v>
      </c>
      <c r="C99" s="60" t="str">
        <f>LOWER(Raw_Data!C99&amp;" | "&amp;Raw_Data!F99)</f>
        <v>guided tour revenue | cash and card receipts; settled</v>
      </c>
      <c r="D99" s="60">
        <f t="array" ref="D99">MATCH(1,ISNUMBER(SEARCH(Rules!$A$2:$A$60,C99))*(Rules!$A$2:$A$60&lt;&gt;""),0)</f>
        <v>32</v>
      </c>
      <c r="E99" s="60" t="str">
        <f t="array" ref="E99">INDEX(Rules!$A$2:$A$60,D99)</f>
        <v>tour revenue</v>
      </c>
      <c r="F99" s="60">
        <f t="shared" si="1"/>
        <v>8000</v>
      </c>
      <c r="G99" s="60">
        <f>IFERROR(__xludf.DUMMYFUNCTION("IFERROR(VALUE(SUBSTITUTE(REGEXEXTRACT(Raw_Data!J99,""Cost of goods sold: \$([\d,]+)""),"","","""")),0)"),0.0)</f>
        <v>0</v>
      </c>
      <c r="H99" s="60">
        <f>IFERROR(__xludf.DUMMYFUNCTION("IFERROR(VALUE(SUBSTITUTE(REGEXEXTRACT(Raw_Data!J99,""withheld a \$([\d,]+) fee""),"","","""")),0)"),0.0)</f>
        <v>0</v>
      </c>
      <c r="I99" s="60">
        <f t="shared" si="2"/>
        <v>8000</v>
      </c>
      <c r="J99" s="60">
        <f>IFERROR(__xludf.DUMMYFUNCTION("IFERROR(VALUE(SUBSTITUTE(REGEXEXTRACT(Raw_Data!J99,""(?i)interest \$([\d,]+)""),"","","""")),0)"),0.0)</f>
        <v>0</v>
      </c>
      <c r="K99" s="60">
        <f t="shared" si="3"/>
        <v>8000</v>
      </c>
      <c r="L99" s="60">
        <f>IFERROR(__xludf.DUMMYFUNCTION("IFERROR(VALUE(SUBSTITUTE(REGEXEXTRACT(Raw_Data!F99,""\$([\d,]+) prior deposit applied""),"","","""")),0)"),0.0)</f>
        <v>0</v>
      </c>
      <c r="M99" s="60">
        <f t="shared" si="4"/>
        <v>8000</v>
      </c>
      <c r="N99" s="60">
        <f>IFERROR(__xludf.DUMMYFUNCTION("IFERROR(VALUE(SUBSTITUTE(REGEXEXTRACT(Raw_Data!F99,""^\$([\d,]+) cash""),"","","""")),0)"),0.0)</f>
        <v>0</v>
      </c>
      <c r="O99" s="60">
        <f t="shared" si="5"/>
        <v>8000</v>
      </c>
      <c r="P99" s="60">
        <f>IFERROR(__xludf.DUMMYFUNCTION("IFERROR(VALUE(SUBSTITUTE(REGEXEXTRACT(Raw_Data!J99,""labour \d+ h at \$\d+/h: \$([\d,]+)""),"","","""")),0)"),0.0)</f>
        <v>0</v>
      </c>
      <c r="Q99" s="60">
        <f t="shared" si="6"/>
        <v>8000</v>
      </c>
      <c r="R99" s="60" t="str">
        <f t="array" ref="R99">IF(INDEX(Rules!$B$2:$B$60,$D99)="","",INDEX(Rules!$B$2:$B$60,$D99))</f>
        <v>Cash</v>
      </c>
      <c r="S99" s="60" t="str">
        <f t="array" ref="S99">IF(INDEX(Rules!$E$2:$E$60,$D99)="","",INDEX(Rules!$E$2:$E$60,$D99))</f>
        <v/>
      </c>
      <c r="T99" s="60" t="str">
        <f t="array" ref="T99">IF(INDEX(Rules!$H$2:$H$60,$D99)="","",INDEX(Rules!$H$2:$H$60,$D99))</f>
        <v/>
      </c>
      <c r="U99" s="60" t="str">
        <f t="array" ref="U99">IF(INDEX(Rules!$C$2:$C$60,$D99)="","",INDEX(Rules!$C$2:$C$60,$D99))</f>
        <v>Tour Revenue</v>
      </c>
      <c r="V99" s="60" t="str">
        <f t="array" ref="V99">IF(INDEX(Rules!$F$2:$F$60,$D99)="","",INDEX(Rules!$F$2:$F$60,$D99))</f>
        <v/>
      </c>
      <c r="W99" s="60" t="str">
        <f t="array" ref="W99">IF(INDEX(Rules!$I$2:$I$60,$D99)="","",INDEX(Rules!$I$2:$I$60,$D99))</f>
        <v/>
      </c>
      <c r="X99" s="60">
        <f t="array" ref="X99">IF(R99="","",INDEX($F99:$Q99,MATCH(INDEX(Rules!$D$2:$D$60,$D99),$F$1:$Q$1,0)))</f>
        <v>8000</v>
      </c>
      <c r="Y99" s="60" t="str">
        <f t="array" ref="Y99">IF(S99="","",INDEX($F99:$Q99,MATCH(INDEX(Rules!$G$2:$G$60,$D99),$F$1:$Q$1,0)))</f>
        <v/>
      </c>
      <c r="Z99" s="60" t="str">
        <f t="array" ref="Z99">IF(T99="","",INDEX($F99:$Q99,MATCH(INDEX(Rules!$J$2:$J$60,$D99),$F$1:$Q$1,0)))</f>
        <v/>
      </c>
      <c r="AA99" s="60" t="str">
        <f t="array" ref="AA99">IF(INDEX(Rules!$K$2:$K$60,$D99)="","",INDEX(Rules!$K$2:$K$60,$D99))</f>
        <v>tours done and paid</v>
      </c>
      <c r="AB99" s="60" t="str">
        <f>IF(SUMPRODUCT((R99:W99&lt;&gt;"")*(ISNUMBER(SEARCH(Raw_Data!E99,R99:W99))+ISNUMBER(SEARCH(R99:W99,Raw_Data!E99))))&gt;0,"OK","CHECK")</f>
        <v>OK</v>
      </c>
    </row>
    <row r="100">
      <c r="A100" s="60" t="str">
        <f>Raw_Data!A100</f>
        <v>VVV-2024-099</v>
      </c>
      <c r="B100" s="60">
        <f>Raw_Data!D100</f>
        <v>10240</v>
      </c>
      <c r="C100" s="60" t="str">
        <f>LOWER(Raw_Data!C100&amp;" | "&amp;Raw_Data!F100)</f>
        <v>employee payroll settlement | payroll and claims paid from business bank account</v>
      </c>
      <c r="D100" s="60">
        <f t="array" ref="D100">MATCH(1,ISNUMBER(SEARCH(Rules!$A$2:$A$60,C100))*(Rules!$A$2:$A$60&lt;&gt;""),0)</f>
        <v>23</v>
      </c>
      <c r="E100" s="60" t="str">
        <f t="array" ref="E100">INDEX(Rules!$A$2:$A$60,D100)</f>
        <v>payroll</v>
      </c>
      <c r="F100" s="60">
        <f t="shared" si="1"/>
        <v>10240</v>
      </c>
      <c r="G100" s="60">
        <f>IFERROR(__xludf.DUMMYFUNCTION("IFERROR(VALUE(SUBSTITUTE(REGEXEXTRACT(Raw_Data!J100,""Cost of goods sold: \$([\d,]+)""),"","","""")),0)"),0.0)</f>
        <v>0</v>
      </c>
      <c r="H100" s="60">
        <f>IFERROR(__xludf.DUMMYFUNCTION("IFERROR(VALUE(SUBSTITUTE(REGEXEXTRACT(Raw_Data!J100,""withheld a \$([\d,]+) fee""),"","","""")),0)"),0.0)</f>
        <v>0</v>
      </c>
      <c r="I100" s="60">
        <f t="shared" si="2"/>
        <v>10240</v>
      </c>
      <c r="J100" s="60">
        <f>IFERROR(__xludf.DUMMYFUNCTION("IFERROR(VALUE(SUBSTITUTE(REGEXEXTRACT(Raw_Data!J100,""(?i)interest \$([\d,]+)""),"","","""")),0)"),0.0)</f>
        <v>0</v>
      </c>
      <c r="K100" s="60">
        <f t="shared" si="3"/>
        <v>10240</v>
      </c>
      <c r="L100" s="60">
        <f>IFERROR(__xludf.DUMMYFUNCTION("IFERROR(VALUE(SUBSTITUTE(REGEXEXTRACT(Raw_Data!F100,""\$([\d,]+) prior deposit applied""),"","","""")),0)"),0.0)</f>
        <v>0</v>
      </c>
      <c r="M100" s="60">
        <f t="shared" si="4"/>
        <v>10240</v>
      </c>
      <c r="N100" s="60">
        <f>IFERROR(__xludf.DUMMYFUNCTION("IFERROR(VALUE(SUBSTITUTE(REGEXEXTRACT(Raw_Data!F100,""^\$([\d,]+) cash""),"","","""")),0)"),0.0)</f>
        <v>0</v>
      </c>
      <c r="O100" s="60">
        <f t="shared" si="5"/>
        <v>10240</v>
      </c>
      <c r="P100" s="60">
        <f>IFERROR(__xludf.DUMMYFUNCTION("IFERROR(VALUE(SUBSTITUTE(REGEXEXTRACT(Raw_Data!J100,""labour \d+ h at \$\d+/h: \$([\d,]+)""),"","","""")),0)"),0.0)</f>
        <v>0</v>
      </c>
      <c r="Q100" s="60">
        <f t="shared" si="6"/>
        <v>10240</v>
      </c>
      <c r="R100" s="60" t="str">
        <f t="array" ref="R100">IF(INDEX(Rules!$B$2:$B$60,$D100)="","",INDEX(Rules!$B$2:$B$60,$D100))</f>
        <v>Wages Expense</v>
      </c>
      <c r="S100" s="60" t="str">
        <f t="array" ref="S100">IF(INDEX(Rules!$E$2:$E$60,$D100)="","",INDEX(Rules!$E$2:$E$60,$D100))</f>
        <v/>
      </c>
      <c r="T100" s="60" t="str">
        <f t="array" ref="T100">IF(INDEX(Rules!$H$2:$H$60,$D100)="","",INDEX(Rules!$H$2:$H$60,$D100))</f>
        <v/>
      </c>
      <c r="U100" s="60" t="str">
        <f t="array" ref="U100">IF(INDEX(Rules!$C$2:$C$60,$D100)="","",INDEX(Rules!$C$2:$C$60,$D100))</f>
        <v>Cash</v>
      </c>
      <c r="V100" s="60" t="str">
        <f t="array" ref="V100">IF(INDEX(Rules!$F$2:$F$60,$D100)="","",INDEX(Rules!$F$2:$F$60,$D100))</f>
        <v/>
      </c>
      <c r="W100" s="60" t="str">
        <f t="array" ref="W100">IF(INDEX(Rules!$I$2:$I$60,$D100)="","",INDEX(Rules!$I$2:$I$60,$D100))</f>
        <v/>
      </c>
      <c r="X100" s="60">
        <f t="array" ref="X100">IF(R100="","",INDEX($F100:$Q100,MATCH(INDEX(Rules!$D$2:$D$60,$D100),$F$1:$Q$1,0)))</f>
        <v>10240</v>
      </c>
      <c r="Y100" s="60" t="str">
        <f t="array" ref="Y100">IF(S100="","",INDEX($F100:$Q100,MATCH(INDEX(Rules!$G$2:$G$60,$D100),$F$1:$Q$1,0)))</f>
        <v/>
      </c>
      <c r="Z100" s="60" t="str">
        <f t="array" ref="Z100">IF(T100="","",INDEX($F100:$Q100,MATCH(INDEX(Rules!$J$2:$J$60,$D100),$F$1:$Q$1,0)))</f>
        <v/>
      </c>
      <c r="AA100" s="60" t="str">
        <f t="array" ref="AA100">IF(INDEX(Rules!$K$2:$K$60,$D100)="","",INDEX(Rules!$K$2:$K$60,$D100))</f>
        <v>wages, includes E04's $200 travel claim</v>
      </c>
      <c r="AB100" s="60" t="str">
        <f>IF(SUMPRODUCT((R100:W100&lt;&gt;"")*(ISNUMBER(SEARCH(Raw_Data!E100,R100:W100))+ISNUMBER(SEARCH(R100:W100,Raw_Data!E100))))&gt;0,"OK","CHECK")</f>
        <v>OK</v>
      </c>
    </row>
    <row r="101">
      <c r="A101" s="60" t="str">
        <f>Raw_Data!A101</f>
        <v>VVV-2024-100</v>
      </c>
      <c r="B101" s="60">
        <f>Raw_Data!D101</f>
        <v>1054</v>
      </c>
      <c r="C101" s="60" t="str">
        <f>LOWER(Raw_Data!C101&amp;" | "&amp;Raw_Data!F101)</f>
        <v>monthly utility settlement | paid from business bank account</v>
      </c>
      <c r="D101" s="60">
        <f t="array" ref="D101">MATCH(1,ISNUMBER(SEARCH(Rules!$A$2:$A$60,C101))*(Rules!$A$2:$A$60&lt;&gt;""),0)</f>
        <v>24</v>
      </c>
      <c r="E101" s="60" t="str">
        <f t="array" ref="E101">INDEX(Rules!$A$2:$A$60,D101)</f>
        <v>utility</v>
      </c>
      <c r="F101" s="60">
        <f t="shared" si="1"/>
        <v>1054</v>
      </c>
      <c r="G101" s="60">
        <f>IFERROR(__xludf.DUMMYFUNCTION("IFERROR(VALUE(SUBSTITUTE(REGEXEXTRACT(Raw_Data!J101,""Cost of goods sold: \$([\d,]+)""),"","","""")),0)"),0.0)</f>
        <v>0</v>
      </c>
      <c r="H101" s="60">
        <f>IFERROR(__xludf.DUMMYFUNCTION("IFERROR(VALUE(SUBSTITUTE(REGEXEXTRACT(Raw_Data!J101,""withheld a \$([\d,]+) fee""),"","","""")),0)"),0.0)</f>
        <v>0</v>
      </c>
      <c r="I101" s="60">
        <f t="shared" si="2"/>
        <v>1054</v>
      </c>
      <c r="J101" s="60">
        <f>IFERROR(__xludf.DUMMYFUNCTION("IFERROR(VALUE(SUBSTITUTE(REGEXEXTRACT(Raw_Data!J101,""(?i)interest \$([\d,]+)""),"","","""")),0)"),0.0)</f>
        <v>0</v>
      </c>
      <c r="K101" s="60">
        <f t="shared" si="3"/>
        <v>1054</v>
      </c>
      <c r="L101" s="60">
        <f>IFERROR(__xludf.DUMMYFUNCTION("IFERROR(VALUE(SUBSTITUTE(REGEXEXTRACT(Raw_Data!F101,""\$([\d,]+) prior deposit applied""),"","","""")),0)"),0.0)</f>
        <v>0</v>
      </c>
      <c r="M101" s="60">
        <f t="shared" si="4"/>
        <v>1054</v>
      </c>
      <c r="N101" s="60">
        <f>IFERROR(__xludf.DUMMYFUNCTION("IFERROR(VALUE(SUBSTITUTE(REGEXEXTRACT(Raw_Data!F101,""^\$([\d,]+) cash""),"","","""")),0)"),0.0)</f>
        <v>0</v>
      </c>
      <c r="O101" s="60">
        <f t="shared" si="5"/>
        <v>1054</v>
      </c>
      <c r="P101" s="60">
        <f>IFERROR(__xludf.DUMMYFUNCTION("IFERROR(VALUE(SUBSTITUTE(REGEXEXTRACT(Raw_Data!J101,""labour \d+ h at \$\d+/h: \$([\d,]+)""),"","","""")),0)"),0.0)</f>
        <v>0</v>
      </c>
      <c r="Q101" s="60">
        <f t="shared" si="6"/>
        <v>1054</v>
      </c>
      <c r="R101" s="60" t="str">
        <f t="array" ref="R101">IF(INDEX(Rules!$B$2:$B$60,$D101)="","",INDEX(Rules!$B$2:$B$60,$D101))</f>
        <v>Utilities Expense</v>
      </c>
      <c r="S101" s="60" t="str">
        <f t="array" ref="S101">IF(INDEX(Rules!$E$2:$E$60,$D101)="","",INDEX(Rules!$E$2:$E$60,$D101))</f>
        <v/>
      </c>
      <c r="T101" s="60" t="str">
        <f t="array" ref="T101">IF(INDEX(Rules!$H$2:$H$60,$D101)="","",INDEX(Rules!$H$2:$H$60,$D101))</f>
        <v/>
      </c>
      <c r="U101" s="60" t="str">
        <f t="array" ref="U101">IF(INDEX(Rules!$C$2:$C$60,$D101)="","",INDEX(Rules!$C$2:$C$60,$D101))</f>
        <v>Cash</v>
      </c>
      <c r="V101" s="60" t="str">
        <f t="array" ref="V101">IF(INDEX(Rules!$F$2:$F$60,$D101)="","",INDEX(Rules!$F$2:$F$60,$D101))</f>
        <v/>
      </c>
      <c r="W101" s="60" t="str">
        <f t="array" ref="W101">IF(INDEX(Rules!$I$2:$I$60,$D101)="","",INDEX(Rules!$I$2:$I$60,$D101))</f>
        <v/>
      </c>
      <c r="X101" s="60">
        <f t="array" ref="X101">IF(R101="","",INDEX($F101:$Q101,MATCH(INDEX(Rules!$D$2:$D$60,$D101),$F$1:$Q$1,0)))</f>
        <v>1054</v>
      </c>
      <c r="Y101" s="60" t="str">
        <f t="array" ref="Y101">IF(S101="","",INDEX($F101:$Q101,MATCH(INDEX(Rules!$G$2:$G$60,$D101),$F$1:$Q$1,0)))</f>
        <v/>
      </c>
      <c r="Z101" s="60" t="str">
        <f t="array" ref="Z101">IF(T101="","",INDEX($F101:$Q101,MATCH(INDEX(Rules!$J$2:$J$60,$D101),$F$1:$Q$1,0)))</f>
        <v/>
      </c>
      <c r="AA101" s="60" t="str">
        <f t="array" ref="AA101">IF(INDEX(Rules!$K$2:$K$60,$D101)="","",INDEX(Rules!$K$2:$K$60,$D101))</f>
        <v>monthly utilities</v>
      </c>
      <c r="AB101" s="60" t="str">
        <f>IF(SUMPRODUCT((R101:W101&lt;&gt;"")*(ISNUMBER(SEARCH(Raw_Data!E101,R101:W101))+ISNUMBER(SEARCH(R101:W101,Raw_Data!E101))))&gt;0,"OK","CHECK")</f>
        <v>OK</v>
      </c>
    </row>
    <row r="102">
      <c r="A102" s="60" t="str">
        <f>Raw_Data!A102</f>
        <v>VVV-2024-101</v>
      </c>
      <c r="B102" s="60">
        <f>Raw_Data!D102</f>
        <v>5400</v>
      </c>
      <c r="C102" s="60" t="str">
        <f>LOWER(Raw_Data!C102&amp;" | "&amp;Raw_Data!F102)</f>
        <v>monthly facility rent | automatic bank transfer; settled</v>
      </c>
      <c r="D102" s="60">
        <f t="array" ref="D102">MATCH(1,ISNUMBER(SEARCH(Rules!$A$2:$A$60,C102))*(Rules!$A$2:$A$60&lt;&gt;""),0)</f>
        <v>15</v>
      </c>
      <c r="E102" s="60" t="str">
        <f t="array" ref="E102">INDEX(Rules!$A$2:$A$60,D102)</f>
        <v>facility rent</v>
      </c>
      <c r="F102" s="60">
        <f t="shared" si="1"/>
        <v>5400</v>
      </c>
      <c r="G102" s="60">
        <f>IFERROR(__xludf.DUMMYFUNCTION("IFERROR(VALUE(SUBSTITUTE(REGEXEXTRACT(Raw_Data!J102,""Cost of goods sold: \$([\d,]+)""),"","","""")),0)"),0.0)</f>
        <v>0</v>
      </c>
      <c r="H102" s="60">
        <f>IFERROR(__xludf.DUMMYFUNCTION("IFERROR(VALUE(SUBSTITUTE(REGEXEXTRACT(Raw_Data!J102,""withheld a \$([\d,]+) fee""),"","","""")),0)"),0.0)</f>
        <v>0</v>
      </c>
      <c r="I102" s="60">
        <f t="shared" si="2"/>
        <v>5400</v>
      </c>
      <c r="J102" s="60">
        <f>IFERROR(__xludf.DUMMYFUNCTION("IFERROR(VALUE(SUBSTITUTE(REGEXEXTRACT(Raw_Data!J102,""(?i)interest \$([\d,]+)""),"","","""")),0)"),0.0)</f>
        <v>0</v>
      </c>
      <c r="K102" s="60">
        <f t="shared" si="3"/>
        <v>5400</v>
      </c>
      <c r="L102" s="60">
        <f>IFERROR(__xludf.DUMMYFUNCTION("IFERROR(VALUE(SUBSTITUTE(REGEXEXTRACT(Raw_Data!F102,""\$([\d,]+) prior deposit applied""),"","","""")),0)"),0.0)</f>
        <v>0</v>
      </c>
      <c r="M102" s="60">
        <f t="shared" si="4"/>
        <v>5400</v>
      </c>
      <c r="N102" s="60">
        <f>IFERROR(__xludf.DUMMYFUNCTION("IFERROR(VALUE(SUBSTITUTE(REGEXEXTRACT(Raw_Data!F102,""^\$([\d,]+) cash""),"","","""")),0)"),0.0)</f>
        <v>0</v>
      </c>
      <c r="O102" s="60">
        <f t="shared" si="5"/>
        <v>5400</v>
      </c>
      <c r="P102" s="60">
        <f>IFERROR(__xludf.DUMMYFUNCTION("IFERROR(VALUE(SUBSTITUTE(REGEXEXTRACT(Raw_Data!J102,""labour \d+ h at \$\d+/h: \$([\d,]+)""),"","","""")),0)"),0.0)</f>
        <v>0</v>
      </c>
      <c r="Q102" s="60">
        <f t="shared" si="6"/>
        <v>5400</v>
      </c>
      <c r="R102" s="60" t="str">
        <f t="array" ref="R102">IF(INDEX(Rules!$B$2:$B$60,$D102)="","",INDEX(Rules!$B$2:$B$60,$D102))</f>
        <v>Rent Expense</v>
      </c>
      <c r="S102" s="60" t="str">
        <f t="array" ref="S102">IF(INDEX(Rules!$E$2:$E$60,$D102)="","",INDEX(Rules!$E$2:$E$60,$D102))</f>
        <v/>
      </c>
      <c r="T102" s="60" t="str">
        <f t="array" ref="T102">IF(INDEX(Rules!$H$2:$H$60,$D102)="","",INDEX(Rules!$H$2:$H$60,$D102))</f>
        <v/>
      </c>
      <c r="U102" s="60" t="str">
        <f t="array" ref="U102">IF(INDEX(Rules!$C$2:$C$60,$D102)="","",INDEX(Rules!$C$2:$C$60,$D102))</f>
        <v>Cash</v>
      </c>
      <c r="V102" s="60" t="str">
        <f t="array" ref="V102">IF(INDEX(Rules!$F$2:$F$60,$D102)="","",INDEX(Rules!$F$2:$F$60,$D102))</f>
        <v/>
      </c>
      <c r="W102" s="60" t="str">
        <f t="array" ref="W102">IF(INDEX(Rules!$I$2:$I$60,$D102)="","",INDEX(Rules!$I$2:$I$60,$D102))</f>
        <v/>
      </c>
      <c r="X102" s="60">
        <f t="array" ref="X102">IF(R102="","",INDEX($F102:$Q102,MATCH(INDEX(Rules!$D$2:$D$60,$D102),$F$1:$Q$1,0)))</f>
        <v>5400</v>
      </c>
      <c r="Y102" s="60" t="str">
        <f t="array" ref="Y102">IF(S102="","",INDEX($F102:$Q102,MATCH(INDEX(Rules!$G$2:$G$60,$D102),$F$1:$Q$1,0)))</f>
        <v/>
      </c>
      <c r="Z102" s="60" t="str">
        <f t="array" ref="Z102">IF(T102="","",INDEX($F102:$Q102,MATCH(INDEX(Rules!$J$2:$J$60,$D102),$F$1:$Q$1,0)))</f>
        <v/>
      </c>
      <c r="AA102" s="60" t="str">
        <f t="array" ref="AA102">IF(INDEX(Rules!$K$2:$K$60,$D102)="","",INDEX(Rules!$K$2:$K$60,$D102))</f>
        <v>monthly rent</v>
      </c>
      <c r="AB102" s="60" t="str">
        <f>IF(SUMPRODUCT((R102:W102&lt;&gt;"")*(ISNUMBER(SEARCH(Raw_Data!E102,R102:W102))+ISNUMBER(SEARCH(R102:W102,Raw_Data!E102))))&gt;0,"OK","CHECK")</f>
        <v>OK</v>
      </c>
    </row>
    <row r="103">
      <c r="A103" s="60" t="str">
        <f>Raw_Data!A103</f>
        <v>VVV-2024-102</v>
      </c>
      <c r="B103" s="60">
        <f>Raw_Data!D103</f>
        <v>1000</v>
      </c>
      <c r="C103" s="60" t="str">
        <f>LOWER(Raw_Data!C103&amp;" | "&amp;Raw_Data!F103)</f>
        <v>fleet service work order | paid from business bank account</v>
      </c>
      <c r="D103" s="60">
        <f t="array" ref="D103">MATCH(1,ISNUMBER(SEARCH(Rules!$A$2:$A$60,C103))*(Rules!$A$2:$A$60&lt;&gt;""),0)</f>
        <v>5</v>
      </c>
      <c r="E103" s="60" t="str">
        <f t="array" ref="E103">INDEX(Rules!$A$2:$A$60,D103)</f>
        <v>fleet service work order</v>
      </c>
      <c r="F103" s="60">
        <f t="shared" si="1"/>
        <v>1000</v>
      </c>
      <c r="G103" s="60">
        <f>IFERROR(__xludf.DUMMYFUNCTION("IFERROR(VALUE(SUBSTITUTE(REGEXEXTRACT(Raw_Data!J103,""Cost of goods sold: \$([\d,]+)""),"","","""")),0)"),0.0)</f>
        <v>0</v>
      </c>
      <c r="H103" s="60">
        <f>IFERROR(__xludf.DUMMYFUNCTION("IFERROR(VALUE(SUBSTITUTE(REGEXEXTRACT(Raw_Data!J103,""withheld a \$([\d,]+) fee""),"","","""")),0)"),0.0)</f>
        <v>0</v>
      </c>
      <c r="I103" s="60">
        <f t="shared" si="2"/>
        <v>1000</v>
      </c>
      <c r="J103" s="60">
        <f>IFERROR(__xludf.DUMMYFUNCTION("IFERROR(VALUE(SUBSTITUTE(REGEXEXTRACT(Raw_Data!J103,""(?i)interest \$([\d,]+)""),"","","""")),0)"),0.0)</f>
        <v>0</v>
      </c>
      <c r="K103" s="60">
        <f t="shared" si="3"/>
        <v>1000</v>
      </c>
      <c r="L103" s="60">
        <f>IFERROR(__xludf.DUMMYFUNCTION("IFERROR(VALUE(SUBSTITUTE(REGEXEXTRACT(Raw_Data!F103,""\$([\d,]+) prior deposit applied""),"","","""")),0)"),0.0)</f>
        <v>0</v>
      </c>
      <c r="M103" s="60">
        <f t="shared" si="4"/>
        <v>1000</v>
      </c>
      <c r="N103" s="60">
        <f>IFERROR(__xludf.DUMMYFUNCTION("IFERROR(VALUE(SUBSTITUTE(REGEXEXTRACT(Raw_Data!F103,""^\$([\d,]+) cash""),"","","""")),0)"),0.0)</f>
        <v>0</v>
      </c>
      <c r="O103" s="60">
        <f t="shared" si="5"/>
        <v>1000</v>
      </c>
      <c r="P103" s="60">
        <f>IFERROR(__xludf.DUMMYFUNCTION("IFERROR(VALUE(SUBSTITUTE(REGEXEXTRACT(Raw_Data!J103,""labour \d+ h at \$\d+/h: \$([\d,]+)""),"","","""")),0)"),0.0)</f>
        <v>0</v>
      </c>
      <c r="Q103" s="60">
        <f t="shared" si="6"/>
        <v>1000</v>
      </c>
      <c r="R103" s="60" t="str">
        <f t="array" ref="R103">IF(INDEX(Rules!$B$2:$B$60,$D103)="","",INDEX(Rules!$B$2:$B$60,$D103))</f>
        <v>Repairs and Maintenance Expense</v>
      </c>
      <c r="S103" s="60" t="str">
        <f t="array" ref="S103">IF(INDEX(Rules!$E$2:$E$60,$D103)="","",INDEX(Rules!$E$2:$E$60,$D103))</f>
        <v/>
      </c>
      <c r="T103" s="60" t="str">
        <f t="array" ref="T103">IF(INDEX(Rules!$H$2:$H$60,$D103)="","",INDEX(Rules!$H$2:$H$60,$D103))</f>
        <v/>
      </c>
      <c r="U103" s="60" t="str">
        <f t="array" ref="U103">IF(INDEX(Rules!$C$2:$C$60,$D103)="","",INDEX(Rules!$C$2:$C$60,$D103))</f>
        <v>Cash</v>
      </c>
      <c r="V103" s="60" t="str">
        <f t="array" ref="V103">IF(INDEX(Rules!$F$2:$F$60,$D103)="","",INDEX(Rules!$F$2:$F$60,$D103))</f>
        <v/>
      </c>
      <c r="W103" s="60" t="str">
        <f t="array" ref="W103">IF(INDEX(Rules!$I$2:$I$60,$D103)="","",INDEX(Rules!$I$2:$I$60,$D103))</f>
        <v/>
      </c>
      <c r="X103" s="60">
        <f t="array" ref="X103">IF(R103="","",INDEX($F103:$Q103,MATCH(INDEX(Rules!$D$2:$D$60,$D103),$F$1:$Q$1,0)))</f>
        <v>1000</v>
      </c>
      <c r="Y103" s="60" t="str">
        <f t="array" ref="Y103">IF(S103="","",INDEX($F103:$Q103,MATCH(INDEX(Rules!$G$2:$G$60,$D103),$F$1:$Q$1,0)))</f>
        <v/>
      </c>
      <c r="Z103" s="60" t="str">
        <f t="array" ref="Z103">IF(T103="","",INDEX($F103:$Q103,MATCH(INDEX(Rules!$J$2:$J$60,$D103),$F$1:$Q$1,0)))</f>
        <v/>
      </c>
      <c r="AA103" s="60" t="str">
        <f t="array" ref="AA103">IF(INDEX(Rules!$K$2:$K$60,$D103)="","",INDEX(Rules!$K$2:$K$60,$D103))</f>
        <v>fleet repairs</v>
      </c>
      <c r="AB103" s="60" t="str">
        <f>IF(SUMPRODUCT((R103:W103&lt;&gt;"")*(ISNUMBER(SEARCH(Raw_Data!E103,R103:W103))+ISNUMBER(SEARCH(R103:W103,Raw_Data!E103))))&gt;0,"OK","CHECK")</f>
        <v>CHECK</v>
      </c>
    </row>
    <row r="104">
      <c r="A104" s="60" t="str">
        <f>Raw_Data!A104</f>
        <v>VVV-2024-103</v>
      </c>
      <c r="B104" s="60">
        <f>Raw_Data!D104</f>
        <v>600</v>
      </c>
      <c r="C104" s="60" t="str">
        <f>LOWER(Raw_Data!C104&amp;" | "&amp;Raw_Data!F104)</f>
        <v>monthly business insurance premium | automatic bank transfer; settled</v>
      </c>
      <c r="D104" s="60">
        <f t="array" ref="D104">MATCH(1,ISNUMBER(SEARCH(Rules!$A$2:$A$60,C104))*(Rules!$A$2:$A$60&lt;&gt;""),0)</f>
        <v>20</v>
      </c>
      <c r="E104" s="60" t="str">
        <f t="array" ref="E104">INDEX(Rules!$A$2:$A$60,D104)</f>
        <v>insurance</v>
      </c>
      <c r="F104" s="60">
        <f t="shared" si="1"/>
        <v>600</v>
      </c>
      <c r="G104" s="60">
        <f>IFERROR(__xludf.DUMMYFUNCTION("IFERROR(VALUE(SUBSTITUTE(REGEXEXTRACT(Raw_Data!J104,""Cost of goods sold: \$([\d,]+)""),"","","""")),0)"),0.0)</f>
        <v>0</v>
      </c>
      <c r="H104" s="60">
        <f>IFERROR(__xludf.DUMMYFUNCTION("IFERROR(VALUE(SUBSTITUTE(REGEXEXTRACT(Raw_Data!J104,""withheld a \$([\d,]+) fee""),"","","""")),0)"),0.0)</f>
        <v>0</v>
      </c>
      <c r="I104" s="60">
        <f t="shared" si="2"/>
        <v>600</v>
      </c>
      <c r="J104" s="60">
        <f>IFERROR(__xludf.DUMMYFUNCTION("IFERROR(VALUE(SUBSTITUTE(REGEXEXTRACT(Raw_Data!J104,""(?i)interest \$([\d,]+)""),"","","""")),0)"),0.0)</f>
        <v>0</v>
      </c>
      <c r="K104" s="60">
        <f t="shared" si="3"/>
        <v>600</v>
      </c>
      <c r="L104" s="60">
        <f>IFERROR(__xludf.DUMMYFUNCTION("IFERROR(VALUE(SUBSTITUTE(REGEXEXTRACT(Raw_Data!F104,""\$([\d,]+) prior deposit applied""),"","","""")),0)"),0.0)</f>
        <v>0</v>
      </c>
      <c r="M104" s="60">
        <f t="shared" si="4"/>
        <v>600</v>
      </c>
      <c r="N104" s="60">
        <f>IFERROR(__xludf.DUMMYFUNCTION("IFERROR(VALUE(SUBSTITUTE(REGEXEXTRACT(Raw_Data!F104,""^\$([\d,]+) cash""),"","","""")),0)"),0.0)</f>
        <v>0</v>
      </c>
      <c r="O104" s="60">
        <f t="shared" si="5"/>
        <v>600</v>
      </c>
      <c r="P104" s="60">
        <f>IFERROR(__xludf.DUMMYFUNCTION("IFERROR(VALUE(SUBSTITUTE(REGEXEXTRACT(Raw_Data!J104,""labour \d+ h at \$\d+/h: \$([\d,]+)""),"","","""")),0)"),0.0)</f>
        <v>0</v>
      </c>
      <c r="Q104" s="60">
        <f t="shared" si="6"/>
        <v>600</v>
      </c>
      <c r="R104" s="60" t="str">
        <f t="array" ref="R104">IF(INDEX(Rules!$B$2:$B$60,$D104)="","",INDEX(Rules!$B$2:$B$60,$D104))</f>
        <v>Insurance Expense</v>
      </c>
      <c r="S104" s="60" t="str">
        <f t="array" ref="S104">IF(INDEX(Rules!$E$2:$E$60,$D104)="","",INDEX(Rules!$E$2:$E$60,$D104))</f>
        <v/>
      </c>
      <c r="T104" s="60" t="str">
        <f t="array" ref="T104">IF(INDEX(Rules!$H$2:$H$60,$D104)="","",INDEX(Rules!$H$2:$H$60,$D104))</f>
        <v/>
      </c>
      <c r="U104" s="60" t="str">
        <f t="array" ref="U104">IF(INDEX(Rules!$C$2:$C$60,$D104)="","",INDEX(Rules!$C$2:$C$60,$D104))</f>
        <v>Cash</v>
      </c>
      <c r="V104" s="60" t="str">
        <f t="array" ref="V104">IF(INDEX(Rules!$F$2:$F$60,$D104)="","",INDEX(Rules!$F$2:$F$60,$D104))</f>
        <v/>
      </c>
      <c r="W104" s="60" t="str">
        <f t="array" ref="W104">IF(INDEX(Rules!$I$2:$I$60,$D104)="","",INDEX(Rules!$I$2:$I$60,$D104))</f>
        <v/>
      </c>
      <c r="X104" s="60">
        <f t="array" ref="X104">IF(R104="","",INDEX($F104:$Q104,MATCH(INDEX(Rules!$D$2:$D$60,$D104),$F$1:$Q$1,0)))</f>
        <v>600</v>
      </c>
      <c r="Y104" s="60" t="str">
        <f t="array" ref="Y104">IF(S104="","",INDEX($F104:$Q104,MATCH(INDEX(Rules!$G$2:$G$60,$D104),$F$1:$Q$1,0)))</f>
        <v/>
      </c>
      <c r="Z104" s="60" t="str">
        <f t="array" ref="Z104">IF(T104="","",INDEX($F104:$Q104,MATCH(INDEX(Rules!$J$2:$J$60,$D104),$F$1:$Q$1,0)))</f>
        <v/>
      </c>
      <c r="AA104" s="60" t="str">
        <f t="array" ref="AA104">IF(INDEX(Rules!$K$2:$K$60,$D104)="","",INDEX(Rules!$K$2:$K$60,$D104))</f>
        <v>monthly insurance</v>
      </c>
      <c r="AB104" s="60" t="str">
        <f>IF(SUMPRODUCT((R104:W104&lt;&gt;"")*(ISNUMBER(SEARCH(Raw_Data!E104,R104:W104))+ISNUMBER(SEARCH(R104:W104,Raw_Data!E104))))&gt;0,"OK","CHECK")</f>
        <v>OK</v>
      </c>
    </row>
    <row r="105">
      <c r="A105" s="60" t="str">
        <f>Raw_Data!A105</f>
        <v>VVV-2024-104</v>
      </c>
      <c r="B105" s="60">
        <f>Raw_Data!D105</f>
        <v>7000</v>
      </c>
      <c r="C105" s="60" t="str">
        <f>LOWER(Raw_Data!C105&amp;" | "&amp;Raw_Data!F105)</f>
        <v>equipment rental receipts batch | cash and card receipts; settled</v>
      </c>
      <c r="D105" s="60">
        <f t="array" ref="D105">MATCH(1,ISNUMBER(SEARCH(Rules!$A$2:$A$60,C105))*(Rules!$A$2:$A$60&lt;&gt;""),0)</f>
        <v>26</v>
      </c>
      <c r="E105" s="60" t="str">
        <f t="array" ref="E105">INDEX(Rules!$A$2:$A$60,D105)</f>
        <v>rental receipts</v>
      </c>
      <c r="F105" s="60">
        <f t="shared" si="1"/>
        <v>7000</v>
      </c>
      <c r="G105" s="60">
        <f>IFERROR(__xludf.DUMMYFUNCTION("IFERROR(VALUE(SUBSTITUTE(REGEXEXTRACT(Raw_Data!J105,""Cost of goods sold: \$([\d,]+)""),"","","""")),0)"),0.0)</f>
        <v>0</v>
      </c>
      <c r="H105" s="60">
        <f>IFERROR(__xludf.DUMMYFUNCTION("IFERROR(VALUE(SUBSTITUTE(REGEXEXTRACT(Raw_Data!J105,""withheld a \$([\d,]+) fee""),"","","""")),0)"),0.0)</f>
        <v>0</v>
      </c>
      <c r="I105" s="60">
        <f t="shared" si="2"/>
        <v>7000</v>
      </c>
      <c r="J105" s="60">
        <f>IFERROR(__xludf.DUMMYFUNCTION("IFERROR(VALUE(SUBSTITUTE(REGEXEXTRACT(Raw_Data!J105,""(?i)interest \$([\d,]+)""),"","","""")),0)"),0.0)</f>
        <v>0</v>
      </c>
      <c r="K105" s="60">
        <f t="shared" si="3"/>
        <v>7000</v>
      </c>
      <c r="L105" s="60">
        <f>IFERROR(__xludf.DUMMYFUNCTION("IFERROR(VALUE(SUBSTITUTE(REGEXEXTRACT(Raw_Data!F105,""\$([\d,]+) prior deposit applied""),"","","""")),0)"),0.0)</f>
        <v>0</v>
      </c>
      <c r="M105" s="60">
        <f t="shared" si="4"/>
        <v>7000</v>
      </c>
      <c r="N105" s="60">
        <f>IFERROR(__xludf.DUMMYFUNCTION("IFERROR(VALUE(SUBSTITUTE(REGEXEXTRACT(Raw_Data!F105,""^\$([\d,]+) cash""),"","","""")),0)"),0.0)</f>
        <v>0</v>
      </c>
      <c r="O105" s="60">
        <f t="shared" si="5"/>
        <v>7000</v>
      </c>
      <c r="P105" s="60">
        <f>IFERROR(__xludf.DUMMYFUNCTION("IFERROR(VALUE(SUBSTITUTE(REGEXEXTRACT(Raw_Data!J105,""labour \d+ h at \$\d+/h: \$([\d,]+)""),"","","""")),0)"),0.0)</f>
        <v>0</v>
      </c>
      <c r="Q105" s="60">
        <f t="shared" si="6"/>
        <v>7000</v>
      </c>
      <c r="R105" s="60" t="str">
        <f t="array" ref="R105">IF(INDEX(Rules!$B$2:$B$60,$D105)="","",INDEX(Rules!$B$2:$B$60,$D105))</f>
        <v>Cash</v>
      </c>
      <c r="S105" s="60" t="str">
        <f t="array" ref="S105">IF(INDEX(Rules!$E$2:$E$60,$D105)="","",INDEX(Rules!$E$2:$E$60,$D105))</f>
        <v/>
      </c>
      <c r="T105" s="60" t="str">
        <f t="array" ref="T105">IF(INDEX(Rules!$H$2:$H$60,$D105)="","",INDEX(Rules!$H$2:$H$60,$D105))</f>
        <v/>
      </c>
      <c r="U105" s="60" t="str">
        <f t="array" ref="U105">IF(INDEX(Rules!$C$2:$C$60,$D105)="","",INDEX(Rules!$C$2:$C$60,$D105))</f>
        <v>Equipment Rental Revenue</v>
      </c>
      <c r="V105" s="60" t="str">
        <f t="array" ref="V105">IF(INDEX(Rules!$F$2:$F$60,$D105)="","",INDEX(Rules!$F$2:$F$60,$D105))</f>
        <v/>
      </c>
      <c r="W105" s="60" t="str">
        <f t="array" ref="W105">IF(INDEX(Rules!$I$2:$I$60,$D105)="","",INDEX(Rules!$I$2:$I$60,$D105))</f>
        <v/>
      </c>
      <c r="X105" s="60">
        <f t="array" ref="X105">IF(R105="","",INDEX($F105:$Q105,MATCH(INDEX(Rules!$D$2:$D$60,$D105),$F$1:$Q$1,0)))</f>
        <v>7000</v>
      </c>
      <c r="Y105" s="60" t="str">
        <f t="array" ref="Y105">IF(S105="","",INDEX($F105:$Q105,MATCH(INDEX(Rules!$G$2:$G$60,$D105),$F$1:$Q$1,0)))</f>
        <v/>
      </c>
      <c r="Z105" s="60" t="str">
        <f t="array" ref="Z105">IF(T105="","",INDEX($F105:$Q105,MATCH(INDEX(Rules!$J$2:$J$60,$D105),$F$1:$Q$1,0)))</f>
        <v/>
      </c>
      <c r="AA105" s="60" t="str">
        <f t="array" ref="AA105">IF(INDEX(Rules!$K$2:$K$60,$D105)="","",INDEX(Rules!$K$2:$K$60,$D105))</f>
        <v>rentals done and paid</v>
      </c>
      <c r="AB105" s="60" t="str">
        <f>IF(SUMPRODUCT((R105:W105&lt;&gt;"")*(ISNUMBER(SEARCH(Raw_Data!E105,R105:W105))+ISNUMBER(SEARCH(R105:W105,Raw_Data!E105))))&gt;0,"OK","CHECK")</f>
        <v>OK</v>
      </c>
    </row>
    <row r="106">
      <c r="A106" s="60" t="str">
        <f>Raw_Data!A106</f>
        <v>VVV-2024-105</v>
      </c>
      <c r="B106" s="60">
        <f>Raw_Data!D106</f>
        <v>5000</v>
      </c>
      <c r="C106" s="60" t="str">
        <f>LOWER(Raw_Data!C106&amp;" | "&amp;Raw_Data!F106)</f>
        <v>corporate guided tour completed on account | invoice; due january 2025</v>
      </c>
      <c r="D106" s="60">
        <f t="array" ref="D106">MATCH(1,ISNUMBER(SEARCH(Rules!$A$2:$A$60,C106))*(Rules!$A$2:$A$60&lt;&gt;""),0)</f>
        <v>29</v>
      </c>
      <c r="E106" s="60" t="str">
        <f t="array" ref="E106">INDEX(Rules!$A$2:$A$60,D106)</f>
        <v>completed on account</v>
      </c>
      <c r="F106" s="60">
        <f t="shared" si="1"/>
        <v>5000</v>
      </c>
      <c r="G106" s="60">
        <f>IFERROR(__xludf.DUMMYFUNCTION("IFERROR(VALUE(SUBSTITUTE(REGEXEXTRACT(Raw_Data!J106,""Cost of goods sold: \$([\d,]+)""),"","","""")),0)"),0.0)</f>
        <v>0</v>
      </c>
      <c r="H106" s="60">
        <f>IFERROR(__xludf.DUMMYFUNCTION("IFERROR(VALUE(SUBSTITUTE(REGEXEXTRACT(Raw_Data!J106,""withheld a \$([\d,]+) fee""),"","","""")),0)"),0.0)</f>
        <v>0</v>
      </c>
      <c r="I106" s="60">
        <f t="shared" si="2"/>
        <v>5000</v>
      </c>
      <c r="J106" s="60">
        <f>IFERROR(__xludf.DUMMYFUNCTION("IFERROR(VALUE(SUBSTITUTE(REGEXEXTRACT(Raw_Data!J106,""(?i)interest \$([\d,]+)""),"","","""")),0)"),0.0)</f>
        <v>0</v>
      </c>
      <c r="K106" s="60">
        <f t="shared" si="3"/>
        <v>5000</v>
      </c>
      <c r="L106" s="60">
        <f>IFERROR(__xludf.DUMMYFUNCTION("IFERROR(VALUE(SUBSTITUTE(REGEXEXTRACT(Raw_Data!F106,""\$([\d,]+) prior deposit applied""),"","","""")),0)"),0.0)</f>
        <v>0</v>
      </c>
      <c r="M106" s="60">
        <f t="shared" si="4"/>
        <v>5000</v>
      </c>
      <c r="N106" s="60">
        <f>IFERROR(__xludf.DUMMYFUNCTION("IFERROR(VALUE(SUBSTITUTE(REGEXEXTRACT(Raw_Data!F106,""^\$([\d,]+) cash""),"","","""")),0)"),0.0)</f>
        <v>0</v>
      </c>
      <c r="O106" s="60">
        <f t="shared" si="5"/>
        <v>5000</v>
      </c>
      <c r="P106" s="60">
        <f>IFERROR(__xludf.DUMMYFUNCTION("IFERROR(VALUE(SUBSTITUTE(REGEXEXTRACT(Raw_Data!J106,""labour \d+ h at \$\d+/h: \$([\d,]+)""),"","","""")),0)"),0.0)</f>
        <v>0</v>
      </c>
      <c r="Q106" s="60">
        <f t="shared" si="6"/>
        <v>5000</v>
      </c>
      <c r="R106" s="60" t="str">
        <f t="array" ref="R106">IF(INDEX(Rules!$B$2:$B$60,$D106)="","",INDEX(Rules!$B$2:$B$60,$D106))</f>
        <v>Accounts Receivable</v>
      </c>
      <c r="S106" s="60" t="str">
        <f t="array" ref="S106">IF(INDEX(Rules!$E$2:$E$60,$D106)="","",INDEX(Rules!$E$2:$E$60,$D106))</f>
        <v/>
      </c>
      <c r="T106" s="60" t="str">
        <f t="array" ref="T106">IF(INDEX(Rules!$H$2:$H$60,$D106)="","",INDEX(Rules!$H$2:$H$60,$D106))</f>
        <v/>
      </c>
      <c r="U106" s="60" t="str">
        <f t="array" ref="U106">IF(INDEX(Rules!$C$2:$C$60,$D106)="","",INDEX(Rules!$C$2:$C$60,$D106))</f>
        <v>Tour Revenue</v>
      </c>
      <c r="V106" s="60" t="str">
        <f t="array" ref="V106">IF(INDEX(Rules!$F$2:$F$60,$D106)="","",INDEX(Rules!$F$2:$F$60,$D106))</f>
        <v/>
      </c>
      <c r="W106" s="60" t="str">
        <f t="array" ref="W106">IF(INDEX(Rules!$I$2:$I$60,$D106)="","",INDEX(Rules!$I$2:$I$60,$D106))</f>
        <v/>
      </c>
      <c r="X106" s="60">
        <f t="array" ref="X106">IF(R106="","",INDEX($F106:$Q106,MATCH(INDEX(Rules!$D$2:$D$60,$D106),$F$1:$Q$1,0)))</f>
        <v>5000</v>
      </c>
      <c r="Y106" s="60" t="str">
        <f t="array" ref="Y106">IF(S106="","",INDEX($F106:$Q106,MATCH(INDEX(Rules!$G$2:$G$60,$D106),$F$1:$Q$1,0)))</f>
        <v/>
      </c>
      <c r="Z106" s="60" t="str">
        <f t="array" ref="Z106">IF(T106="","",INDEX($F106:$Q106,MATCH(INDEX(Rules!$J$2:$J$60,$D106),$F$1:$Q$1,0)))</f>
        <v/>
      </c>
      <c r="AA106" s="60" t="str">
        <f t="array" ref="AA106">IF(INDEX(Rules!$K$2:$K$60,$D106)="","",INDEX(Rules!$K$2:$K$60,$D106))</f>
        <v>tour done so revenue now, cash later</v>
      </c>
      <c r="AB106" s="60" t="str">
        <f>IF(SUMPRODUCT((R106:W106&lt;&gt;"")*(ISNUMBER(SEARCH(Raw_Data!E106,R106:W106))+ISNUMBER(SEARCH(R106:W106,Raw_Data!E106))))&gt;0,"OK","CHECK")</f>
        <v>OK</v>
      </c>
    </row>
    <row r="107">
      <c r="A107" s="60" t="str">
        <f>Raw_Data!A107</f>
        <v>VVV-2024-106</v>
      </c>
      <c r="B107" s="60">
        <f>Raw_Data!D107</f>
        <v>8660</v>
      </c>
      <c r="C107" s="60" t="str">
        <f>LOWER(Raw_Data!C107&amp;" | "&amp;Raw_Data!F107)</f>
        <v>employee payroll settlement | payroll and claims paid from business bank account</v>
      </c>
      <c r="D107" s="60">
        <f t="array" ref="D107">MATCH(1,ISNUMBER(SEARCH(Rules!$A$2:$A$60,C107))*(Rules!$A$2:$A$60&lt;&gt;""),0)</f>
        <v>23</v>
      </c>
      <c r="E107" s="60" t="str">
        <f t="array" ref="E107">INDEX(Rules!$A$2:$A$60,D107)</f>
        <v>payroll</v>
      </c>
      <c r="F107" s="60">
        <f t="shared" si="1"/>
        <v>8660</v>
      </c>
      <c r="G107" s="60">
        <f>IFERROR(__xludf.DUMMYFUNCTION("IFERROR(VALUE(SUBSTITUTE(REGEXEXTRACT(Raw_Data!J107,""Cost of goods sold: \$([\d,]+)""),"","","""")),0)"),0.0)</f>
        <v>0</v>
      </c>
      <c r="H107" s="60">
        <f>IFERROR(__xludf.DUMMYFUNCTION("IFERROR(VALUE(SUBSTITUTE(REGEXEXTRACT(Raw_Data!J107,""withheld a \$([\d,]+) fee""),"","","""")),0)"),0.0)</f>
        <v>0</v>
      </c>
      <c r="I107" s="60">
        <f t="shared" si="2"/>
        <v>8660</v>
      </c>
      <c r="J107" s="60">
        <f>IFERROR(__xludf.DUMMYFUNCTION("IFERROR(VALUE(SUBSTITUTE(REGEXEXTRACT(Raw_Data!J107,""(?i)interest \$([\d,]+)""),"","","""")),0)"),0.0)</f>
        <v>0</v>
      </c>
      <c r="K107" s="60">
        <f t="shared" si="3"/>
        <v>8660</v>
      </c>
      <c r="L107" s="60">
        <f>IFERROR(__xludf.DUMMYFUNCTION("IFERROR(VALUE(SUBSTITUTE(REGEXEXTRACT(Raw_Data!F107,""\$([\d,]+) prior deposit applied""),"","","""")),0)"),0.0)</f>
        <v>0</v>
      </c>
      <c r="M107" s="60">
        <f t="shared" si="4"/>
        <v>8660</v>
      </c>
      <c r="N107" s="60">
        <f>IFERROR(__xludf.DUMMYFUNCTION("IFERROR(VALUE(SUBSTITUTE(REGEXEXTRACT(Raw_Data!F107,""^\$([\d,]+) cash""),"","","""")),0)"),0.0)</f>
        <v>0</v>
      </c>
      <c r="O107" s="60">
        <f t="shared" si="5"/>
        <v>8660</v>
      </c>
      <c r="P107" s="60">
        <f>IFERROR(__xludf.DUMMYFUNCTION("IFERROR(VALUE(SUBSTITUTE(REGEXEXTRACT(Raw_Data!J107,""labour \d+ h at \$\d+/h: \$([\d,]+)""),"","","""")),0)"),0.0)</f>
        <v>0</v>
      </c>
      <c r="Q107" s="60">
        <f t="shared" si="6"/>
        <v>8660</v>
      </c>
      <c r="R107" s="60" t="str">
        <f t="array" ref="R107">IF(INDEX(Rules!$B$2:$B$60,$D107)="","",INDEX(Rules!$B$2:$B$60,$D107))</f>
        <v>Wages Expense</v>
      </c>
      <c r="S107" s="60" t="str">
        <f t="array" ref="S107">IF(INDEX(Rules!$E$2:$E$60,$D107)="","",INDEX(Rules!$E$2:$E$60,$D107))</f>
        <v/>
      </c>
      <c r="T107" s="60" t="str">
        <f t="array" ref="T107">IF(INDEX(Rules!$H$2:$H$60,$D107)="","",INDEX(Rules!$H$2:$H$60,$D107))</f>
        <v/>
      </c>
      <c r="U107" s="60" t="str">
        <f t="array" ref="U107">IF(INDEX(Rules!$C$2:$C$60,$D107)="","",INDEX(Rules!$C$2:$C$60,$D107))</f>
        <v>Cash</v>
      </c>
      <c r="V107" s="60" t="str">
        <f t="array" ref="V107">IF(INDEX(Rules!$F$2:$F$60,$D107)="","",INDEX(Rules!$F$2:$F$60,$D107))</f>
        <v/>
      </c>
      <c r="W107" s="60" t="str">
        <f t="array" ref="W107">IF(INDEX(Rules!$I$2:$I$60,$D107)="","",INDEX(Rules!$I$2:$I$60,$D107))</f>
        <v/>
      </c>
      <c r="X107" s="60">
        <f t="array" ref="X107">IF(R107="","",INDEX($F107:$Q107,MATCH(INDEX(Rules!$D$2:$D$60,$D107),$F$1:$Q$1,0)))</f>
        <v>8660</v>
      </c>
      <c r="Y107" s="60" t="str">
        <f t="array" ref="Y107">IF(S107="","",INDEX($F107:$Q107,MATCH(INDEX(Rules!$G$2:$G$60,$D107),$F$1:$Q$1,0)))</f>
        <v/>
      </c>
      <c r="Z107" s="60" t="str">
        <f t="array" ref="Z107">IF(T107="","",INDEX($F107:$Q107,MATCH(INDEX(Rules!$J$2:$J$60,$D107),$F$1:$Q$1,0)))</f>
        <v/>
      </c>
      <c r="AA107" s="60" t="str">
        <f t="array" ref="AA107">IF(INDEX(Rules!$K$2:$K$60,$D107)="","",INDEX(Rules!$K$2:$K$60,$D107))</f>
        <v>wages, includes E04's $200 travel claim</v>
      </c>
      <c r="AB107" s="60" t="str">
        <f>IF(SUMPRODUCT((R107:W107&lt;&gt;"")*(ISNUMBER(SEARCH(Raw_Data!E107,R107:W107))+ISNUMBER(SEARCH(R107:W107,Raw_Data!E107))))&gt;0,"OK","CHECK")</f>
        <v>OK</v>
      </c>
    </row>
    <row r="108">
      <c r="A108" s="60" t="str">
        <f>Raw_Data!A108</f>
        <v>VVV-2024-107</v>
      </c>
      <c r="B108" s="60">
        <f>Raw_Data!D108</f>
        <v>879</v>
      </c>
      <c r="C108" s="60" t="str">
        <f>LOWER(Raw_Data!C108&amp;" | "&amp;Raw_Data!F108)</f>
        <v>monthly utility settlement | paid from business bank account</v>
      </c>
      <c r="D108" s="60">
        <f t="array" ref="D108">MATCH(1,ISNUMBER(SEARCH(Rules!$A$2:$A$60,C108))*(Rules!$A$2:$A$60&lt;&gt;""),0)</f>
        <v>24</v>
      </c>
      <c r="E108" s="60" t="str">
        <f t="array" ref="E108">INDEX(Rules!$A$2:$A$60,D108)</f>
        <v>utility</v>
      </c>
      <c r="F108" s="60">
        <f t="shared" si="1"/>
        <v>879</v>
      </c>
      <c r="G108" s="60">
        <f>IFERROR(__xludf.DUMMYFUNCTION("IFERROR(VALUE(SUBSTITUTE(REGEXEXTRACT(Raw_Data!J108,""Cost of goods sold: \$([\d,]+)""),"","","""")),0)"),0.0)</f>
        <v>0</v>
      </c>
      <c r="H108" s="60">
        <f>IFERROR(__xludf.DUMMYFUNCTION("IFERROR(VALUE(SUBSTITUTE(REGEXEXTRACT(Raw_Data!J108,""withheld a \$([\d,]+) fee""),"","","""")),0)"),0.0)</f>
        <v>0</v>
      </c>
      <c r="I108" s="60">
        <f t="shared" si="2"/>
        <v>879</v>
      </c>
      <c r="J108" s="60">
        <f>IFERROR(__xludf.DUMMYFUNCTION("IFERROR(VALUE(SUBSTITUTE(REGEXEXTRACT(Raw_Data!J108,""(?i)interest \$([\d,]+)""),"","","""")),0)"),0.0)</f>
        <v>0</v>
      </c>
      <c r="K108" s="60">
        <f t="shared" si="3"/>
        <v>879</v>
      </c>
      <c r="L108" s="60">
        <f>IFERROR(__xludf.DUMMYFUNCTION("IFERROR(VALUE(SUBSTITUTE(REGEXEXTRACT(Raw_Data!F108,""\$([\d,]+) prior deposit applied""),"","","""")),0)"),0.0)</f>
        <v>0</v>
      </c>
      <c r="M108" s="60">
        <f t="shared" si="4"/>
        <v>879</v>
      </c>
      <c r="N108" s="60">
        <f>IFERROR(__xludf.DUMMYFUNCTION("IFERROR(VALUE(SUBSTITUTE(REGEXEXTRACT(Raw_Data!F108,""^\$([\d,]+) cash""),"","","""")),0)"),0.0)</f>
        <v>0</v>
      </c>
      <c r="O108" s="60">
        <f t="shared" si="5"/>
        <v>879</v>
      </c>
      <c r="P108" s="60">
        <f>IFERROR(__xludf.DUMMYFUNCTION("IFERROR(VALUE(SUBSTITUTE(REGEXEXTRACT(Raw_Data!J108,""labour \d+ h at \$\d+/h: \$([\d,]+)""),"","","""")),0)"),0.0)</f>
        <v>0</v>
      </c>
      <c r="Q108" s="60">
        <f t="shared" si="6"/>
        <v>879</v>
      </c>
      <c r="R108" s="60" t="str">
        <f t="array" ref="R108">IF(INDEX(Rules!$B$2:$B$60,$D108)="","",INDEX(Rules!$B$2:$B$60,$D108))</f>
        <v>Utilities Expense</v>
      </c>
      <c r="S108" s="60" t="str">
        <f t="array" ref="S108">IF(INDEX(Rules!$E$2:$E$60,$D108)="","",INDEX(Rules!$E$2:$E$60,$D108))</f>
        <v/>
      </c>
      <c r="T108" s="60" t="str">
        <f t="array" ref="T108">IF(INDEX(Rules!$H$2:$H$60,$D108)="","",INDEX(Rules!$H$2:$H$60,$D108))</f>
        <v/>
      </c>
      <c r="U108" s="60" t="str">
        <f t="array" ref="U108">IF(INDEX(Rules!$C$2:$C$60,$D108)="","",INDEX(Rules!$C$2:$C$60,$D108))</f>
        <v>Cash</v>
      </c>
      <c r="V108" s="60" t="str">
        <f t="array" ref="V108">IF(INDEX(Rules!$F$2:$F$60,$D108)="","",INDEX(Rules!$F$2:$F$60,$D108))</f>
        <v/>
      </c>
      <c r="W108" s="60" t="str">
        <f t="array" ref="W108">IF(INDEX(Rules!$I$2:$I$60,$D108)="","",INDEX(Rules!$I$2:$I$60,$D108))</f>
        <v/>
      </c>
      <c r="X108" s="60">
        <f t="array" ref="X108">IF(R108="","",INDEX($F108:$Q108,MATCH(INDEX(Rules!$D$2:$D$60,$D108),$F$1:$Q$1,0)))</f>
        <v>879</v>
      </c>
      <c r="Y108" s="60" t="str">
        <f t="array" ref="Y108">IF(S108="","",INDEX($F108:$Q108,MATCH(INDEX(Rules!$G$2:$G$60,$D108),$F$1:$Q$1,0)))</f>
        <v/>
      </c>
      <c r="Z108" s="60" t="str">
        <f t="array" ref="Z108">IF(T108="","",INDEX($F108:$Q108,MATCH(INDEX(Rules!$J$2:$J$60,$D108),$F$1:$Q$1,0)))</f>
        <v/>
      </c>
      <c r="AA108" s="60" t="str">
        <f t="array" ref="AA108">IF(INDEX(Rules!$K$2:$K$60,$D108)="","",INDEX(Rules!$K$2:$K$60,$D108))</f>
        <v>monthly utilities</v>
      </c>
      <c r="AB108" s="60" t="str">
        <f>IF(SUMPRODUCT((R108:W108&lt;&gt;"")*(ISNUMBER(SEARCH(Raw_Data!E108,R108:W108))+ISNUMBER(SEARCH(R108:W108,Raw_Data!E108))))&gt;0,"OK","CHECK")</f>
        <v>OK</v>
      </c>
    </row>
    <row r="109">
      <c r="A109" s="60" t="str">
        <f>Raw_Data!A109</f>
        <v>VVV-2024-108</v>
      </c>
      <c r="B109" s="60">
        <f>Raw_Data!D109</f>
        <v>5400</v>
      </c>
      <c r="C109" s="60" t="str">
        <f>LOWER(Raw_Data!C109&amp;" | "&amp;Raw_Data!F109)</f>
        <v>monthly facility rent | automatic bank transfer; settled</v>
      </c>
      <c r="D109" s="60">
        <f t="array" ref="D109">MATCH(1,ISNUMBER(SEARCH(Rules!$A$2:$A$60,C109))*(Rules!$A$2:$A$60&lt;&gt;""),0)</f>
        <v>15</v>
      </c>
      <c r="E109" s="60" t="str">
        <f t="array" ref="E109">INDEX(Rules!$A$2:$A$60,D109)</f>
        <v>facility rent</v>
      </c>
      <c r="F109" s="60">
        <f t="shared" si="1"/>
        <v>5400</v>
      </c>
      <c r="G109" s="60">
        <f>IFERROR(__xludf.DUMMYFUNCTION("IFERROR(VALUE(SUBSTITUTE(REGEXEXTRACT(Raw_Data!J109,""Cost of goods sold: \$([\d,]+)""),"","","""")),0)"),0.0)</f>
        <v>0</v>
      </c>
      <c r="H109" s="60">
        <f>IFERROR(__xludf.DUMMYFUNCTION("IFERROR(VALUE(SUBSTITUTE(REGEXEXTRACT(Raw_Data!J109,""withheld a \$([\d,]+) fee""),"","","""")),0)"),0.0)</f>
        <v>0</v>
      </c>
      <c r="I109" s="60">
        <f t="shared" si="2"/>
        <v>5400</v>
      </c>
      <c r="J109" s="60">
        <f>IFERROR(__xludf.DUMMYFUNCTION("IFERROR(VALUE(SUBSTITUTE(REGEXEXTRACT(Raw_Data!J109,""(?i)interest \$([\d,]+)""),"","","""")),0)"),0.0)</f>
        <v>0</v>
      </c>
      <c r="K109" s="60">
        <f t="shared" si="3"/>
        <v>5400</v>
      </c>
      <c r="L109" s="60">
        <f>IFERROR(__xludf.DUMMYFUNCTION("IFERROR(VALUE(SUBSTITUTE(REGEXEXTRACT(Raw_Data!F109,""\$([\d,]+) prior deposit applied""),"","","""")),0)"),0.0)</f>
        <v>0</v>
      </c>
      <c r="M109" s="60">
        <f t="shared" si="4"/>
        <v>5400</v>
      </c>
      <c r="N109" s="60">
        <f>IFERROR(__xludf.DUMMYFUNCTION("IFERROR(VALUE(SUBSTITUTE(REGEXEXTRACT(Raw_Data!F109,""^\$([\d,]+) cash""),"","","""")),0)"),0.0)</f>
        <v>0</v>
      </c>
      <c r="O109" s="60">
        <f t="shared" si="5"/>
        <v>5400</v>
      </c>
      <c r="P109" s="60">
        <f>IFERROR(__xludf.DUMMYFUNCTION("IFERROR(VALUE(SUBSTITUTE(REGEXEXTRACT(Raw_Data!J109,""labour \d+ h at \$\d+/h: \$([\d,]+)""),"","","""")),0)"),0.0)</f>
        <v>0</v>
      </c>
      <c r="Q109" s="60">
        <f t="shared" si="6"/>
        <v>5400</v>
      </c>
      <c r="R109" s="60" t="str">
        <f t="array" ref="R109">IF(INDEX(Rules!$B$2:$B$60,$D109)="","",INDEX(Rules!$B$2:$B$60,$D109))</f>
        <v>Rent Expense</v>
      </c>
      <c r="S109" s="60" t="str">
        <f t="array" ref="S109">IF(INDEX(Rules!$E$2:$E$60,$D109)="","",INDEX(Rules!$E$2:$E$60,$D109))</f>
        <v/>
      </c>
      <c r="T109" s="60" t="str">
        <f t="array" ref="T109">IF(INDEX(Rules!$H$2:$H$60,$D109)="","",INDEX(Rules!$H$2:$H$60,$D109))</f>
        <v/>
      </c>
      <c r="U109" s="60" t="str">
        <f t="array" ref="U109">IF(INDEX(Rules!$C$2:$C$60,$D109)="","",INDEX(Rules!$C$2:$C$60,$D109))</f>
        <v>Cash</v>
      </c>
      <c r="V109" s="60" t="str">
        <f t="array" ref="V109">IF(INDEX(Rules!$F$2:$F$60,$D109)="","",INDEX(Rules!$F$2:$F$60,$D109))</f>
        <v/>
      </c>
      <c r="W109" s="60" t="str">
        <f t="array" ref="W109">IF(INDEX(Rules!$I$2:$I$60,$D109)="","",INDEX(Rules!$I$2:$I$60,$D109))</f>
        <v/>
      </c>
      <c r="X109" s="60">
        <f t="array" ref="X109">IF(R109="","",INDEX($F109:$Q109,MATCH(INDEX(Rules!$D$2:$D$60,$D109),$F$1:$Q$1,0)))</f>
        <v>5400</v>
      </c>
      <c r="Y109" s="60" t="str">
        <f t="array" ref="Y109">IF(S109="","",INDEX($F109:$Q109,MATCH(INDEX(Rules!$G$2:$G$60,$D109),$F$1:$Q$1,0)))</f>
        <v/>
      </c>
      <c r="Z109" s="60" t="str">
        <f t="array" ref="Z109">IF(T109="","",INDEX($F109:$Q109,MATCH(INDEX(Rules!$J$2:$J$60,$D109),$F$1:$Q$1,0)))</f>
        <v/>
      </c>
      <c r="AA109" s="60" t="str">
        <f t="array" ref="AA109">IF(INDEX(Rules!$K$2:$K$60,$D109)="","",INDEX(Rules!$K$2:$K$60,$D109))</f>
        <v>monthly rent</v>
      </c>
      <c r="AB109" s="60" t="str">
        <f>IF(SUMPRODUCT((R109:W109&lt;&gt;"")*(ISNUMBER(SEARCH(Raw_Data!E109,R109:W109))+ISNUMBER(SEARCH(R109:W109,Raw_Data!E109))))&gt;0,"OK","CHECK")</f>
        <v>OK</v>
      </c>
    </row>
    <row r="110">
      <c r="A110" s="60" t="str">
        <f>Raw_Data!A110</f>
        <v>VVV-2024-109</v>
      </c>
      <c r="B110" s="60">
        <f>Raw_Data!D110</f>
        <v>600</v>
      </c>
      <c r="C110" s="60" t="str">
        <f>LOWER(Raw_Data!C110&amp;" | "&amp;Raw_Data!F110)</f>
        <v>monthly business insurance premium | automatic bank transfer; settled</v>
      </c>
      <c r="D110" s="60">
        <f t="array" ref="D110">MATCH(1,ISNUMBER(SEARCH(Rules!$A$2:$A$60,C110))*(Rules!$A$2:$A$60&lt;&gt;""),0)</f>
        <v>20</v>
      </c>
      <c r="E110" s="60" t="str">
        <f t="array" ref="E110">INDEX(Rules!$A$2:$A$60,D110)</f>
        <v>insurance</v>
      </c>
      <c r="F110" s="60">
        <f t="shared" si="1"/>
        <v>600</v>
      </c>
      <c r="G110" s="60">
        <f>IFERROR(__xludf.DUMMYFUNCTION("IFERROR(VALUE(SUBSTITUTE(REGEXEXTRACT(Raw_Data!J110,""Cost of goods sold: \$([\d,]+)""),"","","""")),0)"),0.0)</f>
        <v>0</v>
      </c>
      <c r="H110" s="60">
        <f>IFERROR(__xludf.DUMMYFUNCTION("IFERROR(VALUE(SUBSTITUTE(REGEXEXTRACT(Raw_Data!J110,""withheld a \$([\d,]+) fee""),"","","""")),0)"),0.0)</f>
        <v>0</v>
      </c>
      <c r="I110" s="60">
        <f t="shared" si="2"/>
        <v>600</v>
      </c>
      <c r="J110" s="60">
        <f>IFERROR(__xludf.DUMMYFUNCTION("IFERROR(VALUE(SUBSTITUTE(REGEXEXTRACT(Raw_Data!J110,""(?i)interest \$([\d,]+)""),"","","""")),0)"),0.0)</f>
        <v>0</v>
      </c>
      <c r="K110" s="60">
        <f t="shared" si="3"/>
        <v>600</v>
      </c>
      <c r="L110" s="60">
        <f>IFERROR(__xludf.DUMMYFUNCTION("IFERROR(VALUE(SUBSTITUTE(REGEXEXTRACT(Raw_Data!F110,""\$([\d,]+) prior deposit applied""),"","","""")),0)"),0.0)</f>
        <v>0</v>
      </c>
      <c r="M110" s="60">
        <f t="shared" si="4"/>
        <v>600</v>
      </c>
      <c r="N110" s="60">
        <f>IFERROR(__xludf.DUMMYFUNCTION("IFERROR(VALUE(SUBSTITUTE(REGEXEXTRACT(Raw_Data!F110,""^\$([\d,]+) cash""),"","","""")),0)"),0.0)</f>
        <v>0</v>
      </c>
      <c r="O110" s="60">
        <f t="shared" si="5"/>
        <v>600</v>
      </c>
      <c r="P110" s="60">
        <f>IFERROR(__xludf.DUMMYFUNCTION("IFERROR(VALUE(SUBSTITUTE(REGEXEXTRACT(Raw_Data!J110,""labour \d+ h at \$\d+/h: \$([\d,]+)""),"","","""")),0)"),0.0)</f>
        <v>0</v>
      </c>
      <c r="Q110" s="60">
        <f t="shared" si="6"/>
        <v>600</v>
      </c>
      <c r="R110" s="60" t="str">
        <f t="array" ref="R110">IF(INDEX(Rules!$B$2:$B$60,$D110)="","",INDEX(Rules!$B$2:$B$60,$D110))</f>
        <v>Insurance Expense</v>
      </c>
      <c r="S110" s="60" t="str">
        <f t="array" ref="S110">IF(INDEX(Rules!$E$2:$E$60,$D110)="","",INDEX(Rules!$E$2:$E$60,$D110))</f>
        <v/>
      </c>
      <c r="T110" s="60" t="str">
        <f t="array" ref="T110">IF(INDEX(Rules!$H$2:$H$60,$D110)="","",INDEX(Rules!$H$2:$H$60,$D110))</f>
        <v/>
      </c>
      <c r="U110" s="60" t="str">
        <f t="array" ref="U110">IF(INDEX(Rules!$C$2:$C$60,$D110)="","",INDEX(Rules!$C$2:$C$60,$D110))</f>
        <v>Cash</v>
      </c>
      <c r="V110" s="60" t="str">
        <f t="array" ref="V110">IF(INDEX(Rules!$F$2:$F$60,$D110)="","",INDEX(Rules!$F$2:$F$60,$D110))</f>
        <v/>
      </c>
      <c r="W110" s="60" t="str">
        <f t="array" ref="W110">IF(INDEX(Rules!$I$2:$I$60,$D110)="","",INDEX(Rules!$I$2:$I$60,$D110))</f>
        <v/>
      </c>
      <c r="X110" s="60">
        <f t="array" ref="X110">IF(R110="","",INDEX($F110:$Q110,MATCH(INDEX(Rules!$D$2:$D$60,$D110),$F$1:$Q$1,0)))</f>
        <v>600</v>
      </c>
      <c r="Y110" s="60" t="str">
        <f t="array" ref="Y110">IF(S110="","",INDEX($F110:$Q110,MATCH(INDEX(Rules!$G$2:$G$60,$D110),$F$1:$Q$1,0)))</f>
        <v/>
      </c>
      <c r="Z110" s="60" t="str">
        <f t="array" ref="Z110">IF(T110="","",INDEX($F110:$Q110,MATCH(INDEX(Rules!$J$2:$J$60,$D110),$F$1:$Q$1,0)))</f>
        <v/>
      </c>
      <c r="AA110" s="60" t="str">
        <f t="array" ref="AA110">IF(INDEX(Rules!$K$2:$K$60,$D110)="","",INDEX(Rules!$K$2:$K$60,$D110))</f>
        <v>monthly insurance</v>
      </c>
      <c r="AB110" s="60" t="str">
        <f>IF(SUMPRODUCT((R110:W110&lt;&gt;"")*(ISNUMBER(SEARCH(Raw_Data!E110,R110:W110))+ISNUMBER(SEARCH(R110:W110,Raw_Data!E110))))&gt;0,"OK","CHECK")</f>
        <v>OK</v>
      </c>
    </row>
    <row r="111">
      <c r="A111" s="60" t="str">
        <f>Raw_Data!A111</f>
        <v>VVV-2024-110</v>
      </c>
      <c r="B111" s="60">
        <f>Raw_Data!D111</f>
        <v>4000</v>
      </c>
      <c r="C111" s="60" t="str">
        <f>LOWER(Raw_Data!C111&amp;" | "&amp;Raw_Data!F111)</f>
        <v>equipment rental receipts batch | cash and card receipts; settled</v>
      </c>
      <c r="D111" s="60">
        <f t="array" ref="D111">MATCH(1,ISNUMBER(SEARCH(Rules!$A$2:$A$60,C111))*(Rules!$A$2:$A$60&lt;&gt;""),0)</f>
        <v>26</v>
      </c>
      <c r="E111" s="60" t="str">
        <f t="array" ref="E111">INDEX(Rules!$A$2:$A$60,D111)</f>
        <v>rental receipts</v>
      </c>
      <c r="F111" s="60">
        <f t="shared" si="1"/>
        <v>4000</v>
      </c>
      <c r="G111" s="60">
        <f>IFERROR(__xludf.DUMMYFUNCTION("IFERROR(VALUE(SUBSTITUTE(REGEXEXTRACT(Raw_Data!J111,""Cost of goods sold: \$([\d,]+)""),"","","""")),0)"),0.0)</f>
        <v>0</v>
      </c>
      <c r="H111" s="60">
        <f>IFERROR(__xludf.DUMMYFUNCTION("IFERROR(VALUE(SUBSTITUTE(REGEXEXTRACT(Raw_Data!J111,""withheld a \$([\d,]+) fee""),"","","""")),0)"),0.0)</f>
        <v>0</v>
      </c>
      <c r="I111" s="60">
        <f t="shared" si="2"/>
        <v>4000</v>
      </c>
      <c r="J111" s="60">
        <f>IFERROR(__xludf.DUMMYFUNCTION("IFERROR(VALUE(SUBSTITUTE(REGEXEXTRACT(Raw_Data!J111,""(?i)interest \$([\d,]+)""),"","","""")),0)"),0.0)</f>
        <v>0</v>
      </c>
      <c r="K111" s="60">
        <f t="shared" si="3"/>
        <v>4000</v>
      </c>
      <c r="L111" s="60">
        <f>IFERROR(__xludf.DUMMYFUNCTION("IFERROR(VALUE(SUBSTITUTE(REGEXEXTRACT(Raw_Data!F111,""\$([\d,]+) prior deposit applied""),"","","""")),0)"),0.0)</f>
        <v>0</v>
      </c>
      <c r="M111" s="60">
        <f t="shared" si="4"/>
        <v>4000</v>
      </c>
      <c r="N111" s="60">
        <f>IFERROR(__xludf.DUMMYFUNCTION("IFERROR(VALUE(SUBSTITUTE(REGEXEXTRACT(Raw_Data!F111,""^\$([\d,]+) cash""),"","","""")),0)"),0.0)</f>
        <v>0</v>
      </c>
      <c r="O111" s="60">
        <f t="shared" si="5"/>
        <v>4000</v>
      </c>
      <c r="P111" s="60">
        <f>IFERROR(__xludf.DUMMYFUNCTION("IFERROR(VALUE(SUBSTITUTE(REGEXEXTRACT(Raw_Data!J111,""labour \d+ h at \$\d+/h: \$([\d,]+)""),"","","""")),0)"),0.0)</f>
        <v>0</v>
      </c>
      <c r="Q111" s="60">
        <f t="shared" si="6"/>
        <v>4000</v>
      </c>
      <c r="R111" s="60" t="str">
        <f t="array" ref="R111">IF(INDEX(Rules!$B$2:$B$60,$D111)="","",INDEX(Rules!$B$2:$B$60,$D111))</f>
        <v>Cash</v>
      </c>
      <c r="S111" s="60" t="str">
        <f t="array" ref="S111">IF(INDEX(Rules!$E$2:$E$60,$D111)="","",INDEX(Rules!$E$2:$E$60,$D111))</f>
        <v/>
      </c>
      <c r="T111" s="60" t="str">
        <f t="array" ref="T111">IF(INDEX(Rules!$H$2:$H$60,$D111)="","",INDEX(Rules!$H$2:$H$60,$D111))</f>
        <v/>
      </c>
      <c r="U111" s="60" t="str">
        <f t="array" ref="U111">IF(INDEX(Rules!$C$2:$C$60,$D111)="","",INDEX(Rules!$C$2:$C$60,$D111))</f>
        <v>Equipment Rental Revenue</v>
      </c>
      <c r="V111" s="60" t="str">
        <f t="array" ref="V111">IF(INDEX(Rules!$F$2:$F$60,$D111)="","",INDEX(Rules!$F$2:$F$60,$D111))</f>
        <v/>
      </c>
      <c r="W111" s="60" t="str">
        <f t="array" ref="W111">IF(INDEX(Rules!$I$2:$I$60,$D111)="","",INDEX(Rules!$I$2:$I$60,$D111))</f>
        <v/>
      </c>
      <c r="X111" s="60">
        <f t="array" ref="X111">IF(R111="","",INDEX($F111:$Q111,MATCH(INDEX(Rules!$D$2:$D$60,$D111),$F$1:$Q$1,0)))</f>
        <v>4000</v>
      </c>
      <c r="Y111" s="60" t="str">
        <f t="array" ref="Y111">IF(S111="","",INDEX($F111:$Q111,MATCH(INDEX(Rules!$G$2:$G$60,$D111),$F$1:$Q$1,0)))</f>
        <v/>
      </c>
      <c r="Z111" s="60" t="str">
        <f t="array" ref="Z111">IF(T111="","",INDEX($F111:$Q111,MATCH(INDEX(Rules!$J$2:$J$60,$D111),$F$1:$Q$1,0)))</f>
        <v/>
      </c>
      <c r="AA111" s="60" t="str">
        <f t="array" ref="AA111">IF(INDEX(Rules!$K$2:$K$60,$D111)="","",INDEX(Rules!$K$2:$K$60,$D111))</f>
        <v>rentals done and paid</v>
      </c>
      <c r="AB111" s="60" t="str">
        <f>IF(SUMPRODUCT((R111:W111&lt;&gt;"")*(ISNUMBER(SEARCH(Raw_Data!E111,R111:W111))+ISNUMBER(SEARCH(R111:W111,Raw_Data!E111))))&gt;0,"OK","CHECK")</f>
        <v>OK</v>
      </c>
    </row>
    <row r="112">
      <c r="A112" s="60" t="str">
        <f>Raw_Data!A112</f>
        <v>VVV-2024-111</v>
      </c>
      <c r="B112" s="60">
        <f>Raw_Data!D112</f>
        <v>3000</v>
      </c>
      <c r="C112" s="60" t="str">
        <f>LOWER(Raw_Data!C112&amp;" | "&amp;Raw_Data!F112)</f>
        <v>guided tour revenue | cash and card receipts; settled</v>
      </c>
      <c r="D112" s="60">
        <f t="array" ref="D112">MATCH(1,ISNUMBER(SEARCH(Rules!$A$2:$A$60,C112))*(Rules!$A$2:$A$60&lt;&gt;""),0)</f>
        <v>32</v>
      </c>
      <c r="E112" s="60" t="str">
        <f t="array" ref="E112">INDEX(Rules!$A$2:$A$60,D112)</f>
        <v>tour revenue</v>
      </c>
      <c r="F112" s="60">
        <f t="shared" si="1"/>
        <v>3000</v>
      </c>
      <c r="G112" s="60">
        <f>IFERROR(__xludf.DUMMYFUNCTION("IFERROR(VALUE(SUBSTITUTE(REGEXEXTRACT(Raw_Data!J112,""Cost of goods sold: \$([\d,]+)""),"","","""")),0)"),0.0)</f>
        <v>0</v>
      </c>
      <c r="H112" s="60">
        <f>IFERROR(__xludf.DUMMYFUNCTION("IFERROR(VALUE(SUBSTITUTE(REGEXEXTRACT(Raw_Data!J112,""withheld a \$([\d,]+) fee""),"","","""")),0)"),0.0)</f>
        <v>0</v>
      </c>
      <c r="I112" s="60">
        <f t="shared" si="2"/>
        <v>3000</v>
      </c>
      <c r="J112" s="60">
        <f>IFERROR(__xludf.DUMMYFUNCTION("IFERROR(VALUE(SUBSTITUTE(REGEXEXTRACT(Raw_Data!J112,""(?i)interest \$([\d,]+)""),"","","""")),0)"),0.0)</f>
        <v>0</v>
      </c>
      <c r="K112" s="60">
        <f t="shared" si="3"/>
        <v>3000</v>
      </c>
      <c r="L112" s="60">
        <f>IFERROR(__xludf.DUMMYFUNCTION("IFERROR(VALUE(SUBSTITUTE(REGEXEXTRACT(Raw_Data!F112,""\$([\d,]+) prior deposit applied""),"","","""")),0)"),0.0)</f>
        <v>0</v>
      </c>
      <c r="M112" s="60">
        <f t="shared" si="4"/>
        <v>3000</v>
      </c>
      <c r="N112" s="60">
        <f>IFERROR(__xludf.DUMMYFUNCTION("IFERROR(VALUE(SUBSTITUTE(REGEXEXTRACT(Raw_Data!F112,""^\$([\d,]+) cash""),"","","""")),0)"),0.0)</f>
        <v>0</v>
      </c>
      <c r="O112" s="60">
        <f t="shared" si="5"/>
        <v>3000</v>
      </c>
      <c r="P112" s="60">
        <f>IFERROR(__xludf.DUMMYFUNCTION("IFERROR(VALUE(SUBSTITUTE(REGEXEXTRACT(Raw_Data!J112,""labour \d+ h at \$\d+/h: \$([\d,]+)""),"","","""")),0)"),0.0)</f>
        <v>0</v>
      </c>
      <c r="Q112" s="60">
        <f t="shared" si="6"/>
        <v>3000</v>
      </c>
      <c r="R112" s="60" t="str">
        <f t="array" ref="R112">IF(INDEX(Rules!$B$2:$B$60,$D112)="","",INDEX(Rules!$B$2:$B$60,$D112))</f>
        <v>Cash</v>
      </c>
      <c r="S112" s="60" t="str">
        <f t="array" ref="S112">IF(INDEX(Rules!$E$2:$E$60,$D112)="","",INDEX(Rules!$E$2:$E$60,$D112))</f>
        <v/>
      </c>
      <c r="T112" s="60" t="str">
        <f t="array" ref="T112">IF(INDEX(Rules!$H$2:$H$60,$D112)="","",INDEX(Rules!$H$2:$H$60,$D112))</f>
        <v/>
      </c>
      <c r="U112" s="60" t="str">
        <f t="array" ref="U112">IF(INDEX(Rules!$C$2:$C$60,$D112)="","",INDEX(Rules!$C$2:$C$60,$D112))</f>
        <v>Tour Revenue</v>
      </c>
      <c r="V112" s="60" t="str">
        <f t="array" ref="V112">IF(INDEX(Rules!$F$2:$F$60,$D112)="","",INDEX(Rules!$F$2:$F$60,$D112))</f>
        <v/>
      </c>
      <c r="W112" s="60" t="str">
        <f t="array" ref="W112">IF(INDEX(Rules!$I$2:$I$60,$D112)="","",INDEX(Rules!$I$2:$I$60,$D112))</f>
        <v/>
      </c>
      <c r="X112" s="60">
        <f t="array" ref="X112">IF(R112="","",INDEX($F112:$Q112,MATCH(INDEX(Rules!$D$2:$D$60,$D112),$F$1:$Q$1,0)))</f>
        <v>3000</v>
      </c>
      <c r="Y112" s="60" t="str">
        <f t="array" ref="Y112">IF(S112="","",INDEX($F112:$Q112,MATCH(INDEX(Rules!$G$2:$G$60,$D112),$F$1:$Q$1,0)))</f>
        <v/>
      </c>
      <c r="Z112" s="60" t="str">
        <f t="array" ref="Z112">IF(T112="","",INDEX($F112:$Q112,MATCH(INDEX(Rules!$J$2:$J$60,$D112),$F$1:$Q$1,0)))</f>
        <v/>
      </c>
      <c r="AA112" s="60" t="str">
        <f t="array" ref="AA112">IF(INDEX(Rules!$K$2:$K$60,$D112)="","",INDEX(Rules!$K$2:$K$60,$D112))</f>
        <v>tours done and paid</v>
      </c>
      <c r="AB112" s="60" t="str">
        <f>IF(SUMPRODUCT((R112:W112&lt;&gt;"")*(ISNUMBER(SEARCH(Raw_Data!E112,R112:W112))+ISNUMBER(SEARCH(R112:W112,Raw_Data!E112))))&gt;0,"OK","CHECK")</f>
        <v>OK</v>
      </c>
    </row>
    <row r="113">
      <c r="A113" s="60" t="str">
        <f>Raw_Data!A113</f>
        <v>VVV-2024-112</v>
      </c>
      <c r="B113" s="60">
        <f>Raw_Data!D113</f>
        <v>7700</v>
      </c>
      <c r="C113" s="60" t="str">
        <f>LOWER(Raw_Data!C113&amp;" | "&amp;Raw_Data!F113)</f>
        <v>employee payroll settlement | payroll and claims paid from business bank account</v>
      </c>
      <c r="D113" s="60">
        <f t="array" ref="D113">MATCH(1,ISNUMBER(SEARCH(Rules!$A$2:$A$60,C113))*(Rules!$A$2:$A$60&lt;&gt;""),0)</f>
        <v>23</v>
      </c>
      <c r="E113" s="60" t="str">
        <f t="array" ref="E113">INDEX(Rules!$A$2:$A$60,D113)</f>
        <v>payroll</v>
      </c>
      <c r="F113" s="60">
        <f t="shared" si="1"/>
        <v>7700</v>
      </c>
      <c r="G113" s="60">
        <f>IFERROR(__xludf.DUMMYFUNCTION("IFERROR(VALUE(SUBSTITUTE(REGEXEXTRACT(Raw_Data!J113,""Cost of goods sold: \$([\d,]+)""),"","","""")),0)"),0.0)</f>
        <v>0</v>
      </c>
      <c r="H113" s="60">
        <f>IFERROR(__xludf.DUMMYFUNCTION("IFERROR(VALUE(SUBSTITUTE(REGEXEXTRACT(Raw_Data!J113,""withheld a \$([\d,]+) fee""),"","","""")),0)"),0.0)</f>
        <v>0</v>
      </c>
      <c r="I113" s="60">
        <f t="shared" si="2"/>
        <v>7700</v>
      </c>
      <c r="J113" s="60">
        <f>IFERROR(__xludf.DUMMYFUNCTION("IFERROR(VALUE(SUBSTITUTE(REGEXEXTRACT(Raw_Data!J113,""(?i)interest \$([\d,]+)""),"","","""")),0)"),0.0)</f>
        <v>0</v>
      </c>
      <c r="K113" s="60">
        <f t="shared" si="3"/>
        <v>7700</v>
      </c>
      <c r="L113" s="60">
        <f>IFERROR(__xludf.DUMMYFUNCTION("IFERROR(VALUE(SUBSTITUTE(REGEXEXTRACT(Raw_Data!F113,""\$([\d,]+) prior deposit applied""),"","","""")),0)"),0.0)</f>
        <v>0</v>
      </c>
      <c r="M113" s="60">
        <f t="shared" si="4"/>
        <v>7700</v>
      </c>
      <c r="N113" s="60">
        <f>IFERROR(__xludf.DUMMYFUNCTION("IFERROR(VALUE(SUBSTITUTE(REGEXEXTRACT(Raw_Data!F113,""^\$([\d,]+) cash""),"","","""")),0)"),0.0)</f>
        <v>0</v>
      </c>
      <c r="O113" s="60">
        <f t="shared" si="5"/>
        <v>7700</v>
      </c>
      <c r="P113" s="60">
        <f>IFERROR(__xludf.DUMMYFUNCTION("IFERROR(VALUE(SUBSTITUTE(REGEXEXTRACT(Raw_Data!J113,""labour \d+ h at \$\d+/h: \$([\d,]+)""),"","","""")),0)"),0.0)</f>
        <v>0</v>
      </c>
      <c r="Q113" s="60">
        <f t="shared" si="6"/>
        <v>7700</v>
      </c>
      <c r="R113" s="60" t="str">
        <f t="array" ref="R113">IF(INDEX(Rules!$B$2:$B$60,$D113)="","",INDEX(Rules!$B$2:$B$60,$D113))</f>
        <v>Wages Expense</v>
      </c>
      <c r="S113" s="60" t="str">
        <f t="array" ref="S113">IF(INDEX(Rules!$E$2:$E$60,$D113)="","",INDEX(Rules!$E$2:$E$60,$D113))</f>
        <v/>
      </c>
      <c r="T113" s="60" t="str">
        <f t="array" ref="T113">IF(INDEX(Rules!$H$2:$H$60,$D113)="","",INDEX(Rules!$H$2:$H$60,$D113))</f>
        <v/>
      </c>
      <c r="U113" s="60" t="str">
        <f t="array" ref="U113">IF(INDEX(Rules!$C$2:$C$60,$D113)="","",INDEX(Rules!$C$2:$C$60,$D113))</f>
        <v>Cash</v>
      </c>
      <c r="V113" s="60" t="str">
        <f t="array" ref="V113">IF(INDEX(Rules!$F$2:$F$60,$D113)="","",INDEX(Rules!$F$2:$F$60,$D113))</f>
        <v/>
      </c>
      <c r="W113" s="60" t="str">
        <f t="array" ref="W113">IF(INDEX(Rules!$I$2:$I$60,$D113)="","",INDEX(Rules!$I$2:$I$60,$D113))</f>
        <v/>
      </c>
      <c r="X113" s="60">
        <f t="array" ref="X113">IF(R113="","",INDEX($F113:$Q113,MATCH(INDEX(Rules!$D$2:$D$60,$D113),$F$1:$Q$1,0)))</f>
        <v>7700</v>
      </c>
      <c r="Y113" s="60" t="str">
        <f t="array" ref="Y113">IF(S113="","",INDEX($F113:$Q113,MATCH(INDEX(Rules!$G$2:$G$60,$D113),$F$1:$Q$1,0)))</f>
        <v/>
      </c>
      <c r="Z113" s="60" t="str">
        <f t="array" ref="Z113">IF(T113="","",INDEX($F113:$Q113,MATCH(INDEX(Rules!$J$2:$J$60,$D113),$F$1:$Q$1,0)))</f>
        <v/>
      </c>
      <c r="AA113" s="60" t="str">
        <f t="array" ref="AA113">IF(INDEX(Rules!$K$2:$K$60,$D113)="","",INDEX(Rules!$K$2:$K$60,$D113))</f>
        <v>wages, includes E04's $200 travel claim</v>
      </c>
      <c r="AB113" s="60" t="str">
        <f>IF(SUMPRODUCT((R113:W113&lt;&gt;"")*(ISNUMBER(SEARCH(Raw_Data!E113,R113:W113))+ISNUMBER(SEARCH(R113:W113,Raw_Data!E113))))&gt;0,"OK","CHECK")</f>
        <v>OK</v>
      </c>
    </row>
    <row r="114">
      <c r="A114" s="60" t="str">
        <f>Raw_Data!A114</f>
        <v>VVV-2024-113</v>
      </c>
      <c r="B114" s="60">
        <f>Raw_Data!D114</f>
        <v>764</v>
      </c>
      <c r="C114" s="60" t="str">
        <f>LOWER(Raw_Data!C114&amp;" | "&amp;Raw_Data!F114)</f>
        <v>monthly utility settlement | paid from business bank account</v>
      </c>
      <c r="D114" s="60">
        <f t="array" ref="D114">MATCH(1,ISNUMBER(SEARCH(Rules!$A$2:$A$60,C114))*(Rules!$A$2:$A$60&lt;&gt;""),0)</f>
        <v>24</v>
      </c>
      <c r="E114" s="60" t="str">
        <f t="array" ref="E114">INDEX(Rules!$A$2:$A$60,D114)</f>
        <v>utility</v>
      </c>
      <c r="F114" s="60">
        <f t="shared" si="1"/>
        <v>764</v>
      </c>
      <c r="G114" s="60">
        <f>IFERROR(__xludf.DUMMYFUNCTION("IFERROR(VALUE(SUBSTITUTE(REGEXEXTRACT(Raw_Data!J114,""Cost of goods sold: \$([\d,]+)""),"","","""")),0)"),0.0)</f>
        <v>0</v>
      </c>
      <c r="H114" s="60">
        <f>IFERROR(__xludf.DUMMYFUNCTION("IFERROR(VALUE(SUBSTITUTE(REGEXEXTRACT(Raw_Data!J114,""withheld a \$([\d,]+) fee""),"","","""")),0)"),0.0)</f>
        <v>0</v>
      </c>
      <c r="I114" s="60">
        <f t="shared" si="2"/>
        <v>764</v>
      </c>
      <c r="J114" s="60">
        <f>IFERROR(__xludf.DUMMYFUNCTION("IFERROR(VALUE(SUBSTITUTE(REGEXEXTRACT(Raw_Data!J114,""(?i)interest \$([\d,]+)""),"","","""")),0)"),0.0)</f>
        <v>0</v>
      </c>
      <c r="K114" s="60">
        <f t="shared" si="3"/>
        <v>764</v>
      </c>
      <c r="L114" s="60">
        <f>IFERROR(__xludf.DUMMYFUNCTION("IFERROR(VALUE(SUBSTITUTE(REGEXEXTRACT(Raw_Data!F114,""\$([\d,]+) prior deposit applied""),"","","""")),0)"),0.0)</f>
        <v>0</v>
      </c>
      <c r="M114" s="60">
        <f t="shared" si="4"/>
        <v>764</v>
      </c>
      <c r="N114" s="60">
        <f>IFERROR(__xludf.DUMMYFUNCTION("IFERROR(VALUE(SUBSTITUTE(REGEXEXTRACT(Raw_Data!F114,""^\$([\d,]+) cash""),"","","""")),0)"),0.0)</f>
        <v>0</v>
      </c>
      <c r="O114" s="60">
        <f t="shared" si="5"/>
        <v>764</v>
      </c>
      <c r="P114" s="60">
        <f>IFERROR(__xludf.DUMMYFUNCTION("IFERROR(VALUE(SUBSTITUTE(REGEXEXTRACT(Raw_Data!J114,""labour \d+ h at \$\d+/h: \$([\d,]+)""),"","","""")),0)"),0.0)</f>
        <v>0</v>
      </c>
      <c r="Q114" s="60">
        <f t="shared" si="6"/>
        <v>764</v>
      </c>
      <c r="R114" s="60" t="str">
        <f t="array" ref="R114">IF(INDEX(Rules!$B$2:$B$60,$D114)="","",INDEX(Rules!$B$2:$B$60,$D114))</f>
        <v>Utilities Expense</v>
      </c>
      <c r="S114" s="60" t="str">
        <f t="array" ref="S114">IF(INDEX(Rules!$E$2:$E$60,$D114)="","",INDEX(Rules!$E$2:$E$60,$D114))</f>
        <v/>
      </c>
      <c r="T114" s="60" t="str">
        <f t="array" ref="T114">IF(INDEX(Rules!$H$2:$H$60,$D114)="","",INDEX(Rules!$H$2:$H$60,$D114))</f>
        <v/>
      </c>
      <c r="U114" s="60" t="str">
        <f t="array" ref="U114">IF(INDEX(Rules!$C$2:$C$60,$D114)="","",INDEX(Rules!$C$2:$C$60,$D114))</f>
        <v>Cash</v>
      </c>
      <c r="V114" s="60" t="str">
        <f t="array" ref="V114">IF(INDEX(Rules!$F$2:$F$60,$D114)="","",INDEX(Rules!$F$2:$F$60,$D114))</f>
        <v/>
      </c>
      <c r="W114" s="60" t="str">
        <f t="array" ref="W114">IF(INDEX(Rules!$I$2:$I$60,$D114)="","",INDEX(Rules!$I$2:$I$60,$D114))</f>
        <v/>
      </c>
      <c r="X114" s="60">
        <f t="array" ref="X114">IF(R114="","",INDEX($F114:$Q114,MATCH(INDEX(Rules!$D$2:$D$60,$D114),$F$1:$Q$1,0)))</f>
        <v>764</v>
      </c>
      <c r="Y114" s="60" t="str">
        <f t="array" ref="Y114">IF(S114="","",INDEX($F114:$Q114,MATCH(INDEX(Rules!$G$2:$G$60,$D114),$F$1:$Q$1,0)))</f>
        <v/>
      </c>
      <c r="Z114" s="60" t="str">
        <f t="array" ref="Z114">IF(T114="","",INDEX($F114:$Q114,MATCH(INDEX(Rules!$J$2:$J$60,$D114),$F$1:$Q$1,0)))</f>
        <v/>
      </c>
      <c r="AA114" s="60" t="str">
        <f t="array" ref="AA114">IF(INDEX(Rules!$K$2:$K$60,$D114)="","",INDEX(Rules!$K$2:$K$60,$D114))</f>
        <v>monthly utilities</v>
      </c>
      <c r="AB114" s="60" t="str">
        <f>IF(SUMPRODUCT((R114:W114&lt;&gt;"")*(ISNUMBER(SEARCH(Raw_Data!E114,R114:W114))+ISNUMBER(SEARCH(R114:W114,Raw_Data!E114))))&gt;0,"OK","CHECK")</f>
        <v>OK</v>
      </c>
    </row>
    <row r="115">
      <c r="A115" s="60" t="str">
        <f>Raw_Data!A115</f>
        <v>VVV-2024-114</v>
      </c>
      <c r="B115" s="60">
        <f>Raw_Data!D115</f>
        <v>5400</v>
      </c>
      <c r="C115" s="60" t="str">
        <f>LOWER(Raw_Data!C115&amp;" | "&amp;Raw_Data!F115)</f>
        <v>monthly facility rent | automatic bank transfer; settled</v>
      </c>
      <c r="D115" s="60">
        <f t="array" ref="D115">MATCH(1,ISNUMBER(SEARCH(Rules!$A$2:$A$60,C115))*(Rules!$A$2:$A$60&lt;&gt;""),0)</f>
        <v>15</v>
      </c>
      <c r="E115" s="60" t="str">
        <f t="array" ref="E115">INDEX(Rules!$A$2:$A$60,D115)</f>
        <v>facility rent</v>
      </c>
      <c r="F115" s="60">
        <f t="shared" si="1"/>
        <v>5400</v>
      </c>
      <c r="G115" s="60">
        <f>IFERROR(__xludf.DUMMYFUNCTION("IFERROR(VALUE(SUBSTITUTE(REGEXEXTRACT(Raw_Data!J115,""Cost of goods sold: \$([\d,]+)""),"","","""")),0)"),0.0)</f>
        <v>0</v>
      </c>
      <c r="H115" s="60">
        <f>IFERROR(__xludf.DUMMYFUNCTION("IFERROR(VALUE(SUBSTITUTE(REGEXEXTRACT(Raw_Data!J115,""withheld a \$([\d,]+) fee""),"","","""")),0)"),0.0)</f>
        <v>0</v>
      </c>
      <c r="I115" s="60">
        <f t="shared" si="2"/>
        <v>5400</v>
      </c>
      <c r="J115" s="60">
        <f>IFERROR(__xludf.DUMMYFUNCTION("IFERROR(VALUE(SUBSTITUTE(REGEXEXTRACT(Raw_Data!J115,""(?i)interest \$([\d,]+)""),"","","""")),0)"),0.0)</f>
        <v>0</v>
      </c>
      <c r="K115" s="60">
        <f t="shared" si="3"/>
        <v>5400</v>
      </c>
      <c r="L115" s="60">
        <f>IFERROR(__xludf.DUMMYFUNCTION("IFERROR(VALUE(SUBSTITUTE(REGEXEXTRACT(Raw_Data!F115,""\$([\d,]+) prior deposit applied""),"","","""")),0)"),0.0)</f>
        <v>0</v>
      </c>
      <c r="M115" s="60">
        <f t="shared" si="4"/>
        <v>5400</v>
      </c>
      <c r="N115" s="60">
        <f>IFERROR(__xludf.DUMMYFUNCTION("IFERROR(VALUE(SUBSTITUTE(REGEXEXTRACT(Raw_Data!F115,""^\$([\d,]+) cash""),"","","""")),0)"),0.0)</f>
        <v>0</v>
      </c>
      <c r="O115" s="60">
        <f t="shared" si="5"/>
        <v>5400</v>
      </c>
      <c r="P115" s="60">
        <f>IFERROR(__xludf.DUMMYFUNCTION("IFERROR(VALUE(SUBSTITUTE(REGEXEXTRACT(Raw_Data!J115,""labour \d+ h at \$\d+/h: \$([\d,]+)""),"","","""")),0)"),0.0)</f>
        <v>0</v>
      </c>
      <c r="Q115" s="60">
        <f t="shared" si="6"/>
        <v>5400</v>
      </c>
      <c r="R115" s="60" t="str">
        <f t="array" ref="R115">IF(INDEX(Rules!$B$2:$B$60,$D115)="","",INDEX(Rules!$B$2:$B$60,$D115))</f>
        <v>Rent Expense</v>
      </c>
      <c r="S115" s="60" t="str">
        <f t="array" ref="S115">IF(INDEX(Rules!$E$2:$E$60,$D115)="","",INDEX(Rules!$E$2:$E$60,$D115))</f>
        <v/>
      </c>
      <c r="T115" s="60" t="str">
        <f t="array" ref="T115">IF(INDEX(Rules!$H$2:$H$60,$D115)="","",INDEX(Rules!$H$2:$H$60,$D115))</f>
        <v/>
      </c>
      <c r="U115" s="60" t="str">
        <f t="array" ref="U115">IF(INDEX(Rules!$C$2:$C$60,$D115)="","",INDEX(Rules!$C$2:$C$60,$D115))</f>
        <v>Cash</v>
      </c>
      <c r="V115" s="60" t="str">
        <f t="array" ref="V115">IF(INDEX(Rules!$F$2:$F$60,$D115)="","",INDEX(Rules!$F$2:$F$60,$D115))</f>
        <v/>
      </c>
      <c r="W115" s="60" t="str">
        <f t="array" ref="W115">IF(INDEX(Rules!$I$2:$I$60,$D115)="","",INDEX(Rules!$I$2:$I$60,$D115))</f>
        <v/>
      </c>
      <c r="X115" s="60">
        <f t="array" ref="X115">IF(R115="","",INDEX($F115:$Q115,MATCH(INDEX(Rules!$D$2:$D$60,$D115),$F$1:$Q$1,0)))</f>
        <v>5400</v>
      </c>
      <c r="Y115" s="60" t="str">
        <f t="array" ref="Y115">IF(S115="","",INDEX($F115:$Q115,MATCH(INDEX(Rules!$G$2:$G$60,$D115),$F$1:$Q$1,0)))</f>
        <v/>
      </c>
      <c r="Z115" s="60" t="str">
        <f t="array" ref="Z115">IF(T115="","",INDEX($F115:$Q115,MATCH(INDEX(Rules!$J$2:$J$60,$D115),$F$1:$Q$1,0)))</f>
        <v/>
      </c>
      <c r="AA115" s="60" t="str">
        <f t="array" ref="AA115">IF(INDEX(Rules!$K$2:$K$60,$D115)="","",INDEX(Rules!$K$2:$K$60,$D115))</f>
        <v>monthly rent</v>
      </c>
      <c r="AB115" s="60" t="str">
        <f>IF(SUMPRODUCT((R115:W115&lt;&gt;"")*(ISNUMBER(SEARCH(Raw_Data!E115,R115:W115))+ISNUMBER(SEARCH(R115:W115,Raw_Data!E115))))&gt;0,"OK","CHECK")</f>
        <v>OK</v>
      </c>
    </row>
    <row r="116">
      <c r="A116" s="60" t="str">
        <f>Raw_Data!A116</f>
        <v>VVV-2024-115</v>
      </c>
      <c r="B116" s="60">
        <f>Raw_Data!D116</f>
        <v>600</v>
      </c>
      <c r="C116" s="60" t="str">
        <f>LOWER(Raw_Data!C116&amp;" | "&amp;Raw_Data!F116)</f>
        <v>monthly business insurance premium | automatic bank transfer; settled</v>
      </c>
      <c r="D116" s="60">
        <f t="array" ref="D116">MATCH(1,ISNUMBER(SEARCH(Rules!$A$2:$A$60,C116))*(Rules!$A$2:$A$60&lt;&gt;""),0)</f>
        <v>20</v>
      </c>
      <c r="E116" s="60" t="str">
        <f t="array" ref="E116">INDEX(Rules!$A$2:$A$60,D116)</f>
        <v>insurance</v>
      </c>
      <c r="F116" s="60">
        <f t="shared" si="1"/>
        <v>600</v>
      </c>
      <c r="G116" s="60">
        <f>IFERROR(__xludf.DUMMYFUNCTION("IFERROR(VALUE(SUBSTITUTE(REGEXEXTRACT(Raw_Data!J116,""Cost of goods sold: \$([\d,]+)""),"","","""")),0)"),0.0)</f>
        <v>0</v>
      </c>
      <c r="H116" s="60">
        <f>IFERROR(__xludf.DUMMYFUNCTION("IFERROR(VALUE(SUBSTITUTE(REGEXEXTRACT(Raw_Data!J116,""withheld a \$([\d,]+) fee""),"","","""")),0)"),0.0)</f>
        <v>0</v>
      </c>
      <c r="I116" s="60">
        <f t="shared" si="2"/>
        <v>600</v>
      </c>
      <c r="J116" s="60">
        <f>IFERROR(__xludf.DUMMYFUNCTION("IFERROR(VALUE(SUBSTITUTE(REGEXEXTRACT(Raw_Data!J116,""(?i)interest \$([\d,]+)""),"","","""")),0)"),0.0)</f>
        <v>0</v>
      </c>
      <c r="K116" s="60">
        <f t="shared" si="3"/>
        <v>600</v>
      </c>
      <c r="L116" s="60">
        <f>IFERROR(__xludf.DUMMYFUNCTION("IFERROR(VALUE(SUBSTITUTE(REGEXEXTRACT(Raw_Data!F116,""\$([\d,]+) prior deposit applied""),"","","""")),0)"),0.0)</f>
        <v>0</v>
      </c>
      <c r="M116" s="60">
        <f t="shared" si="4"/>
        <v>600</v>
      </c>
      <c r="N116" s="60">
        <f>IFERROR(__xludf.DUMMYFUNCTION("IFERROR(VALUE(SUBSTITUTE(REGEXEXTRACT(Raw_Data!F116,""^\$([\d,]+) cash""),"","","""")),0)"),0.0)</f>
        <v>0</v>
      </c>
      <c r="O116" s="60">
        <f t="shared" si="5"/>
        <v>600</v>
      </c>
      <c r="P116" s="60">
        <f>IFERROR(__xludf.DUMMYFUNCTION("IFERROR(VALUE(SUBSTITUTE(REGEXEXTRACT(Raw_Data!J116,""labour \d+ h at \$\d+/h: \$([\d,]+)""),"","","""")),0)"),0.0)</f>
        <v>0</v>
      </c>
      <c r="Q116" s="60">
        <f t="shared" si="6"/>
        <v>600</v>
      </c>
      <c r="R116" s="60" t="str">
        <f t="array" ref="R116">IF(INDEX(Rules!$B$2:$B$60,$D116)="","",INDEX(Rules!$B$2:$B$60,$D116))</f>
        <v>Insurance Expense</v>
      </c>
      <c r="S116" s="60" t="str">
        <f t="array" ref="S116">IF(INDEX(Rules!$E$2:$E$60,$D116)="","",INDEX(Rules!$E$2:$E$60,$D116))</f>
        <v/>
      </c>
      <c r="T116" s="60" t="str">
        <f t="array" ref="T116">IF(INDEX(Rules!$H$2:$H$60,$D116)="","",INDEX(Rules!$H$2:$H$60,$D116))</f>
        <v/>
      </c>
      <c r="U116" s="60" t="str">
        <f t="array" ref="U116">IF(INDEX(Rules!$C$2:$C$60,$D116)="","",INDEX(Rules!$C$2:$C$60,$D116))</f>
        <v>Cash</v>
      </c>
      <c r="V116" s="60" t="str">
        <f t="array" ref="V116">IF(INDEX(Rules!$F$2:$F$60,$D116)="","",INDEX(Rules!$F$2:$F$60,$D116))</f>
        <v/>
      </c>
      <c r="W116" s="60" t="str">
        <f t="array" ref="W116">IF(INDEX(Rules!$I$2:$I$60,$D116)="","",INDEX(Rules!$I$2:$I$60,$D116))</f>
        <v/>
      </c>
      <c r="X116" s="60">
        <f t="array" ref="X116">IF(R116="","",INDEX($F116:$Q116,MATCH(INDEX(Rules!$D$2:$D$60,$D116),$F$1:$Q$1,0)))</f>
        <v>600</v>
      </c>
      <c r="Y116" s="60" t="str">
        <f t="array" ref="Y116">IF(S116="","",INDEX($F116:$Q116,MATCH(INDEX(Rules!$G$2:$G$60,$D116),$F$1:$Q$1,0)))</f>
        <v/>
      </c>
      <c r="Z116" s="60" t="str">
        <f t="array" ref="Z116">IF(T116="","",INDEX($F116:$Q116,MATCH(INDEX(Rules!$J$2:$J$60,$D116),$F$1:$Q$1,0)))</f>
        <v/>
      </c>
      <c r="AA116" s="60" t="str">
        <f t="array" ref="AA116">IF(INDEX(Rules!$K$2:$K$60,$D116)="","",INDEX(Rules!$K$2:$K$60,$D116))</f>
        <v>monthly insurance</v>
      </c>
      <c r="AB116" s="60" t="str">
        <f>IF(SUMPRODUCT((R116:W116&lt;&gt;"")*(ISNUMBER(SEARCH(Raw_Data!E116,R116:W116))+ISNUMBER(SEARCH(R116:W116,Raw_Data!E116))))&gt;0,"OK","CHECK")</f>
        <v>OK</v>
      </c>
    </row>
    <row r="117">
      <c r="A117" s="60" t="str">
        <f>Raw_Data!A117</f>
        <v>VVV-2024-116</v>
      </c>
      <c r="B117" s="60">
        <f>Raw_Data!D117</f>
        <v>3500</v>
      </c>
      <c r="C117" s="60" t="str">
        <f>LOWER(Raw_Data!C117&amp;" | "&amp;Raw_Data!F117)</f>
        <v>retail camping-supply sales | cash and card receipts; settled</v>
      </c>
      <c r="D117" s="60">
        <f t="array" ref="D117">MATCH(1,ISNUMBER(SEARCH(Rules!$A$2:$A$60,C117))*(Rules!$A$2:$A$60&lt;&gt;""),0)</f>
        <v>12</v>
      </c>
      <c r="E117" s="60" t="str">
        <f t="array" ref="E117">INDEX(Rules!$A$2:$A$60,D117)</f>
        <v>camping-supply sales</v>
      </c>
      <c r="F117" s="60">
        <f t="shared" si="1"/>
        <v>3500</v>
      </c>
      <c r="G117" s="60">
        <f>IFERROR(__xludf.DUMMYFUNCTION("IFERROR(VALUE(SUBSTITUTE(REGEXEXTRACT(Raw_Data!J117,""Cost of goods sold: \$([\d,]+)""),"","","""")),0)"),2100.0)</f>
        <v>2100</v>
      </c>
      <c r="H117" s="60">
        <f>IFERROR(__xludf.DUMMYFUNCTION("IFERROR(VALUE(SUBSTITUTE(REGEXEXTRACT(Raw_Data!J117,""withheld a \$([\d,]+) fee""),"","","""")),0)"),0.0)</f>
        <v>0</v>
      </c>
      <c r="I117" s="60">
        <f t="shared" si="2"/>
        <v>3500</v>
      </c>
      <c r="J117" s="60">
        <f>IFERROR(__xludf.DUMMYFUNCTION("IFERROR(VALUE(SUBSTITUTE(REGEXEXTRACT(Raw_Data!J117,""(?i)interest \$([\d,]+)""),"","","""")),0)"),0.0)</f>
        <v>0</v>
      </c>
      <c r="K117" s="60">
        <f t="shared" si="3"/>
        <v>3500</v>
      </c>
      <c r="L117" s="60">
        <f>IFERROR(__xludf.DUMMYFUNCTION("IFERROR(VALUE(SUBSTITUTE(REGEXEXTRACT(Raw_Data!F117,""\$([\d,]+) prior deposit applied""),"","","""")),0)"),0.0)</f>
        <v>0</v>
      </c>
      <c r="M117" s="60">
        <f t="shared" si="4"/>
        <v>3500</v>
      </c>
      <c r="N117" s="60">
        <f>IFERROR(__xludf.DUMMYFUNCTION("IFERROR(VALUE(SUBSTITUTE(REGEXEXTRACT(Raw_Data!F117,""^\$([\d,]+) cash""),"","","""")),0)"),0.0)</f>
        <v>0</v>
      </c>
      <c r="O117" s="60">
        <f t="shared" si="5"/>
        <v>3500</v>
      </c>
      <c r="P117" s="60">
        <f>IFERROR(__xludf.DUMMYFUNCTION("IFERROR(VALUE(SUBSTITUTE(REGEXEXTRACT(Raw_Data!J117,""labour \d+ h at \$\d+/h: \$([\d,]+)""),"","","""")),0)"),0.0)</f>
        <v>0</v>
      </c>
      <c r="Q117" s="60">
        <f t="shared" si="6"/>
        <v>3500</v>
      </c>
      <c r="R117" s="60" t="str">
        <f t="array" ref="R117">IF(INDEX(Rules!$B$2:$B$60,$D117)="","",INDEX(Rules!$B$2:$B$60,$D117))</f>
        <v>Cash</v>
      </c>
      <c r="S117" s="60" t="str">
        <f t="array" ref="S117">IF(INDEX(Rules!$E$2:$E$60,$D117)="","",INDEX(Rules!$E$2:$E$60,$D117))</f>
        <v>Cost of Goods Sold</v>
      </c>
      <c r="T117" s="60" t="str">
        <f t="array" ref="T117">IF(INDEX(Rules!$H$2:$H$60,$D117)="","",INDEX(Rules!$H$2:$H$60,$D117))</f>
        <v/>
      </c>
      <c r="U117" s="60" t="str">
        <f t="array" ref="U117">IF(INDEX(Rules!$C$2:$C$60,$D117)="","",INDEX(Rules!$C$2:$C$60,$D117))</f>
        <v>Retail Sales Revenue</v>
      </c>
      <c r="V117" s="60" t="str">
        <f t="array" ref="V117">IF(INDEX(Rules!$F$2:$F$60,$D117)="","",INDEX(Rules!$F$2:$F$60,$D117))</f>
        <v>Inventory</v>
      </c>
      <c r="W117" s="60" t="str">
        <f t="array" ref="W117">IF(INDEX(Rules!$I$2:$I$60,$D117)="","",INDEX(Rules!$I$2:$I$60,$D117))</f>
        <v/>
      </c>
      <c r="X117" s="60">
        <f t="array" ref="X117">IF(R117="","",INDEX($F117:$Q117,MATCH(INDEX(Rules!$D$2:$D$60,$D117),$F$1:$Q$1,0)))</f>
        <v>3500</v>
      </c>
      <c r="Y117" s="60">
        <f t="array" ref="Y117">IF(S117="","",INDEX($F117:$Q117,MATCH(INDEX(Rules!$G$2:$G$60,$D117),$F$1:$Q$1,0)))</f>
        <v>2100</v>
      </c>
      <c r="Z117" s="60" t="str">
        <f t="array" ref="Z117">IF(T117="","",INDEX($F117:$Q117,MATCH(INDEX(Rules!$J$2:$J$60,$D117),$F$1:$Q$1,0)))</f>
        <v/>
      </c>
      <c r="AA117" s="60" t="str">
        <f t="array" ref="AA117">IF(INDEX(Rules!$K$2:$K$60,$D117)="","",INDEX(Rules!$K$2:$K$60,$D117))</f>
        <v>sale + cost of the goods comes out of inventory (COGS)</v>
      </c>
      <c r="AB117" s="60" t="str">
        <f>IF(SUMPRODUCT((R117:W117&lt;&gt;"")*(ISNUMBER(SEARCH(Raw_Data!E117,R117:W117))+ISNUMBER(SEARCH(R117:W117,Raw_Data!E117))))&gt;0,"OK","CHECK")</f>
        <v>OK</v>
      </c>
    </row>
    <row r="118">
      <c r="A118" s="60" t="str">
        <f>Raw_Data!A118</f>
        <v>VVV-2024-117</v>
      </c>
      <c r="B118" s="60">
        <f>Raw_Data!D118</f>
        <v>6000</v>
      </c>
      <c r="C118" s="60" t="str">
        <f>LOWER(Raw_Data!C118&amp;" | "&amp;Raw_Data!F118)</f>
        <v>deposit for january 2025 winter event | bank transfer received; service due january 2025</v>
      </c>
      <c r="D118" s="60">
        <f t="array" ref="D118">MATCH(1,ISNUMBER(SEARCH(Rules!$A$2:$A$60,C118))*(Rules!$A$2:$A$60&lt;&gt;""),0)</f>
        <v>31</v>
      </c>
      <c r="E118" s="60" t="str">
        <f t="array" ref="E118">INDEX(Rules!$A$2:$A$60,D118)</f>
        <v>deposit</v>
      </c>
      <c r="F118" s="60">
        <f t="shared" si="1"/>
        <v>6000</v>
      </c>
      <c r="G118" s="60">
        <f>IFERROR(__xludf.DUMMYFUNCTION("IFERROR(VALUE(SUBSTITUTE(REGEXEXTRACT(Raw_Data!J118,""Cost of goods sold: \$([\d,]+)""),"","","""")),0)"),0.0)</f>
        <v>0</v>
      </c>
      <c r="H118" s="60">
        <f>IFERROR(__xludf.DUMMYFUNCTION("IFERROR(VALUE(SUBSTITUTE(REGEXEXTRACT(Raw_Data!J118,""withheld a \$([\d,]+) fee""),"","","""")),0)"),0.0)</f>
        <v>0</v>
      </c>
      <c r="I118" s="60">
        <f t="shared" si="2"/>
        <v>6000</v>
      </c>
      <c r="J118" s="60">
        <f>IFERROR(__xludf.DUMMYFUNCTION("IFERROR(VALUE(SUBSTITUTE(REGEXEXTRACT(Raw_Data!J118,""(?i)interest \$([\d,]+)""),"","","""")),0)"),0.0)</f>
        <v>0</v>
      </c>
      <c r="K118" s="60">
        <f t="shared" si="3"/>
        <v>6000</v>
      </c>
      <c r="L118" s="60">
        <f>IFERROR(__xludf.DUMMYFUNCTION("IFERROR(VALUE(SUBSTITUTE(REGEXEXTRACT(Raw_Data!F118,""\$([\d,]+) prior deposit applied""),"","","""")),0)"),0.0)</f>
        <v>0</v>
      </c>
      <c r="M118" s="60">
        <f t="shared" si="4"/>
        <v>6000</v>
      </c>
      <c r="N118" s="60">
        <f>IFERROR(__xludf.DUMMYFUNCTION("IFERROR(VALUE(SUBSTITUTE(REGEXEXTRACT(Raw_Data!F118,""^\$([\d,]+) cash""),"","","""")),0)"),0.0)</f>
        <v>0</v>
      </c>
      <c r="O118" s="60">
        <f t="shared" si="5"/>
        <v>6000</v>
      </c>
      <c r="P118" s="60">
        <f>IFERROR(__xludf.DUMMYFUNCTION("IFERROR(VALUE(SUBSTITUTE(REGEXEXTRACT(Raw_Data!J118,""labour \d+ h at \$\d+/h: \$([\d,]+)""),"","","""")),0)"),0.0)</f>
        <v>0</v>
      </c>
      <c r="Q118" s="60">
        <f t="shared" si="6"/>
        <v>6000</v>
      </c>
      <c r="R118" s="60" t="str">
        <f t="array" ref="R118">IF(INDEX(Rules!$B$2:$B$60,$D118)="","",INDEX(Rules!$B$2:$B$60,$D118))</f>
        <v>Cash</v>
      </c>
      <c r="S118" s="60" t="str">
        <f t="array" ref="S118">IF(INDEX(Rules!$E$2:$E$60,$D118)="","",INDEX(Rules!$E$2:$E$60,$D118))</f>
        <v/>
      </c>
      <c r="T118" s="60" t="str">
        <f t="array" ref="T118">IF(INDEX(Rules!$H$2:$H$60,$D118)="","",INDEX(Rules!$H$2:$H$60,$D118))</f>
        <v/>
      </c>
      <c r="U118" s="60" t="str">
        <f t="array" ref="U118">IF(INDEX(Rules!$C$2:$C$60,$D118)="","",INDEX(Rules!$C$2:$C$60,$D118))</f>
        <v>Unearned Revenue</v>
      </c>
      <c r="V118" s="60" t="str">
        <f t="array" ref="V118">IF(INDEX(Rules!$F$2:$F$60,$D118)="","",INDEX(Rules!$F$2:$F$60,$D118))</f>
        <v/>
      </c>
      <c r="W118" s="60" t="str">
        <f t="array" ref="W118">IF(INDEX(Rules!$I$2:$I$60,$D118)="","",INDEX(Rules!$I$2:$I$60,$D118))</f>
        <v/>
      </c>
      <c r="X118" s="60">
        <f t="array" ref="X118">IF(R118="","",INDEX($F118:$Q118,MATCH(INDEX(Rules!$D$2:$D$60,$D118),$F$1:$Q$1,0)))</f>
        <v>6000</v>
      </c>
      <c r="Y118" s="60" t="str">
        <f t="array" ref="Y118">IF(S118="","",INDEX($F118:$Q118,MATCH(INDEX(Rules!$G$2:$G$60,$D118),$F$1:$Q$1,0)))</f>
        <v/>
      </c>
      <c r="Z118" s="60" t="str">
        <f t="array" ref="Z118">IF(T118="","",INDEX($F118:$Q118,MATCH(INDEX(Rules!$J$2:$J$60,$D118),$F$1:$Q$1,0)))</f>
        <v/>
      </c>
      <c r="AA118" s="60" t="str">
        <f t="array" ref="AA118">IF(INDEX(Rules!$K$2:$K$60,$D118)="","",INDEX(Rules!$K$2:$K$60,$D118))</f>
        <v>paid before the service -&gt; not earned yet (unearned)</v>
      </c>
      <c r="AB118" s="60" t="str">
        <f>IF(SUMPRODUCT((R118:W118&lt;&gt;"")*(ISNUMBER(SEARCH(Raw_Data!E118,R118:W118))+ISNUMBER(SEARCH(R118:W118,Raw_Data!E118))))&gt;0,"OK","CHECK")</f>
        <v>CHECK</v>
      </c>
    </row>
    <row r="119">
      <c r="A119" s="60" t="str">
        <f>Raw_Data!A119</f>
        <v>VVV-2024-118</v>
      </c>
      <c r="B119" s="60">
        <f>Raw_Data!D119</f>
        <v>1200</v>
      </c>
      <c r="C119" s="60" t="str">
        <f>LOWER(Raw_Data!C119&amp;" | "&amp;Raw_Data!F119)</f>
        <v>bank interest payment | paid from business bank account</v>
      </c>
      <c r="D119" s="60">
        <f t="array" ref="D119">MATCH(1,ISNUMBER(SEARCH(Rules!$A$2:$A$60,C119))*(Rules!$A$2:$A$60&lt;&gt;""),0)</f>
        <v>19</v>
      </c>
      <c r="E119" s="60" t="str">
        <f t="array" ref="E119">INDEX(Rules!$A$2:$A$60,D119)</f>
        <v>interest payment</v>
      </c>
      <c r="F119" s="60">
        <f t="shared" si="1"/>
        <v>1200</v>
      </c>
      <c r="G119" s="60">
        <f>IFERROR(__xludf.DUMMYFUNCTION("IFERROR(VALUE(SUBSTITUTE(REGEXEXTRACT(Raw_Data!J119,""Cost of goods sold: \$([\d,]+)""),"","","""")),0)"),0.0)</f>
        <v>0</v>
      </c>
      <c r="H119" s="60">
        <f>IFERROR(__xludf.DUMMYFUNCTION("IFERROR(VALUE(SUBSTITUTE(REGEXEXTRACT(Raw_Data!J119,""withheld a \$([\d,]+) fee""),"","","""")),0)"),0.0)</f>
        <v>0</v>
      </c>
      <c r="I119" s="60">
        <f t="shared" si="2"/>
        <v>1200</v>
      </c>
      <c r="J119" s="60">
        <f>IFERROR(__xludf.DUMMYFUNCTION("IFERROR(VALUE(SUBSTITUTE(REGEXEXTRACT(Raw_Data!J119,""(?i)interest \$([\d,]+)""),"","","""")),0)"),1200.0)</f>
        <v>1200</v>
      </c>
      <c r="K119" s="60">
        <f t="shared" si="3"/>
        <v>0</v>
      </c>
      <c r="L119" s="60">
        <f>IFERROR(__xludf.DUMMYFUNCTION("IFERROR(VALUE(SUBSTITUTE(REGEXEXTRACT(Raw_Data!F119,""\$([\d,]+) prior deposit applied""),"","","""")),0)"),0.0)</f>
        <v>0</v>
      </c>
      <c r="M119" s="60">
        <f t="shared" si="4"/>
        <v>1200</v>
      </c>
      <c r="N119" s="60">
        <f>IFERROR(__xludf.DUMMYFUNCTION("IFERROR(VALUE(SUBSTITUTE(REGEXEXTRACT(Raw_Data!F119,""^\$([\d,]+) cash""),"","","""")),0)"),0.0)</f>
        <v>0</v>
      </c>
      <c r="O119" s="60">
        <f t="shared" si="5"/>
        <v>1200</v>
      </c>
      <c r="P119" s="60">
        <f>IFERROR(__xludf.DUMMYFUNCTION("IFERROR(VALUE(SUBSTITUTE(REGEXEXTRACT(Raw_Data!J119,""labour \d+ h at \$\d+/h: \$([\d,]+)""),"","","""")),0)"),0.0)</f>
        <v>0</v>
      </c>
      <c r="Q119" s="60">
        <f t="shared" si="6"/>
        <v>1200</v>
      </c>
      <c r="R119" s="60" t="str">
        <f t="array" ref="R119">IF(INDEX(Rules!$B$2:$B$60,$D119)="","",INDEX(Rules!$B$2:$B$60,$D119))</f>
        <v>Interest Expense</v>
      </c>
      <c r="S119" s="60" t="str">
        <f t="array" ref="S119">IF(INDEX(Rules!$E$2:$E$60,$D119)="","",INDEX(Rules!$E$2:$E$60,$D119))</f>
        <v/>
      </c>
      <c r="T119" s="60" t="str">
        <f t="array" ref="T119">IF(INDEX(Rules!$H$2:$H$60,$D119)="","",INDEX(Rules!$H$2:$H$60,$D119))</f>
        <v/>
      </c>
      <c r="U119" s="60" t="str">
        <f t="array" ref="U119">IF(INDEX(Rules!$C$2:$C$60,$D119)="","",INDEX(Rules!$C$2:$C$60,$D119))</f>
        <v>Cash</v>
      </c>
      <c r="V119" s="60" t="str">
        <f t="array" ref="V119">IF(INDEX(Rules!$F$2:$F$60,$D119)="","",INDEX(Rules!$F$2:$F$60,$D119))</f>
        <v/>
      </c>
      <c r="W119" s="60" t="str">
        <f t="array" ref="W119">IF(INDEX(Rules!$I$2:$I$60,$D119)="","",INDEX(Rules!$I$2:$I$60,$D119))</f>
        <v/>
      </c>
      <c r="X119" s="60">
        <f t="array" ref="X119">IF(R119="","",INDEX($F119:$Q119,MATCH(INDEX(Rules!$D$2:$D$60,$D119),$F$1:$Q$1,0)))</f>
        <v>1200</v>
      </c>
      <c r="Y119" s="60" t="str">
        <f t="array" ref="Y119">IF(S119="","",INDEX($F119:$Q119,MATCH(INDEX(Rules!$G$2:$G$60,$D119),$F$1:$Q$1,0)))</f>
        <v/>
      </c>
      <c r="Z119" s="60" t="str">
        <f t="array" ref="Z119">IF(T119="","",INDEX($F119:$Q119,MATCH(INDEX(Rules!$J$2:$J$60,$D119),$F$1:$Q$1,0)))</f>
        <v/>
      </c>
      <c r="AA119" s="60" t="str">
        <f t="array" ref="AA119">IF(INDEX(Rules!$K$2:$K$60,$D119)="","",INDEX(Rules!$K$2:$K$60,$D119))</f>
        <v>interest only, no principal</v>
      </c>
      <c r="AB119" s="60" t="str">
        <f>IF(SUMPRODUCT((R119:W119&lt;&gt;"")*(ISNUMBER(SEARCH(Raw_Data!E119,R119:W119))+ISNUMBER(SEARCH(R119:W119,Raw_Data!E119))))&gt;0,"OK","CHECK")</f>
        <v>OK</v>
      </c>
    </row>
    <row r="120">
      <c r="A120" s="60" t="str">
        <f>Raw_Data!A120</f>
        <v>VVV-2024-119</v>
      </c>
      <c r="B120" s="60">
        <f>Raw_Data!D120</f>
        <v>7200</v>
      </c>
      <c r="C120" s="60" t="str">
        <f>LOWER(Raw_Data!C120&amp;" | "&amp;Raw_Data!F120)</f>
        <v>employee payroll settlement | payroll and claims paid from business bank account</v>
      </c>
      <c r="D120" s="60">
        <f t="array" ref="D120">MATCH(1,ISNUMBER(SEARCH(Rules!$A$2:$A$60,C120))*(Rules!$A$2:$A$60&lt;&gt;""),0)</f>
        <v>23</v>
      </c>
      <c r="E120" s="60" t="str">
        <f t="array" ref="E120">INDEX(Rules!$A$2:$A$60,D120)</f>
        <v>payroll</v>
      </c>
      <c r="F120" s="60">
        <f t="shared" si="1"/>
        <v>7200</v>
      </c>
      <c r="G120" s="60">
        <f>IFERROR(__xludf.DUMMYFUNCTION("IFERROR(VALUE(SUBSTITUTE(REGEXEXTRACT(Raw_Data!J120,""Cost of goods sold: \$([\d,]+)""),"","","""")),0)"),0.0)</f>
        <v>0</v>
      </c>
      <c r="H120" s="60">
        <f>IFERROR(__xludf.DUMMYFUNCTION("IFERROR(VALUE(SUBSTITUTE(REGEXEXTRACT(Raw_Data!J120,""withheld a \$([\d,]+) fee""),"","","""")),0)"),0.0)</f>
        <v>0</v>
      </c>
      <c r="I120" s="60">
        <f t="shared" si="2"/>
        <v>7200</v>
      </c>
      <c r="J120" s="60">
        <f>IFERROR(__xludf.DUMMYFUNCTION("IFERROR(VALUE(SUBSTITUTE(REGEXEXTRACT(Raw_Data!J120,""(?i)interest \$([\d,]+)""),"","","""")),0)"),0.0)</f>
        <v>0</v>
      </c>
      <c r="K120" s="60">
        <f t="shared" si="3"/>
        <v>7200</v>
      </c>
      <c r="L120" s="60">
        <f>IFERROR(__xludf.DUMMYFUNCTION("IFERROR(VALUE(SUBSTITUTE(REGEXEXTRACT(Raw_Data!F120,""\$([\d,]+) prior deposit applied""),"","","""")),0)"),0.0)</f>
        <v>0</v>
      </c>
      <c r="M120" s="60">
        <f t="shared" si="4"/>
        <v>7200</v>
      </c>
      <c r="N120" s="60">
        <f>IFERROR(__xludf.DUMMYFUNCTION("IFERROR(VALUE(SUBSTITUTE(REGEXEXTRACT(Raw_Data!F120,""^\$([\d,]+) cash""),"","","""")),0)"),0.0)</f>
        <v>0</v>
      </c>
      <c r="O120" s="60">
        <f t="shared" si="5"/>
        <v>7200</v>
      </c>
      <c r="P120" s="60">
        <f>IFERROR(__xludf.DUMMYFUNCTION("IFERROR(VALUE(SUBSTITUTE(REGEXEXTRACT(Raw_Data!J120,""labour \d+ h at \$\d+/h: \$([\d,]+)""),"","","""")),0)"),0.0)</f>
        <v>0</v>
      </c>
      <c r="Q120" s="60">
        <f t="shared" si="6"/>
        <v>7200</v>
      </c>
      <c r="R120" s="60" t="str">
        <f t="array" ref="R120">IF(INDEX(Rules!$B$2:$B$60,$D120)="","",INDEX(Rules!$B$2:$B$60,$D120))</f>
        <v>Wages Expense</v>
      </c>
      <c r="S120" s="60" t="str">
        <f t="array" ref="S120">IF(INDEX(Rules!$E$2:$E$60,$D120)="","",INDEX(Rules!$E$2:$E$60,$D120))</f>
        <v/>
      </c>
      <c r="T120" s="60" t="str">
        <f t="array" ref="T120">IF(INDEX(Rules!$H$2:$H$60,$D120)="","",INDEX(Rules!$H$2:$H$60,$D120))</f>
        <v/>
      </c>
      <c r="U120" s="60" t="str">
        <f t="array" ref="U120">IF(INDEX(Rules!$C$2:$C$60,$D120)="","",INDEX(Rules!$C$2:$C$60,$D120))</f>
        <v>Cash</v>
      </c>
      <c r="V120" s="60" t="str">
        <f t="array" ref="V120">IF(INDEX(Rules!$F$2:$F$60,$D120)="","",INDEX(Rules!$F$2:$F$60,$D120))</f>
        <v/>
      </c>
      <c r="W120" s="60" t="str">
        <f t="array" ref="W120">IF(INDEX(Rules!$I$2:$I$60,$D120)="","",INDEX(Rules!$I$2:$I$60,$D120))</f>
        <v/>
      </c>
      <c r="X120" s="60">
        <f t="array" ref="X120">IF(R120="","",INDEX($F120:$Q120,MATCH(INDEX(Rules!$D$2:$D$60,$D120),$F$1:$Q$1,0)))</f>
        <v>7200</v>
      </c>
      <c r="Y120" s="60" t="str">
        <f t="array" ref="Y120">IF(S120="","",INDEX($F120:$Q120,MATCH(INDEX(Rules!$G$2:$G$60,$D120),$F$1:$Q$1,0)))</f>
        <v/>
      </c>
      <c r="Z120" s="60" t="str">
        <f t="array" ref="Z120">IF(T120="","",INDEX($F120:$Q120,MATCH(INDEX(Rules!$J$2:$J$60,$D120),$F$1:$Q$1,0)))</f>
        <v/>
      </c>
      <c r="AA120" s="60" t="str">
        <f t="array" ref="AA120">IF(INDEX(Rules!$K$2:$K$60,$D120)="","",INDEX(Rules!$K$2:$K$60,$D120))</f>
        <v>wages, includes E04's $200 travel claim</v>
      </c>
      <c r="AB120" s="60" t="str">
        <f>IF(SUMPRODUCT((R120:W120&lt;&gt;"")*(ISNUMBER(SEARCH(Raw_Data!E120,R120:W120))+ISNUMBER(SEARCH(R120:W120,Raw_Data!E120))))&gt;0,"OK","CHECK")</f>
        <v>OK</v>
      </c>
    </row>
    <row r="121">
      <c r="A121" s="60" t="str">
        <f>Raw_Data!A121</f>
        <v>VVV-2024-120</v>
      </c>
      <c r="B121" s="60">
        <f>Raw_Data!D121</f>
        <v>682</v>
      </c>
      <c r="C121" s="60" t="str">
        <f>LOWER(Raw_Data!C121&amp;" | "&amp;Raw_Data!F121)</f>
        <v>monthly utility settlement | paid from business bank account</v>
      </c>
      <c r="D121" s="60">
        <f t="array" ref="D121">MATCH(1,ISNUMBER(SEARCH(Rules!$A$2:$A$60,C121))*(Rules!$A$2:$A$60&lt;&gt;""),0)</f>
        <v>24</v>
      </c>
      <c r="E121" s="60" t="str">
        <f t="array" ref="E121">INDEX(Rules!$A$2:$A$60,D121)</f>
        <v>utility</v>
      </c>
      <c r="F121" s="60">
        <f t="shared" si="1"/>
        <v>682</v>
      </c>
      <c r="G121" s="60">
        <f>IFERROR(__xludf.DUMMYFUNCTION("IFERROR(VALUE(SUBSTITUTE(REGEXEXTRACT(Raw_Data!J121,""Cost of goods sold: \$([\d,]+)""),"","","""")),0)"),0.0)</f>
        <v>0</v>
      </c>
      <c r="H121" s="60">
        <f>IFERROR(__xludf.DUMMYFUNCTION("IFERROR(VALUE(SUBSTITUTE(REGEXEXTRACT(Raw_Data!J121,""withheld a \$([\d,]+) fee""),"","","""")),0)"),0.0)</f>
        <v>0</v>
      </c>
      <c r="I121" s="60">
        <f t="shared" si="2"/>
        <v>682</v>
      </c>
      <c r="J121" s="60">
        <f>IFERROR(__xludf.DUMMYFUNCTION("IFERROR(VALUE(SUBSTITUTE(REGEXEXTRACT(Raw_Data!J121,""(?i)interest \$([\d,]+)""),"","","""")),0)"),0.0)</f>
        <v>0</v>
      </c>
      <c r="K121" s="60">
        <f t="shared" si="3"/>
        <v>682</v>
      </c>
      <c r="L121" s="60">
        <f>IFERROR(__xludf.DUMMYFUNCTION("IFERROR(VALUE(SUBSTITUTE(REGEXEXTRACT(Raw_Data!F121,""\$([\d,]+) prior deposit applied""),"","","""")),0)"),0.0)</f>
        <v>0</v>
      </c>
      <c r="M121" s="60">
        <f t="shared" si="4"/>
        <v>682</v>
      </c>
      <c r="N121" s="60">
        <f>IFERROR(__xludf.DUMMYFUNCTION("IFERROR(VALUE(SUBSTITUTE(REGEXEXTRACT(Raw_Data!F121,""^\$([\d,]+) cash""),"","","""")),0)"),0.0)</f>
        <v>0</v>
      </c>
      <c r="O121" s="60">
        <f t="shared" si="5"/>
        <v>682</v>
      </c>
      <c r="P121" s="60">
        <f>IFERROR(__xludf.DUMMYFUNCTION("IFERROR(VALUE(SUBSTITUTE(REGEXEXTRACT(Raw_Data!J121,""labour \d+ h at \$\d+/h: \$([\d,]+)""),"","","""")),0)"),0.0)</f>
        <v>0</v>
      </c>
      <c r="Q121" s="60">
        <f t="shared" si="6"/>
        <v>682</v>
      </c>
      <c r="R121" s="60" t="str">
        <f t="array" ref="R121">IF(INDEX(Rules!$B$2:$B$60,$D121)="","",INDEX(Rules!$B$2:$B$60,$D121))</f>
        <v>Utilities Expense</v>
      </c>
      <c r="S121" s="60" t="str">
        <f t="array" ref="S121">IF(INDEX(Rules!$E$2:$E$60,$D121)="","",INDEX(Rules!$E$2:$E$60,$D121))</f>
        <v/>
      </c>
      <c r="T121" s="60" t="str">
        <f t="array" ref="T121">IF(INDEX(Rules!$H$2:$H$60,$D121)="","",INDEX(Rules!$H$2:$H$60,$D121))</f>
        <v/>
      </c>
      <c r="U121" s="60" t="str">
        <f t="array" ref="U121">IF(INDEX(Rules!$C$2:$C$60,$D121)="","",INDEX(Rules!$C$2:$C$60,$D121))</f>
        <v>Cash</v>
      </c>
      <c r="V121" s="60" t="str">
        <f t="array" ref="V121">IF(INDEX(Rules!$F$2:$F$60,$D121)="","",INDEX(Rules!$F$2:$F$60,$D121))</f>
        <v/>
      </c>
      <c r="W121" s="60" t="str">
        <f t="array" ref="W121">IF(INDEX(Rules!$I$2:$I$60,$D121)="","",INDEX(Rules!$I$2:$I$60,$D121))</f>
        <v/>
      </c>
      <c r="X121" s="60">
        <f t="array" ref="X121">IF(R121="","",INDEX($F121:$Q121,MATCH(INDEX(Rules!$D$2:$D$60,$D121),$F$1:$Q$1,0)))</f>
        <v>682</v>
      </c>
      <c r="Y121" s="60" t="str">
        <f t="array" ref="Y121">IF(S121="","",INDEX($F121:$Q121,MATCH(INDEX(Rules!$G$2:$G$60,$D121),$F$1:$Q$1,0)))</f>
        <v/>
      </c>
      <c r="Z121" s="60" t="str">
        <f t="array" ref="Z121">IF(T121="","",INDEX($F121:$Q121,MATCH(INDEX(Rules!$J$2:$J$60,$D121),$F$1:$Q$1,0)))</f>
        <v/>
      </c>
      <c r="AA121" s="60" t="str">
        <f t="array" ref="AA121">IF(INDEX(Rules!$K$2:$K$60,$D121)="","",INDEX(Rules!$K$2:$K$60,$D121))</f>
        <v>monthly utilities</v>
      </c>
      <c r="AB121" s="60" t="str">
        <f>IF(SUMPRODUCT((R121:W121&lt;&gt;"")*(ISNUMBER(SEARCH(Raw_Data!E121,R121:W121))+ISNUMBER(SEARCH(R121:W121,Raw_Data!E121))))&gt;0,"OK","CHECK")</f>
        <v>OK</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5"/>
    <col customWidth="1" min="4" max="4" width="14.38"/>
    <col customWidth="1" min="5" max="54" width="6.38"/>
  </cols>
  <sheetData>
    <row r="1">
      <c r="A1" s="72" t="s">
        <v>660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row>
    <row r="2">
      <c r="A2" s="73" t="s">
        <v>661</v>
      </c>
      <c r="E2" s="73" t="s">
        <v>295</v>
      </c>
      <c r="O2" s="74" t="s">
        <v>319</v>
      </c>
      <c r="U2" s="75" t="s">
        <v>244</v>
      </c>
    </row>
    <row r="3">
      <c r="A3" s="76" t="s">
        <v>271</v>
      </c>
      <c r="E3" s="77" t="str">
        <f>Chart_of_Accounts!$B$4</f>
        <v>Cash</v>
      </c>
      <c r="G3" s="77" t="str">
        <f>Chart_of_Accounts!$B$5</f>
        <v>Accounts Receivable</v>
      </c>
      <c r="I3" s="77" t="str">
        <f>Chart_of_Accounts!$B$6</f>
        <v>Inventory</v>
      </c>
      <c r="K3" s="77" t="str">
        <f>Chart_of_Accounts!$B$7</f>
        <v>Security Deposit</v>
      </c>
      <c r="M3" s="77" t="str">
        <f>Chart_of_Accounts!$B$8</f>
        <v>Equipment</v>
      </c>
      <c r="O3" s="78" t="str">
        <f>Chart_of_Accounts!$E$4</f>
        <v>Accounts Payable</v>
      </c>
      <c r="Q3" s="78" t="str">
        <f>Chart_of_Accounts!$E$5</f>
        <v>Unearned Revenue</v>
      </c>
      <c r="S3" s="78" t="str">
        <f>Chart_of_Accounts!$E$6</f>
        <v>Notes Payable</v>
      </c>
      <c r="U3" s="79" t="str">
        <f>Chart_of_Accounts!$H$4</f>
        <v>Owner's Capital</v>
      </c>
      <c r="W3" s="79" t="str">
        <f>Chart_of_Accounts!$H$6</f>
        <v>Equipment Rental Revenue</v>
      </c>
      <c r="Y3" s="79" t="str">
        <f>Chart_of_Accounts!$H$7</f>
        <v>Tour Revenue</v>
      </c>
      <c r="AA3" s="79" t="str">
        <f>Chart_of_Accounts!$H$8</f>
        <v>Retail Sales Revenue</v>
      </c>
      <c r="AC3" s="79" t="str">
        <f>Chart_of_Accounts!$H$9</f>
        <v>Event Revenue</v>
      </c>
      <c r="AE3" s="79" t="str">
        <f>Chart_of_Accounts!$H$11</f>
        <v>Cost of Goods Sold</v>
      </c>
      <c r="AG3" s="79" t="str">
        <f>Chart_of_Accounts!$H$12</f>
        <v>Wages Expense</v>
      </c>
      <c r="AI3" s="79" t="str">
        <f>Chart_of_Accounts!$H$13</f>
        <v>Rent Expense</v>
      </c>
      <c r="AK3" s="79" t="str">
        <f>Chart_of_Accounts!$H$14</f>
        <v>Insurance Expense</v>
      </c>
      <c r="AM3" s="79" t="str">
        <f>Chart_of_Accounts!$H$15</f>
        <v>Utilities Expense</v>
      </c>
      <c r="AO3" s="79" t="str">
        <f>Chart_of_Accounts!$H$16</f>
        <v>License and Permit Expense</v>
      </c>
      <c r="AQ3" s="79" t="str">
        <f>Chart_of_Accounts!$H$17</f>
        <v>Office and Admin Expense</v>
      </c>
      <c r="AS3" s="79" t="str">
        <f>Chart_of_Accounts!$H$18</f>
        <v>Marketing Expense</v>
      </c>
      <c r="AU3" s="79" t="str">
        <f>Chart_of_Accounts!$H$19</f>
        <v>Repairs and Maintenance Expense</v>
      </c>
      <c r="AW3" s="79" t="str">
        <f>Chart_of_Accounts!$H$20</f>
        <v>School Group Expense</v>
      </c>
      <c r="AY3" s="79" t="str">
        <f>Chart_of_Accounts!$H$21</f>
        <v>Training Expense</v>
      </c>
      <c r="BA3" s="79" t="str">
        <f>Chart_of_Accounts!$H$22</f>
        <v>Interest Expense</v>
      </c>
      <c r="BD3" s="1" t="s">
        <v>665</v>
      </c>
    </row>
    <row r="4">
      <c r="A4" s="80" t="s">
        <v>7</v>
      </c>
      <c r="B4" s="80" t="s">
        <v>666</v>
      </c>
      <c r="C4" s="80" t="s">
        <v>9</v>
      </c>
      <c r="D4" s="80" t="s">
        <v>11</v>
      </c>
      <c r="E4" s="80" t="s">
        <v>667</v>
      </c>
      <c r="F4" s="80" t="s">
        <v>668</v>
      </c>
      <c r="G4" s="80" t="s">
        <v>667</v>
      </c>
      <c r="H4" s="80" t="s">
        <v>668</v>
      </c>
      <c r="I4" s="80" t="s">
        <v>667</v>
      </c>
      <c r="J4" s="80" t="s">
        <v>668</v>
      </c>
      <c r="K4" s="80" t="s">
        <v>667</v>
      </c>
      <c r="L4" s="80" t="s">
        <v>668</v>
      </c>
      <c r="M4" s="80" t="s">
        <v>667</v>
      </c>
      <c r="N4" s="80" t="s">
        <v>668</v>
      </c>
      <c r="O4" s="81" t="s">
        <v>667</v>
      </c>
      <c r="P4" s="81" t="s">
        <v>668</v>
      </c>
      <c r="Q4" s="81" t="s">
        <v>667</v>
      </c>
      <c r="R4" s="81" t="s">
        <v>668</v>
      </c>
      <c r="S4" s="81" t="s">
        <v>667</v>
      </c>
      <c r="T4" s="81" t="s">
        <v>668</v>
      </c>
      <c r="U4" s="82" t="s">
        <v>667</v>
      </c>
      <c r="V4" s="82" t="s">
        <v>668</v>
      </c>
      <c r="W4" s="82" t="s">
        <v>667</v>
      </c>
      <c r="X4" s="82" t="s">
        <v>668</v>
      </c>
      <c r="Y4" s="82" t="s">
        <v>667</v>
      </c>
      <c r="Z4" s="82" t="s">
        <v>668</v>
      </c>
      <c r="AA4" s="82" t="s">
        <v>667</v>
      </c>
      <c r="AB4" s="82" t="s">
        <v>668</v>
      </c>
      <c r="AC4" s="82" t="s">
        <v>667</v>
      </c>
      <c r="AD4" s="82" t="s">
        <v>668</v>
      </c>
      <c r="AE4" s="82" t="s">
        <v>667</v>
      </c>
      <c r="AF4" s="82" t="s">
        <v>668</v>
      </c>
      <c r="AG4" s="82" t="s">
        <v>667</v>
      </c>
      <c r="AH4" s="82" t="s">
        <v>668</v>
      </c>
      <c r="AI4" s="82" t="s">
        <v>667</v>
      </c>
      <c r="AJ4" s="82" t="s">
        <v>668</v>
      </c>
      <c r="AK4" s="82" t="s">
        <v>667</v>
      </c>
      <c r="AL4" s="82" t="s">
        <v>668</v>
      </c>
      <c r="AM4" s="82" t="s">
        <v>667</v>
      </c>
      <c r="AN4" s="82" t="s">
        <v>668</v>
      </c>
      <c r="AO4" s="82" t="s">
        <v>667</v>
      </c>
      <c r="AP4" s="82" t="s">
        <v>668</v>
      </c>
      <c r="AQ4" s="82" t="s">
        <v>667</v>
      </c>
      <c r="AR4" s="82" t="s">
        <v>668</v>
      </c>
      <c r="AS4" s="82" t="s">
        <v>667</v>
      </c>
      <c r="AT4" s="82" t="s">
        <v>668</v>
      </c>
      <c r="AU4" s="82" t="s">
        <v>667</v>
      </c>
      <c r="AV4" s="82" t="s">
        <v>668</v>
      </c>
      <c r="AW4" s="82" t="s">
        <v>667</v>
      </c>
      <c r="AX4" s="82" t="s">
        <v>668</v>
      </c>
      <c r="AY4" s="82" t="s">
        <v>667</v>
      </c>
      <c r="AZ4" s="82" t="s">
        <v>668</v>
      </c>
      <c r="BA4" s="82" t="s">
        <v>667</v>
      </c>
      <c r="BB4" s="82" t="s">
        <v>668</v>
      </c>
      <c r="BD4" s="67" t="str">
        <f t="array" ref="BD4:BD28">UNIQUE({Journal!E3:E143;Journal!F3:F143})</f>
        <v>Cash</v>
      </c>
    </row>
    <row r="5">
      <c r="A5" s="84">
        <f>VLOOKUP(B5,Journal!$A$3:$C$143,2,FALSE)</f>
        <v>45292</v>
      </c>
      <c r="B5" s="85" t="str">
        <f t="array" ref="B5:B124">UNIQUE(Journal!A3:A143)</f>
        <v>VVV-2024-001</v>
      </c>
      <c r="C5" s="86" t="str">
        <f>VLOOKUP(B5,Journal!$A$3:$C$143,3,FALSE)</f>
        <v>Initial owner capital contribution</v>
      </c>
      <c r="D5" s="86">
        <f>SUMIF(Journal!$A$3:$A$143,B5,Journal!$D$3:$D$143)</f>
        <v>50000</v>
      </c>
      <c r="E5" s="86">
        <f>IF(SUMIFS(Journal!$D$3:$D$143,Journal!$A$3:$A$143,$B5,Journal!$E$3:$E$143,E$3)=0,"",SUMIFS(Journal!$D$3:$D$143,Journal!$A$3:$A$143,$B5,Journal!$E$3:$E$143,E$3))</f>
        <v>50000</v>
      </c>
      <c r="F5" s="86" t="str">
        <f>IF(SUMIFS(Journal!$D$3:$D$143,Journal!$A$3:$A$143,$B5,Journal!$F$3:$F$143,E$3)=0,"",SUMIFS(Journal!$D$3:$D$143,Journal!$A$3:$A$143,$B5,Journal!$F$3:$F$143,E$3))</f>
        <v/>
      </c>
      <c r="G5" s="86" t="str">
        <f>IF(SUMIFS(Journal!$D$3:$D$143,Journal!$A$3:$A$143,$B5,Journal!$E$3:$E$143,G$3)=0,"",SUMIFS(Journal!$D$3:$D$143,Journal!$A$3:$A$143,$B5,Journal!$E$3:$E$143,G$3))</f>
        <v/>
      </c>
      <c r="H5" s="86" t="str">
        <f>IF(SUMIFS(Journal!$D$3:$D$143,Journal!$A$3:$A$143,$B5,Journal!$F$3:$F$143,G$3)=0,"",SUMIFS(Journal!$D$3:$D$143,Journal!$A$3:$A$143,$B5,Journal!$F$3:$F$143,G$3))</f>
        <v/>
      </c>
      <c r="I5" s="86" t="str">
        <f>IF(SUMIFS(Journal!$D$3:$D$143,Journal!$A$3:$A$143,$B5,Journal!$E$3:$E$143,I$3)=0,"",SUMIFS(Journal!$D$3:$D$143,Journal!$A$3:$A$143,$B5,Journal!$E$3:$E$143,I$3))</f>
        <v/>
      </c>
      <c r="J5" s="86" t="str">
        <f>IF(SUMIFS(Journal!$D$3:$D$143,Journal!$A$3:$A$143,$B5,Journal!$F$3:$F$143,I$3)=0,"",SUMIFS(Journal!$D$3:$D$143,Journal!$A$3:$A$143,$B5,Journal!$F$3:$F$143,I$3))</f>
        <v/>
      </c>
      <c r="K5" s="86" t="str">
        <f>IF(SUMIFS(Journal!$D$3:$D$143,Journal!$A$3:$A$143,$B5,Journal!$E$3:$E$143,K$3)=0,"",SUMIFS(Journal!$D$3:$D$143,Journal!$A$3:$A$143,$B5,Journal!$E$3:$E$143,K$3))</f>
        <v/>
      </c>
      <c r="L5" s="86" t="str">
        <f>IF(SUMIFS(Journal!$D$3:$D$143,Journal!$A$3:$A$143,$B5,Journal!$F$3:$F$143,K$3)=0,"",SUMIFS(Journal!$D$3:$D$143,Journal!$A$3:$A$143,$B5,Journal!$F$3:$F$143,K$3))</f>
        <v/>
      </c>
      <c r="M5" s="86" t="str">
        <f>IF(SUMIFS(Journal!$D$3:$D$143,Journal!$A$3:$A$143,$B5,Journal!$E$3:$E$143,M$3)=0,"",SUMIFS(Journal!$D$3:$D$143,Journal!$A$3:$A$143,$B5,Journal!$E$3:$E$143,M$3))</f>
        <v/>
      </c>
      <c r="N5" s="86" t="str">
        <f>IF(SUMIFS(Journal!$D$3:$D$143,Journal!$A$3:$A$143,$B5,Journal!$F$3:$F$143,M$3)=0,"",SUMIFS(Journal!$D$3:$D$143,Journal!$A$3:$A$143,$B5,Journal!$F$3:$F$143,M$3))</f>
        <v/>
      </c>
      <c r="O5" s="86" t="str">
        <f>IF(SUMIFS(Journal!$D$3:$D$143,Journal!$A$3:$A$143,$B5,Journal!$E$3:$E$143,O$3)=0,"",SUMIFS(Journal!$D$3:$D$143,Journal!$A$3:$A$143,$B5,Journal!$E$3:$E$143,O$3))</f>
        <v/>
      </c>
      <c r="P5" s="86" t="str">
        <f>IF(SUMIFS(Journal!$D$3:$D$143,Journal!$A$3:$A$143,$B5,Journal!$F$3:$F$143,O$3)=0,"",SUMIFS(Journal!$D$3:$D$143,Journal!$A$3:$A$143,$B5,Journal!$F$3:$F$143,O$3))</f>
        <v/>
      </c>
      <c r="Q5" s="86" t="str">
        <f>IF(SUMIFS(Journal!$D$3:$D$143,Journal!$A$3:$A$143,$B5,Journal!$E$3:$E$143,Q$3)=0,"",SUMIFS(Journal!$D$3:$D$143,Journal!$A$3:$A$143,$B5,Journal!$E$3:$E$143,Q$3))</f>
        <v/>
      </c>
      <c r="R5" s="86" t="str">
        <f>IF(SUMIFS(Journal!$D$3:$D$143,Journal!$A$3:$A$143,$B5,Journal!$F$3:$F$143,Q$3)=0,"",SUMIFS(Journal!$D$3:$D$143,Journal!$A$3:$A$143,$B5,Journal!$F$3:$F$143,Q$3))</f>
        <v/>
      </c>
      <c r="S5" s="86" t="str">
        <f>IF(SUMIFS(Journal!$D$3:$D$143,Journal!$A$3:$A$143,$B5,Journal!$E$3:$E$143,S$3)=0,"",SUMIFS(Journal!$D$3:$D$143,Journal!$A$3:$A$143,$B5,Journal!$E$3:$E$143,S$3))</f>
        <v/>
      </c>
      <c r="T5" s="86" t="str">
        <f>IF(SUMIFS(Journal!$D$3:$D$143,Journal!$A$3:$A$143,$B5,Journal!$F$3:$F$143,S$3)=0,"",SUMIFS(Journal!$D$3:$D$143,Journal!$A$3:$A$143,$B5,Journal!$F$3:$F$143,S$3))</f>
        <v/>
      </c>
      <c r="U5" s="86" t="str">
        <f>IF(SUMIFS(Journal!$D$3:$D$143,Journal!$A$3:$A$143,$B5,Journal!$E$3:$E$143,U$3)=0,"",SUMIFS(Journal!$D$3:$D$143,Journal!$A$3:$A$143,$B5,Journal!$E$3:$E$143,U$3))</f>
        <v/>
      </c>
      <c r="V5" s="86">
        <f>IF(SUMIFS(Journal!$D$3:$D$143,Journal!$A$3:$A$143,$B5,Journal!$F$3:$F$143,U$3)=0,"",SUMIFS(Journal!$D$3:$D$143,Journal!$A$3:$A$143,$B5,Journal!$F$3:$F$143,U$3))</f>
        <v>50000</v>
      </c>
      <c r="W5" s="86" t="str">
        <f>IF(SUMIFS(Journal!$D$3:$D$143,Journal!$A$3:$A$143,$B5,Journal!$E$3:$E$143,W$3)=0,"",SUMIFS(Journal!$D$3:$D$143,Journal!$A$3:$A$143,$B5,Journal!$E$3:$E$143,W$3))</f>
        <v/>
      </c>
      <c r="X5" s="86" t="str">
        <f>IF(SUMIFS(Journal!$D$3:$D$143,Journal!$A$3:$A$143,$B5,Journal!$F$3:$F$143,W$3)=0,"",SUMIFS(Journal!$D$3:$D$143,Journal!$A$3:$A$143,$B5,Journal!$F$3:$F$143,W$3))</f>
        <v/>
      </c>
      <c r="Y5" s="86" t="str">
        <f>IF(SUMIFS(Journal!$D$3:$D$143,Journal!$A$3:$A$143,$B5,Journal!$E$3:$E$143,Y$3)=0,"",SUMIFS(Journal!$D$3:$D$143,Journal!$A$3:$A$143,$B5,Journal!$E$3:$E$143,Y$3))</f>
        <v/>
      </c>
      <c r="Z5" s="86" t="str">
        <f>IF(SUMIFS(Journal!$D$3:$D$143,Journal!$A$3:$A$143,$B5,Journal!$F$3:$F$143,Y$3)=0,"",SUMIFS(Journal!$D$3:$D$143,Journal!$A$3:$A$143,$B5,Journal!$F$3:$F$143,Y$3))</f>
        <v/>
      </c>
      <c r="AA5" s="86" t="str">
        <f>IF(SUMIFS(Journal!$D$3:$D$143,Journal!$A$3:$A$143,$B5,Journal!$E$3:$E$143,AA$3)=0,"",SUMIFS(Journal!$D$3:$D$143,Journal!$A$3:$A$143,$B5,Journal!$E$3:$E$143,AA$3))</f>
        <v/>
      </c>
      <c r="AB5" s="86" t="str">
        <f>IF(SUMIFS(Journal!$D$3:$D$143,Journal!$A$3:$A$143,$B5,Journal!$F$3:$F$143,AA$3)=0,"",SUMIFS(Journal!$D$3:$D$143,Journal!$A$3:$A$143,$B5,Journal!$F$3:$F$143,AA$3))</f>
        <v/>
      </c>
      <c r="AC5" s="86" t="str">
        <f>IF(SUMIFS(Journal!$D$3:$D$143,Journal!$A$3:$A$143,$B5,Journal!$E$3:$E$143,AC$3)=0,"",SUMIFS(Journal!$D$3:$D$143,Journal!$A$3:$A$143,$B5,Journal!$E$3:$E$143,AC$3))</f>
        <v/>
      </c>
      <c r="AD5" s="86" t="str">
        <f>IF(SUMIFS(Journal!$D$3:$D$143,Journal!$A$3:$A$143,$B5,Journal!$F$3:$F$143,AC$3)=0,"",SUMIFS(Journal!$D$3:$D$143,Journal!$A$3:$A$143,$B5,Journal!$F$3:$F$143,AC$3))</f>
        <v/>
      </c>
      <c r="AE5" s="86" t="str">
        <f>IF(SUMIFS(Journal!$D$3:$D$143,Journal!$A$3:$A$143,$B5,Journal!$E$3:$E$143,AE$3)=0,"",SUMIFS(Journal!$D$3:$D$143,Journal!$A$3:$A$143,$B5,Journal!$E$3:$E$143,AE$3))</f>
        <v/>
      </c>
      <c r="AF5" s="86" t="str">
        <f>IF(SUMIFS(Journal!$D$3:$D$143,Journal!$A$3:$A$143,$B5,Journal!$F$3:$F$143,AE$3)=0,"",SUMIFS(Journal!$D$3:$D$143,Journal!$A$3:$A$143,$B5,Journal!$F$3:$F$143,AE$3))</f>
        <v/>
      </c>
      <c r="AG5" s="86" t="str">
        <f>IF(SUMIFS(Journal!$D$3:$D$143,Journal!$A$3:$A$143,$B5,Journal!$E$3:$E$143,AG$3)=0,"",SUMIFS(Journal!$D$3:$D$143,Journal!$A$3:$A$143,$B5,Journal!$E$3:$E$143,AG$3))</f>
        <v/>
      </c>
      <c r="AH5" s="86" t="str">
        <f>IF(SUMIFS(Journal!$D$3:$D$143,Journal!$A$3:$A$143,$B5,Journal!$F$3:$F$143,AG$3)=0,"",SUMIFS(Journal!$D$3:$D$143,Journal!$A$3:$A$143,$B5,Journal!$F$3:$F$143,AG$3))</f>
        <v/>
      </c>
      <c r="AI5" s="86" t="str">
        <f>IF(SUMIFS(Journal!$D$3:$D$143,Journal!$A$3:$A$143,$B5,Journal!$E$3:$E$143,AI$3)=0,"",SUMIFS(Journal!$D$3:$D$143,Journal!$A$3:$A$143,$B5,Journal!$E$3:$E$143,AI$3))</f>
        <v/>
      </c>
      <c r="AJ5" s="86" t="str">
        <f>IF(SUMIFS(Journal!$D$3:$D$143,Journal!$A$3:$A$143,$B5,Journal!$F$3:$F$143,AI$3)=0,"",SUMIFS(Journal!$D$3:$D$143,Journal!$A$3:$A$143,$B5,Journal!$F$3:$F$143,AI$3))</f>
        <v/>
      </c>
      <c r="AK5" s="86" t="str">
        <f>IF(SUMIFS(Journal!$D$3:$D$143,Journal!$A$3:$A$143,$B5,Journal!$E$3:$E$143,AK$3)=0,"",SUMIFS(Journal!$D$3:$D$143,Journal!$A$3:$A$143,$B5,Journal!$E$3:$E$143,AK$3))</f>
        <v/>
      </c>
      <c r="AL5" s="86" t="str">
        <f>IF(SUMIFS(Journal!$D$3:$D$143,Journal!$A$3:$A$143,$B5,Journal!$F$3:$F$143,AK$3)=0,"",SUMIFS(Journal!$D$3:$D$143,Journal!$A$3:$A$143,$B5,Journal!$F$3:$F$143,AK$3))</f>
        <v/>
      </c>
      <c r="AM5" s="86" t="str">
        <f>IF(SUMIFS(Journal!$D$3:$D$143,Journal!$A$3:$A$143,$B5,Journal!$E$3:$E$143,AM$3)=0,"",SUMIFS(Journal!$D$3:$D$143,Journal!$A$3:$A$143,$B5,Journal!$E$3:$E$143,AM$3))</f>
        <v/>
      </c>
      <c r="AN5" s="86" t="str">
        <f>IF(SUMIFS(Journal!$D$3:$D$143,Journal!$A$3:$A$143,$B5,Journal!$F$3:$F$143,AM$3)=0,"",SUMIFS(Journal!$D$3:$D$143,Journal!$A$3:$A$143,$B5,Journal!$F$3:$F$143,AM$3))</f>
        <v/>
      </c>
      <c r="AO5" s="86" t="str">
        <f>IF(SUMIFS(Journal!$D$3:$D$143,Journal!$A$3:$A$143,$B5,Journal!$E$3:$E$143,AO$3)=0,"",SUMIFS(Journal!$D$3:$D$143,Journal!$A$3:$A$143,$B5,Journal!$E$3:$E$143,AO$3))</f>
        <v/>
      </c>
      <c r="AP5" s="86" t="str">
        <f>IF(SUMIFS(Journal!$D$3:$D$143,Journal!$A$3:$A$143,$B5,Journal!$F$3:$F$143,AO$3)=0,"",SUMIFS(Journal!$D$3:$D$143,Journal!$A$3:$A$143,$B5,Journal!$F$3:$F$143,AO$3))</f>
        <v/>
      </c>
      <c r="AQ5" s="86" t="str">
        <f>IF(SUMIFS(Journal!$D$3:$D$143,Journal!$A$3:$A$143,$B5,Journal!$E$3:$E$143,AQ$3)=0,"",SUMIFS(Journal!$D$3:$D$143,Journal!$A$3:$A$143,$B5,Journal!$E$3:$E$143,AQ$3))</f>
        <v/>
      </c>
      <c r="AR5" s="86" t="str">
        <f>IF(SUMIFS(Journal!$D$3:$D$143,Journal!$A$3:$A$143,$B5,Journal!$F$3:$F$143,AQ$3)=0,"",SUMIFS(Journal!$D$3:$D$143,Journal!$A$3:$A$143,$B5,Journal!$F$3:$F$143,AQ$3))</f>
        <v/>
      </c>
      <c r="AS5" s="86" t="str">
        <f>IF(SUMIFS(Journal!$D$3:$D$143,Journal!$A$3:$A$143,$B5,Journal!$E$3:$E$143,AS$3)=0,"",SUMIFS(Journal!$D$3:$D$143,Journal!$A$3:$A$143,$B5,Journal!$E$3:$E$143,AS$3))</f>
        <v/>
      </c>
      <c r="AT5" s="86" t="str">
        <f>IF(SUMIFS(Journal!$D$3:$D$143,Journal!$A$3:$A$143,$B5,Journal!$F$3:$F$143,AS$3)=0,"",SUMIFS(Journal!$D$3:$D$143,Journal!$A$3:$A$143,$B5,Journal!$F$3:$F$143,AS$3))</f>
        <v/>
      </c>
      <c r="AU5" s="86" t="str">
        <f>IF(SUMIFS(Journal!$D$3:$D$143,Journal!$A$3:$A$143,$B5,Journal!$E$3:$E$143,AU$3)=0,"",SUMIFS(Journal!$D$3:$D$143,Journal!$A$3:$A$143,$B5,Journal!$E$3:$E$143,AU$3))</f>
        <v/>
      </c>
      <c r="AV5" s="86" t="str">
        <f>IF(SUMIFS(Journal!$D$3:$D$143,Journal!$A$3:$A$143,$B5,Journal!$F$3:$F$143,AU$3)=0,"",SUMIFS(Journal!$D$3:$D$143,Journal!$A$3:$A$143,$B5,Journal!$F$3:$F$143,AU$3))</f>
        <v/>
      </c>
      <c r="AW5" s="86" t="str">
        <f>IF(SUMIFS(Journal!$D$3:$D$143,Journal!$A$3:$A$143,$B5,Journal!$E$3:$E$143,AW$3)=0,"",SUMIFS(Journal!$D$3:$D$143,Journal!$A$3:$A$143,$B5,Journal!$E$3:$E$143,AW$3))</f>
        <v/>
      </c>
      <c r="AX5" s="86" t="str">
        <f>IF(SUMIFS(Journal!$D$3:$D$143,Journal!$A$3:$A$143,$B5,Journal!$F$3:$F$143,AW$3)=0,"",SUMIFS(Journal!$D$3:$D$143,Journal!$A$3:$A$143,$B5,Journal!$F$3:$F$143,AW$3))</f>
        <v/>
      </c>
      <c r="AY5" s="86" t="str">
        <f>IF(SUMIFS(Journal!$D$3:$D$143,Journal!$A$3:$A$143,$B5,Journal!$E$3:$E$143,AY$3)=0,"",SUMIFS(Journal!$D$3:$D$143,Journal!$A$3:$A$143,$B5,Journal!$E$3:$E$143,AY$3))</f>
        <v/>
      </c>
      <c r="AZ5" s="86" t="str">
        <f>IF(SUMIFS(Journal!$D$3:$D$143,Journal!$A$3:$A$143,$B5,Journal!$F$3:$F$143,AY$3)=0,"",SUMIFS(Journal!$D$3:$D$143,Journal!$A$3:$A$143,$B5,Journal!$F$3:$F$143,AY$3))</f>
        <v/>
      </c>
      <c r="BA5" s="86" t="str">
        <f>IF(SUMIFS(Journal!$D$3:$D$143,Journal!$A$3:$A$143,$B5,Journal!$E$3:$E$143,BA$3)=0,"",SUMIFS(Journal!$D$3:$D$143,Journal!$A$3:$A$143,$B5,Journal!$E$3:$E$143,BA$3))</f>
        <v/>
      </c>
      <c r="BB5" s="86" t="str">
        <f>IF(SUMIFS(Journal!$D$3:$D$143,Journal!$A$3:$A$143,$B5,Journal!$F$3:$F$143,BA$3)=0,"",SUMIFS(Journal!$D$3:$D$143,Journal!$A$3:$A$143,$B5,Journal!$F$3:$F$143,BA$3))</f>
        <v/>
      </c>
      <c r="BD5" s="67" t="s">
        <v>61</v>
      </c>
    </row>
    <row r="6">
      <c r="A6" s="84">
        <f>VLOOKUP(B6,Journal!$A$3:$C$143,2,FALSE)</f>
        <v>45293</v>
      </c>
      <c r="B6" s="85" t="s">
        <v>56</v>
      </c>
      <c r="C6" s="86" t="str">
        <f>VLOOKUP(B6,Journal!$A$3:$C$143,3,FALSE)</f>
        <v>Monthly facility rent</v>
      </c>
      <c r="D6" s="86">
        <f>SUMIF(Journal!$A$3:$A$143,B6,Journal!$D$3:$D$143)</f>
        <v>5400</v>
      </c>
      <c r="E6" s="86" t="str">
        <f>IF(SUMIFS(Journal!$D$3:$D$143,Journal!$A$3:$A$143,$B6,Journal!$E$3:$E$143,E$3)=0,"",SUMIFS(Journal!$D$3:$D$143,Journal!$A$3:$A$143,$B6,Journal!$E$3:$E$143,E$3))</f>
        <v/>
      </c>
      <c r="F6" s="86">
        <f>IF(SUMIFS(Journal!$D$3:$D$143,Journal!$A$3:$A$143,$B6,Journal!$F$3:$F$143,E$3)=0,"",SUMIFS(Journal!$D$3:$D$143,Journal!$A$3:$A$143,$B6,Journal!$F$3:$F$143,E$3))</f>
        <v>5400</v>
      </c>
      <c r="G6" s="86" t="str">
        <f>IF(SUMIFS(Journal!$D$3:$D$143,Journal!$A$3:$A$143,$B6,Journal!$E$3:$E$143,G$3)=0,"",SUMIFS(Journal!$D$3:$D$143,Journal!$A$3:$A$143,$B6,Journal!$E$3:$E$143,G$3))</f>
        <v/>
      </c>
      <c r="H6" s="86" t="str">
        <f>IF(SUMIFS(Journal!$D$3:$D$143,Journal!$A$3:$A$143,$B6,Journal!$F$3:$F$143,G$3)=0,"",SUMIFS(Journal!$D$3:$D$143,Journal!$A$3:$A$143,$B6,Journal!$F$3:$F$143,G$3))</f>
        <v/>
      </c>
      <c r="I6" s="86" t="str">
        <f>IF(SUMIFS(Journal!$D$3:$D$143,Journal!$A$3:$A$143,$B6,Journal!$E$3:$E$143,I$3)=0,"",SUMIFS(Journal!$D$3:$D$143,Journal!$A$3:$A$143,$B6,Journal!$E$3:$E$143,I$3))</f>
        <v/>
      </c>
      <c r="J6" s="86" t="str">
        <f>IF(SUMIFS(Journal!$D$3:$D$143,Journal!$A$3:$A$143,$B6,Journal!$F$3:$F$143,I$3)=0,"",SUMIFS(Journal!$D$3:$D$143,Journal!$A$3:$A$143,$B6,Journal!$F$3:$F$143,I$3))</f>
        <v/>
      </c>
      <c r="K6" s="86" t="str">
        <f>IF(SUMIFS(Journal!$D$3:$D$143,Journal!$A$3:$A$143,$B6,Journal!$E$3:$E$143,K$3)=0,"",SUMIFS(Journal!$D$3:$D$143,Journal!$A$3:$A$143,$B6,Journal!$E$3:$E$143,K$3))</f>
        <v/>
      </c>
      <c r="L6" s="86" t="str">
        <f>IF(SUMIFS(Journal!$D$3:$D$143,Journal!$A$3:$A$143,$B6,Journal!$F$3:$F$143,K$3)=0,"",SUMIFS(Journal!$D$3:$D$143,Journal!$A$3:$A$143,$B6,Journal!$F$3:$F$143,K$3))</f>
        <v/>
      </c>
      <c r="M6" s="86" t="str">
        <f>IF(SUMIFS(Journal!$D$3:$D$143,Journal!$A$3:$A$143,$B6,Journal!$E$3:$E$143,M$3)=0,"",SUMIFS(Journal!$D$3:$D$143,Journal!$A$3:$A$143,$B6,Journal!$E$3:$E$143,M$3))</f>
        <v/>
      </c>
      <c r="N6" s="86" t="str">
        <f>IF(SUMIFS(Journal!$D$3:$D$143,Journal!$A$3:$A$143,$B6,Journal!$F$3:$F$143,M$3)=0,"",SUMIFS(Journal!$D$3:$D$143,Journal!$A$3:$A$143,$B6,Journal!$F$3:$F$143,M$3))</f>
        <v/>
      </c>
      <c r="O6" s="86" t="str">
        <f>IF(SUMIFS(Journal!$D$3:$D$143,Journal!$A$3:$A$143,$B6,Journal!$E$3:$E$143,O$3)=0,"",SUMIFS(Journal!$D$3:$D$143,Journal!$A$3:$A$143,$B6,Journal!$E$3:$E$143,O$3))</f>
        <v/>
      </c>
      <c r="P6" s="86" t="str">
        <f>IF(SUMIFS(Journal!$D$3:$D$143,Journal!$A$3:$A$143,$B6,Journal!$F$3:$F$143,O$3)=0,"",SUMIFS(Journal!$D$3:$D$143,Journal!$A$3:$A$143,$B6,Journal!$F$3:$F$143,O$3))</f>
        <v/>
      </c>
      <c r="Q6" s="86" t="str">
        <f>IF(SUMIFS(Journal!$D$3:$D$143,Journal!$A$3:$A$143,$B6,Journal!$E$3:$E$143,Q$3)=0,"",SUMIFS(Journal!$D$3:$D$143,Journal!$A$3:$A$143,$B6,Journal!$E$3:$E$143,Q$3))</f>
        <v/>
      </c>
      <c r="R6" s="86" t="str">
        <f>IF(SUMIFS(Journal!$D$3:$D$143,Journal!$A$3:$A$143,$B6,Journal!$F$3:$F$143,Q$3)=0,"",SUMIFS(Journal!$D$3:$D$143,Journal!$A$3:$A$143,$B6,Journal!$F$3:$F$143,Q$3))</f>
        <v/>
      </c>
      <c r="S6" s="86" t="str">
        <f>IF(SUMIFS(Journal!$D$3:$D$143,Journal!$A$3:$A$143,$B6,Journal!$E$3:$E$143,S$3)=0,"",SUMIFS(Journal!$D$3:$D$143,Journal!$A$3:$A$143,$B6,Journal!$E$3:$E$143,S$3))</f>
        <v/>
      </c>
      <c r="T6" s="86" t="str">
        <f>IF(SUMIFS(Journal!$D$3:$D$143,Journal!$A$3:$A$143,$B6,Journal!$F$3:$F$143,S$3)=0,"",SUMIFS(Journal!$D$3:$D$143,Journal!$A$3:$A$143,$B6,Journal!$F$3:$F$143,S$3))</f>
        <v/>
      </c>
      <c r="U6" s="86" t="str">
        <f>IF(SUMIFS(Journal!$D$3:$D$143,Journal!$A$3:$A$143,$B6,Journal!$E$3:$E$143,U$3)=0,"",SUMIFS(Journal!$D$3:$D$143,Journal!$A$3:$A$143,$B6,Journal!$E$3:$E$143,U$3))</f>
        <v/>
      </c>
      <c r="V6" s="86" t="str">
        <f>IF(SUMIFS(Journal!$D$3:$D$143,Journal!$A$3:$A$143,$B6,Journal!$F$3:$F$143,U$3)=0,"",SUMIFS(Journal!$D$3:$D$143,Journal!$A$3:$A$143,$B6,Journal!$F$3:$F$143,U$3))</f>
        <v/>
      </c>
      <c r="W6" s="86" t="str">
        <f>IF(SUMIFS(Journal!$D$3:$D$143,Journal!$A$3:$A$143,$B6,Journal!$E$3:$E$143,W$3)=0,"",SUMIFS(Journal!$D$3:$D$143,Journal!$A$3:$A$143,$B6,Journal!$E$3:$E$143,W$3))</f>
        <v/>
      </c>
      <c r="X6" s="86" t="str">
        <f>IF(SUMIFS(Journal!$D$3:$D$143,Journal!$A$3:$A$143,$B6,Journal!$F$3:$F$143,W$3)=0,"",SUMIFS(Journal!$D$3:$D$143,Journal!$A$3:$A$143,$B6,Journal!$F$3:$F$143,W$3))</f>
        <v/>
      </c>
      <c r="Y6" s="86" t="str">
        <f>IF(SUMIFS(Journal!$D$3:$D$143,Journal!$A$3:$A$143,$B6,Journal!$E$3:$E$143,Y$3)=0,"",SUMIFS(Journal!$D$3:$D$143,Journal!$A$3:$A$143,$B6,Journal!$E$3:$E$143,Y$3))</f>
        <v/>
      </c>
      <c r="Z6" s="86" t="str">
        <f>IF(SUMIFS(Journal!$D$3:$D$143,Journal!$A$3:$A$143,$B6,Journal!$F$3:$F$143,Y$3)=0,"",SUMIFS(Journal!$D$3:$D$143,Journal!$A$3:$A$143,$B6,Journal!$F$3:$F$143,Y$3))</f>
        <v/>
      </c>
      <c r="AA6" s="86" t="str">
        <f>IF(SUMIFS(Journal!$D$3:$D$143,Journal!$A$3:$A$143,$B6,Journal!$E$3:$E$143,AA$3)=0,"",SUMIFS(Journal!$D$3:$D$143,Journal!$A$3:$A$143,$B6,Journal!$E$3:$E$143,AA$3))</f>
        <v/>
      </c>
      <c r="AB6" s="86" t="str">
        <f>IF(SUMIFS(Journal!$D$3:$D$143,Journal!$A$3:$A$143,$B6,Journal!$F$3:$F$143,AA$3)=0,"",SUMIFS(Journal!$D$3:$D$143,Journal!$A$3:$A$143,$B6,Journal!$F$3:$F$143,AA$3))</f>
        <v/>
      </c>
      <c r="AC6" s="86" t="str">
        <f>IF(SUMIFS(Journal!$D$3:$D$143,Journal!$A$3:$A$143,$B6,Journal!$E$3:$E$143,AC$3)=0,"",SUMIFS(Journal!$D$3:$D$143,Journal!$A$3:$A$143,$B6,Journal!$E$3:$E$143,AC$3))</f>
        <v/>
      </c>
      <c r="AD6" s="86" t="str">
        <f>IF(SUMIFS(Journal!$D$3:$D$143,Journal!$A$3:$A$143,$B6,Journal!$F$3:$F$143,AC$3)=0,"",SUMIFS(Journal!$D$3:$D$143,Journal!$A$3:$A$143,$B6,Journal!$F$3:$F$143,AC$3))</f>
        <v/>
      </c>
      <c r="AE6" s="86" t="str">
        <f>IF(SUMIFS(Journal!$D$3:$D$143,Journal!$A$3:$A$143,$B6,Journal!$E$3:$E$143,AE$3)=0,"",SUMIFS(Journal!$D$3:$D$143,Journal!$A$3:$A$143,$B6,Journal!$E$3:$E$143,AE$3))</f>
        <v/>
      </c>
      <c r="AF6" s="86" t="str">
        <f>IF(SUMIFS(Journal!$D$3:$D$143,Journal!$A$3:$A$143,$B6,Journal!$F$3:$F$143,AE$3)=0,"",SUMIFS(Journal!$D$3:$D$143,Journal!$A$3:$A$143,$B6,Journal!$F$3:$F$143,AE$3))</f>
        <v/>
      </c>
      <c r="AG6" s="86" t="str">
        <f>IF(SUMIFS(Journal!$D$3:$D$143,Journal!$A$3:$A$143,$B6,Journal!$E$3:$E$143,AG$3)=0,"",SUMIFS(Journal!$D$3:$D$143,Journal!$A$3:$A$143,$B6,Journal!$E$3:$E$143,AG$3))</f>
        <v/>
      </c>
      <c r="AH6" s="86" t="str">
        <f>IF(SUMIFS(Journal!$D$3:$D$143,Journal!$A$3:$A$143,$B6,Journal!$F$3:$F$143,AG$3)=0,"",SUMIFS(Journal!$D$3:$D$143,Journal!$A$3:$A$143,$B6,Journal!$F$3:$F$143,AG$3))</f>
        <v/>
      </c>
      <c r="AI6" s="86">
        <f>IF(SUMIFS(Journal!$D$3:$D$143,Journal!$A$3:$A$143,$B6,Journal!$E$3:$E$143,AI$3)=0,"",SUMIFS(Journal!$D$3:$D$143,Journal!$A$3:$A$143,$B6,Journal!$E$3:$E$143,AI$3))</f>
        <v>5400</v>
      </c>
      <c r="AJ6" s="86" t="str">
        <f>IF(SUMIFS(Journal!$D$3:$D$143,Journal!$A$3:$A$143,$B6,Journal!$F$3:$F$143,AI$3)=0,"",SUMIFS(Journal!$D$3:$D$143,Journal!$A$3:$A$143,$B6,Journal!$F$3:$F$143,AI$3))</f>
        <v/>
      </c>
      <c r="AK6" s="86" t="str">
        <f>IF(SUMIFS(Journal!$D$3:$D$143,Journal!$A$3:$A$143,$B6,Journal!$E$3:$E$143,AK$3)=0,"",SUMIFS(Journal!$D$3:$D$143,Journal!$A$3:$A$143,$B6,Journal!$E$3:$E$143,AK$3))</f>
        <v/>
      </c>
      <c r="AL6" s="86" t="str">
        <f>IF(SUMIFS(Journal!$D$3:$D$143,Journal!$A$3:$A$143,$B6,Journal!$F$3:$F$143,AK$3)=0,"",SUMIFS(Journal!$D$3:$D$143,Journal!$A$3:$A$143,$B6,Journal!$F$3:$F$143,AK$3))</f>
        <v/>
      </c>
      <c r="AM6" s="86" t="str">
        <f>IF(SUMIFS(Journal!$D$3:$D$143,Journal!$A$3:$A$143,$B6,Journal!$E$3:$E$143,AM$3)=0,"",SUMIFS(Journal!$D$3:$D$143,Journal!$A$3:$A$143,$B6,Journal!$E$3:$E$143,AM$3))</f>
        <v/>
      </c>
      <c r="AN6" s="86" t="str">
        <f>IF(SUMIFS(Journal!$D$3:$D$143,Journal!$A$3:$A$143,$B6,Journal!$F$3:$F$143,AM$3)=0,"",SUMIFS(Journal!$D$3:$D$143,Journal!$A$3:$A$143,$B6,Journal!$F$3:$F$143,AM$3))</f>
        <v/>
      </c>
      <c r="AO6" s="86" t="str">
        <f>IF(SUMIFS(Journal!$D$3:$D$143,Journal!$A$3:$A$143,$B6,Journal!$E$3:$E$143,AO$3)=0,"",SUMIFS(Journal!$D$3:$D$143,Journal!$A$3:$A$143,$B6,Journal!$E$3:$E$143,AO$3))</f>
        <v/>
      </c>
      <c r="AP6" s="86" t="str">
        <f>IF(SUMIFS(Journal!$D$3:$D$143,Journal!$A$3:$A$143,$B6,Journal!$F$3:$F$143,AO$3)=0,"",SUMIFS(Journal!$D$3:$D$143,Journal!$A$3:$A$143,$B6,Journal!$F$3:$F$143,AO$3))</f>
        <v/>
      </c>
      <c r="AQ6" s="86" t="str">
        <f>IF(SUMIFS(Journal!$D$3:$D$143,Journal!$A$3:$A$143,$B6,Journal!$E$3:$E$143,AQ$3)=0,"",SUMIFS(Journal!$D$3:$D$143,Journal!$A$3:$A$143,$B6,Journal!$E$3:$E$143,AQ$3))</f>
        <v/>
      </c>
      <c r="AR6" s="86" t="str">
        <f>IF(SUMIFS(Journal!$D$3:$D$143,Journal!$A$3:$A$143,$B6,Journal!$F$3:$F$143,AQ$3)=0,"",SUMIFS(Journal!$D$3:$D$143,Journal!$A$3:$A$143,$B6,Journal!$F$3:$F$143,AQ$3))</f>
        <v/>
      </c>
      <c r="AS6" s="86" t="str">
        <f>IF(SUMIFS(Journal!$D$3:$D$143,Journal!$A$3:$A$143,$B6,Journal!$E$3:$E$143,AS$3)=0,"",SUMIFS(Journal!$D$3:$D$143,Journal!$A$3:$A$143,$B6,Journal!$E$3:$E$143,AS$3))</f>
        <v/>
      </c>
      <c r="AT6" s="86" t="str">
        <f>IF(SUMIFS(Journal!$D$3:$D$143,Journal!$A$3:$A$143,$B6,Journal!$F$3:$F$143,AS$3)=0,"",SUMIFS(Journal!$D$3:$D$143,Journal!$A$3:$A$143,$B6,Journal!$F$3:$F$143,AS$3))</f>
        <v/>
      </c>
      <c r="AU6" s="86" t="str">
        <f>IF(SUMIFS(Journal!$D$3:$D$143,Journal!$A$3:$A$143,$B6,Journal!$E$3:$E$143,AU$3)=0,"",SUMIFS(Journal!$D$3:$D$143,Journal!$A$3:$A$143,$B6,Journal!$E$3:$E$143,AU$3))</f>
        <v/>
      </c>
      <c r="AV6" s="86" t="str">
        <f>IF(SUMIFS(Journal!$D$3:$D$143,Journal!$A$3:$A$143,$B6,Journal!$F$3:$F$143,AU$3)=0,"",SUMIFS(Journal!$D$3:$D$143,Journal!$A$3:$A$143,$B6,Journal!$F$3:$F$143,AU$3))</f>
        <v/>
      </c>
      <c r="AW6" s="86" t="str">
        <f>IF(SUMIFS(Journal!$D$3:$D$143,Journal!$A$3:$A$143,$B6,Journal!$E$3:$E$143,AW$3)=0,"",SUMIFS(Journal!$D$3:$D$143,Journal!$A$3:$A$143,$B6,Journal!$E$3:$E$143,AW$3))</f>
        <v/>
      </c>
      <c r="AX6" s="86" t="str">
        <f>IF(SUMIFS(Journal!$D$3:$D$143,Journal!$A$3:$A$143,$B6,Journal!$F$3:$F$143,AW$3)=0,"",SUMIFS(Journal!$D$3:$D$143,Journal!$A$3:$A$143,$B6,Journal!$F$3:$F$143,AW$3))</f>
        <v/>
      </c>
      <c r="AY6" s="86" t="str">
        <f>IF(SUMIFS(Journal!$D$3:$D$143,Journal!$A$3:$A$143,$B6,Journal!$E$3:$E$143,AY$3)=0,"",SUMIFS(Journal!$D$3:$D$143,Journal!$A$3:$A$143,$B6,Journal!$E$3:$E$143,AY$3))</f>
        <v/>
      </c>
      <c r="AZ6" s="86" t="str">
        <f>IF(SUMIFS(Journal!$D$3:$D$143,Journal!$A$3:$A$143,$B6,Journal!$F$3:$F$143,AY$3)=0,"",SUMIFS(Journal!$D$3:$D$143,Journal!$A$3:$A$143,$B6,Journal!$F$3:$F$143,AY$3))</f>
        <v/>
      </c>
      <c r="BA6" s="86" t="str">
        <f>IF(SUMIFS(Journal!$D$3:$D$143,Journal!$A$3:$A$143,$B6,Journal!$E$3:$E$143,BA$3)=0,"",SUMIFS(Journal!$D$3:$D$143,Journal!$A$3:$A$143,$B6,Journal!$E$3:$E$143,BA$3))</f>
        <v/>
      </c>
      <c r="BB6" s="86" t="str">
        <f>IF(SUMIFS(Journal!$D$3:$D$143,Journal!$A$3:$A$143,$B6,Journal!$F$3:$F$143,BA$3)=0,"",SUMIFS(Journal!$D$3:$D$143,Journal!$A$3:$A$143,$B6,Journal!$F$3:$F$143,BA$3))</f>
        <v/>
      </c>
      <c r="BD6" s="67" t="s">
        <v>79</v>
      </c>
    </row>
    <row r="7">
      <c r="A7" s="84">
        <f>VLOOKUP(B7,Journal!$A$3:$C$143,2,FALSE)</f>
        <v>45294</v>
      </c>
      <c r="B7" s="85" t="s">
        <v>75</v>
      </c>
      <c r="C7" s="86" t="str">
        <f>VLOOKUP(B7,Journal!$A$3:$C$143,3,FALSE)</f>
        <v>Annual business license and operating permits</v>
      </c>
      <c r="D7" s="86">
        <f>SUMIF(Journal!$A$3:$A$143,B7,Journal!$D$3:$D$143)</f>
        <v>1500</v>
      </c>
      <c r="E7" s="86" t="str">
        <f>IF(SUMIFS(Journal!$D$3:$D$143,Journal!$A$3:$A$143,$B7,Journal!$E$3:$E$143,E$3)=0,"",SUMIFS(Journal!$D$3:$D$143,Journal!$A$3:$A$143,$B7,Journal!$E$3:$E$143,E$3))</f>
        <v/>
      </c>
      <c r="F7" s="86">
        <f>IF(SUMIFS(Journal!$D$3:$D$143,Journal!$A$3:$A$143,$B7,Journal!$F$3:$F$143,E$3)=0,"",SUMIFS(Journal!$D$3:$D$143,Journal!$A$3:$A$143,$B7,Journal!$F$3:$F$143,E$3))</f>
        <v>1500</v>
      </c>
      <c r="G7" s="86" t="str">
        <f>IF(SUMIFS(Journal!$D$3:$D$143,Journal!$A$3:$A$143,$B7,Journal!$E$3:$E$143,G$3)=0,"",SUMIFS(Journal!$D$3:$D$143,Journal!$A$3:$A$143,$B7,Journal!$E$3:$E$143,G$3))</f>
        <v/>
      </c>
      <c r="H7" s="86" t="str">
        <f>IF(SUMIFS(Journal!$D$3:$D$143,Journal!$A$3:$A$143,$B7,Journal!$F$3:$F$143,G$3)=0,"",SUMIFS(Journal!$D$3:$D$143,Journal!$A$3:$A$143,$B7,Journal!$F$3:$F$143,G$3))</f>
        <v/>
      </c>
      <c r="I7" s="86" t="str">
        <f>IF(SUMIFS(Journal!$D$3:$D$143,Journal!$A$3:$A$143,$B7,Journal!$E$3:$E$143,I$3)=0,"",SUMIFS(Journal!$D$3:$D$143,Journal!$A$3:$A$143,$B7,Journal!$E$3:$E$143,I$3))</f>
        <v/>
      </c>
      <c r="J7" s="86" t="str">
        <f>IF(SUMIFS(Journal!$D$3:$D$143,Journal!$A$3:$A$143,$B7,Journal!$F$3:$F$143,I$3)=0,"",SUMIFS(Journal!$D$3:$D$143,Journal!$A$3:$A$143,$B7,Journal!$F$3:$F$143,I$3))</f>
        <v/>
      </c>
      <c r="K7" s="86" t="str">
        <f>IF(SUMIFS(Journal!$D$3:$D$143,Journal!$A$3:$A$143,$B7,Journal!$E$3:$E$143,K$3)=0,"",SUMIFS(Journal!$D$3:$D$143,Journal!$A$3:$A$143,$B7,Journal!$E$3:$E$143,K$3))</f>
        <v/>
      </c>
      <c r="L7" s="86" t="str">
        <f>IF(SUMIFS(Journal!$D$3:$D$143,Journal!$A$3:$A$143,$B7,Journal!$F$3:$F$143,K$3)=0,"",SUMIFS(Journal!$D$3:$D$143,Journal!$A$3:$A$143,$B7,Journal!$F$3:$F$143,K$3))</f>
        <v/>
      </c>
      <c r="M7" s="86" t="str">
        <f>IF(SUMIFS(Journal!$D$3:$D$143,Journal!$A$3:$A$143,$B7,Journal!$E$3:$E$143,M$3)=0,"",SUMIFS(Journal!$D$3:$D$143,Journal!$A$3:$A$143,$B7,Journal!$E$3:$E$143,M$3))</f>
        <v/>
      </c>
      <c r="N7" s="86" t="str">
        <f>IF(SUMIFS(Journal!$D$3:$D$143,Journal!$A$3:$A$143,$B7,Journal!$F$3:$F$143,M$3)=0,"",SUMIFS(Journal!$D$3:$D$143,Journal!$A$3:$A$143,$B7,Journal!$F$3:$F$143,M$3))</f>
        <v/>
      </c>
      <c r="O7" s="86" t="str">
        <f>IF(SUMIFS(Journal!$D$3:$D$143,Journal!$A$3:$A$143,$B7,Journal!$E$3:$E$143,O$3)=0,"",SUMIFS(Journal!$D$3:$D$143,Journal!$A$3:$A$143,$B7,Journal!$E$3:$E$143,O$3))</f>
        <v/>
      </c>
      <c r="P7" s="86" t="str">
        <f>IF(SUMIFS(Journal!$D$3:$D$143,Journal!$A$3:$A$143,$B7,Journal!$F$3:$F$143,O$3)=0,"",SUMIFS(Journal!$D$3:$D$143,Journal!$A$3:$A$143,$B7,Journal!$F$3:$F$143,O$3))</f>
        <v/>
      </c>
      <c r="Q7" s="86" t="str">
        <f>IF(SUMIFS(Journal!$D$3:$D$143,Journal!$A$3:$A$143,$B7,Journal!$E$3:$E$143,Q$3)=0,"",SUMIFS(Journal!$D$3:$D$143,Journal!$A$3:$A$143,$B7,Journal!$E$3:$E$143,Q$3))</f>
        <v/>
      </c>
      <c r="R7" s="86" t="str">
        <f>IF(SUMIFS(Journal!$D$3:$D$143,Journal!$A$3:$A$143,$B7,Journal!$F$3:$F$143,Q$3)=0,"",SUMIFS(Journal!$D$3:$D$143,Journal!$A$3:$A$143,$B7,Journal!$F$3:$F$143,Q$3))</f>
        <v/>
      </c>
      <c r="S7" s="86" t="str">
        <f>IF(SUMIFS(Journal!$D$3:$D$143,Journal!$A$3:$A$143,$B7,Journal!$E$3:$E$143,S$3)=0,"",SUMIFS(Journal!$D$3:$D$143,Journal!$A$3:$A$143,$B7,Journal!$E$3:$E$143,S$3))</f>
        <v/>
      </c>
      <c r="T7" s="86" t="str">
        <f>IF(SUMIFS(Journal!$D$3:$D$143,Journal!$A$3:$A$143,$B7,Journal!$F$3:$F$143,S$3)=0,"",SUMIFS(Journal!$D$3:$D$143,Journal!$A$3:$A$143,$B7,Journal!$F$3:$F$143,S$3))</f>
        <v/>
      </c>
      <c r="U7" s="86" t="str">
        <f>IF(SUMIFS(Journal!$D$3:$D$143,Journal!$A$3:$A$143,$B7,Journal!$E$3:$E$143,U$3)=0,"",SUMIFS(Journal!$D$3:$D$143,Journal!$A$3:$A$143,$B7,Journal!$E$3:$E$143,U$3))</f>
        <v/>
      </c>
      <c r="V7" s="86" t="str">
        <f>IF(SUMIFS(Journal!$D$3:$D$143,Journal!$A$3:$A$143,$B7,Journal!$F$3:$F$143,U$3)=0,"",SUMIFS(Journal!$D$3:$D$143,Journal!$A$3:$A$143,$B7,Journal!$F$3:$F$143,U$3))</f>
        <v/>
      </c>
      <c r="W7" s="86" t="str">
        <f>IF(SUMIFS(Journal!$D$3:$D$143,Journal!$A$3:$A$143,$B7,Journal!$E$3:$E$143,W$3)=0,"",SUMIFS(Journal!$D$3:$D$143,Journal!$A$3:$A$143,$B7,Journal!$E$3:$E$143,W$3))</f>
        <v/>
      </c>
      <c r="X7" s="86" t="str">
        <f>IF(SUMIFS(Journal!$D$3:$D$143,Journal!$A$3:$A$143,$B7,Journal!$F$3:$F$143,W$3)=0,"",SUMIFS(Journal!$D$3:$D$143,Journal!$A$3:$A$143,$B7,Journal!$F$3:$F$143,W$3))</f>
        <v/>
      </c>
      <c r="Y7" s="86" t="str">
        <f>IF(SUMIFS(Journal!$D$3:$D$143,Journal!$A$3:$A$143,$B7,Journal!$E$3:$E$143,Y$3)=0,"",SUMIFS(Journal!$D$3:$D$143,Journal!$A$3:$A$143,$B7,Journal!$E$3:$E$143,Y$3))</f>
        <v/>
      </c>
      <c r="Z7" s="86" t="str">
        <f>IF(SUMIFS(Journal!$D$3:$D$143,Journal!$A$3:$A$143,$B7,Journal!$F$3:$F$143,Y$3)=0,"",SUMIFS(Journal!$D$3:$D$143,Journal!$A$3:$A$143,$B7,Journal!$F$3:$F$143,Y$3))</f>
        <v/>
      </c>
      <c r="AA7" s="86" t="str">
        <f>IF(SUMIFS(Journal!$D$3:$D$143,Journal!$A$3:$A$143,$B7,Journal!$E$3:$E$143,AA$3)=0,"",SUMIFS(Journal!$D$3:$D$143,Journal!$A$3:$A$143,$B7,Journal!$E$3:$E$143,AA$3))</f>
        <v/>
      </c>
      <c r="AB7" s="86" t="str">
        <f>IF(SUMIFS(Journal!$D$3:$D$143,Journal!$A$3:$A$143,$B7,Journal!$F$3:$F$143,AA$3)=0,"",SUMIFS(Journal!$D$3:$D$143,Journal!$A$3:$A$143,$B7,Journal!$F$3:$F$143,AA$3))</f>
        <v/>
      </c>
      <c r="AC7" s="86" t="str">
        <f>IF(SUMIFS(Journal!$D$3:$D$143,Journal!$A$3:$A$143,$B7,Journal!$E$3:$E$143,AC$3)=0,"",SUMIFS(Journal!$D$3:$D$143,Journal!$A$3:$A$143,$B7,Journal!$E$3:$E$143,AC$3))</f>
        <v/>
      </c>
      <c r="AD7" s="86" t="str">
        <f>IF(SUMIFS(Journal!$D$3:$D$143,Journal!$A$3:$A$143,$B7,Journal!$F$3:$F$143,AC$3)=0,"",SUMIFS(Journal!$D$3:$D$143,Journal!$A$3:$A$143,$B7,Journal!$F$3:$F$143,AC$3))</f>
        <v/>
      </c>
      <c r="AE7" s="86" t="str">
        <f>IF(SUMIFS(Journal!$D$3:$D$143,Journal!$A$3:$A$143,$B7,Journal!$E$3:$E$143,AE$3)=0,"",SUMIFS(Journal!$D$3:$D$143,Journal!$A$3:$A$143,$B7,Journal!$E$3:$E$143,AE$3))</f>
        <v/>
      </c>
      <c r="AF7" s="86" t="str">
        <f>IF(SUMIFS(Journal!$D$3:$D$143,Journal!$A$3:$A$143,$B7,Journal!$F$3:$F$143,AE$3)=0,"",SUMIFS(Journal!$D$3:$D$143,Journal!$A$3:$A$143,$B7,Journal!$F$3:$F$143,AE$3))</f>
        <v/>
      </c>
      <c r="AG7" s="86" t="str">
        <f>IF(SUMIFS(Journal!$D$3:$D$143,Journal!$A$3:$A$143,$B7,Journal!$E$3:$E$143,AG$3)=0,"",SUMIFS(Journal!$D$3:$D$143,Journal!$A$3:$A$143,$B7,Journal!$E$3:$E$143,AG$3))</f>
        <v/>
      </c>
      <c r="AH7" s="86" t="str">
        <f>IF(SUMIFS(Journal!$D$3:$D$143,Journal!$A$3:$A$143,$B7,Journal!$F$3:$F$143,AG$3)=0,"",SUMIFS(Journal!$D$3:$D$143,Journal!$A$3:$A$143,$B7,Journal!$F$3:$F$143,AG$3))</f>
        <v/>
      </c>
      <c r="AI7" s="86" t="str">
        <f>IF(SUMIFS(Journal!$D$3:$D$143,Journal!$A$3:$A$143,$B7,Journal!$E$3:$E$143,AI$3)=0,"",SUMIFS(Journal!$D$3:$D$143,Journal!$A$3:$A$143,$B7,Journal!$E$3:$E$143,AI$3))</f>
        <v/>
      </c>
      <c r="AJ7" s="86" t="str">
        <f>IF(SUMIFS(Journal!$D$3:$D$143,Journal!$A$3:$A$143,$B7,Journal!$F$3:$F$143,AI$3)=0,"",SUMIFS(Journal!$D$3:$D$143,Journal!$A$3:$A$143,$B7,Journal!$F$3:$F$143,AI$3))</f>
        <v/>
      </c>
      <c r="AK7" s="86" t="str">
        <f>IF(SUMIFS(Journal!$D$3:$D$143,Journal!$A$3:$A$143,$B7,Journal!$E$3:$E$143,AK$3)=0,"",SUMIFS(Journal!$D$3:$D$143,Journal!$A$3:$A$143,$B7,Journal!$E$3:$E$143,AK$3))</f>
        <v/>
      </c>
      <c r="AL7" s="86" t="str">
        <f>IF(SUMIFS(Journal!$D$3:$D$143,Journal!$A$3:$A$143,$B7,Journal!$F$3:$F$143,AK$3)=0,"",SUMIFS(Journal!$D$3:$D$143,Journal!$A$3:$A$143,$B7,Journal!$F$3:$F$143,AK$3))</f>
        <v/>
      </c>
      <c r="AM7" s="86" t="str">
        <f>IF(SUMIFS(Journal!$D$3:$D$143,Journal!$A$3:$A$143,$B7,Journal!$E$3:$E$143,AM$3)=0,"",SUMIFS(Journal!$D$3:$D$143,Journal!$A$3:$A$143,$B7,Journal!$E$3:$E$143,AM$3))</f>
        <v/>
      </c>
      <c r="AN7" s="86" t="str">
        <f>IF(SUMIFS(Journal!$D$3:$D$143,Journal!$A$3:$A$143,$B7,Journal!$F$3:$F$143,AM$3)=0,"",SUMIFS(Journal!$D$3:$D$143,Journal!$A$3:$A$143,$B7,Journal!$F$3:$F$143,AM$3))</f>
        <v/>
      </c>
      <c r="AO7" s="86">
        <f>IF(SUMIFS(Journal!$D$3:$D$143,Journal!$A$3:$A$143,$B7,Journal!$E$3:$E$143,AO$3)=0,"",SUMIFS(Journal!$D$3:$D$143,Journal!$A$3:$A$143,$B7,Journal!$E$3:$E$143,AO$3))</f>
        <v>1500</v>
      </c>
      <c r="AP7" s="86" t="str">
        <f>IF(SUMIFS(Journal!$D$3:$D$143,Journal!$A$3:$A$143,$B7,Journal!$F$3:$F$143,AO$3)=0,"",SUMIFS(Journal!$D$3:$D$143,Journal!$A$3:$A$143,$B7,Journal!$F$3:$F$143,AO$3))</f>
        <v/>
      </c>
      <c r="AQ7" s="86" t="str">
        <f>IF(SUMIFS(Journal!$D$3:$D$143,Journal!$A$3:$A$143,$B7,Journal!$E$3:$E$143,AQ$3)=0,"",SUMIFS(Journal!$D$3:$D$143,Journal!$A$3:$A$143,$B7,Journal!$E$3:$E$143,AQ$3))</f>
        <v/>
      </c>
      <c r="AR7" s="86" t="str">
        <f>IF(SUMIFS(Journal!$D$3:$D$143,Journal!$A$3:$A$143,$B7,Journal!$F$3:$F$143,AQ$3)=0,"",SUMIFS(Journal!$D$3:$D$143,Journal!$A$3:$A$143,$B7,Journal!$F$3:$F$143,AQ$3))</f>
        <v/>
      </c>
      <c r="AS7" s="86" t="str">
        <f>IF(SUMIFS(Journal!$D$3:$D$143,Journal!$A$3:$A$143,$B7,Journal!$E$3:$E$143,AS$3)=0,"",SUMIFS(Journal!$D$3:$D$143,Journal!$A$3:$A$143,$B7,Journal!$E$3:$E$143,AS$3))</f>
        <v/>
      </c>
      <c r="AT7" s="86" t="str">
        <f>IF(SUMIFS(Journal!$D$3:$D$143,Journal!$A$3:$A$143,$B7,Journal!$F$3:$F$143,AS$3)=0,"",SUMIFS(Journal!$D$3:$D$143,Journal!$A$3:$A$143,$B7,Journal!$F$3:$F$143,AS$3))</f>
        <v/>
      </c>
      <c r="AU7" s="86" t="str">
        <f>IF(SUMIFS(Journal!$D$3:$D$143,Journal!$A$3:$A$143,$B7,Journal!$E$3:$E$143,AU$3)=0,"",SUMIFS(Journal!$D$3:$D$143,Journal!$A$3:$A$143,$B7,Journal!$E$3:$E$143,AU$3))</f>
        <v/>
      </c>
      <c r="AV7" s="86" t="str">
        <f>IF(SUMIFS(Journal!$D$3:$D$143,Journal!$A$3:$A$143,$B7,Journal!$F$3:$F$143,AU$3)=0,"",SUMIFS(Journal!$D$3:$D$143,Journal!$A$3:$A$143,$B7,Journal!$F$3:$F$143,AU$3))</f>
        <v/>
      </c>
      <c r="AW7" s="86" t="str">
        <f>IF(SUMIFS(Journal!$D$3:$D$143,Journal!$A$3:$A$143,$B7,Journal!$E$3:$E$143,AW$3)=0,"",SUMIFS(Journal!$D$3:$D$143,Journal!$A$3:$A$143,$B7,Journal!$E$3:$E$143,AW$3))</f>
        <v/>
      </c>
      <c r="AX7" s="86" t="str">
        <f>IF(SUMIFS(Journal!$D$3:$D$143,Journal!$A$3:$A$143,$B7,Journal!$F$3:$F$143,AW$3)=0,"",SUMIFS(Journal!$D$3:$D$143,Journal!$A$3:$A$143,$B7,Journal!$F$3:$F$143,AW$3))</f>
        <v/>
      </c>
      <c r="AY7" s="86" t="str">
        <f>IF(SUMIFS(Journal!$D$3:$D$143,Journal!$A$3:$A$143,$B7,Journal!$E$3:$E$143,AY$3)=0,"",SUMIFS(Journal!$D$3:$D$143,Journal!$A$3:$A$143,$B7,Journal!$E$3:$E$143,AY$3))</f>
        <v/>
      </c>
      <c r="AZ7" s="86" t="str">
        <f>IF(SUMIFS(Journal!$D$3:$D$143,Journal!$A$3:$A$143,$B7,Journal!$F$3:$F$143,AY$3)=0,"",SUMIFS(Journal!$D$3:$D$143,Journal!$A$3:$A$143,$B7,Journal!$F$3:$F$143,AY$3))</f>
        <v/>
      </c>
      <c r="BA7" s="86" t="str">
        <f>IF(SUMIFS(Journal!$D$3:$D$143,Journal!$A$3:$A$143,$B7,Journal!$E$3:$E$143,BA$3)=0,"",SUMIFS(Journal!$D$3:$D$143,Journal!$A$3:$A$143,$B7,Journal!$E$3:$E$143,BA$3))</f>
        <v/>
      </c>
      <c r="BB7" s="86" t="str">
        <f>IF(SUMIFS(Journal!$D$3:$D$143,Journal!$A$3:$A$143,$B7,Journal!$F$3:$F$143,BA$3)=0,"",SUMIFS(Journal!$D$3:$D$143,Journal!$A$3:$A$143,$B7,Journal!$F$3:$F$143,BA$3))</f>
        <v/>
      </c>
      <c r="BD7" s="67" t="s">
        <v>90</v>
      </c>
    </row>
    <row r="8">
      <c r="A8" s="84">
        <f>VLOOKUP(B8,Journal!$A$3:$C$143,2,FALSE)</f>
        <v>45295</v>
      </c>
      <c r="B8" s="85" t="s">
        <v>87</v>
      </c>
      <c r="C8" s="86" t="str">
        <f>VLOOKUP(B8,Journal!$A$3:$C$143,3,FALSE)</f>
        <v>Refundable facility security deposit</v>
      </c>
      <c r="D8" s="86">
        <f>SUMIF(Journal!$A$3:$A$143,B8,Journal!$D$3:$D$143)</f>
        <v>6000</v>
      </c>
      <c r="E8" s="86" t="str">
        <f>IF(SUMIFS(Journal!$D$3:$D$143,Journal!$A$3:$A$143,$B8,Journal!$E$3:$E$143,E$3)=0,"",SUMIFS(Journal!$D$3:$D$143,Journal!$A$3:$A$143,$B8,Journal!$E$3:$E$143,E$3))</f>
        <v/>
      </c>
      <c r="F8" s="86">
        <f>IF(SUMIFS(Journal!$D$3:$D$143,Journal!$A$3:$A$143,$B8,Journal!$F$3:$F$143,E$3)=0,"",SUMIFS(Journal!$D$3:$D$143,Journal!$A$3:$A$143,$B8,Journal!$F$3:$F$143,E$3))</f>
        <v>6000</v>
      </c>
      <c r="G8" s="86" t="str">
        <f>IF(SUMIFS(Journal!$D$3:$D$143,Journal!$A$3:$A$143,$B8,Journal!$E$3:$E$143,G$3)=0,"",SUMIFS(Journal!$D$3:$D$143,Journal!$A$3:$A$143,$B8,Journal!$E$3:$E$143,G$3))</f>
        <v/>
      </c>
      <c r="H8" s="86" t="str">
        <f>IF(SUMIFS(Journal!$D$3:$D$143,Journal!$A$3:$A$143,$B8,Journal!$F$3:$F$143,G$3)=0,"",SUMIFS(Journal!$D$3:$D$143,Journal!$A$3:$A$143,$B8,Journal!$F$3:$F$143,G$3))</f>
        <v/>
      </c>
      <c r="I8" s="86" t="str">
        <f>IF(SUMIFS(Journal!$D$3:$D$143,Journal!$A$3:$A$143,$B8,Journal!$E$3:$E$143,I$3)=0,"",SUMIFS(Journal!$D$3:$D$143,Journal!$A$3:$A$143,$B8,Journal!$E$3:$E$143,I$3))</f>
        <v/>
      </c>
      <c r="J8" s="86" t="str">
        <f>IF(SUMIFS(Journal!$D$3:$D$143,Journal!$A$3:$A$143,$B8,Journal!$F$3:$F$143,I$3)=0,"",SUMIFS(Journal!$D$3:$D$143,Journal!$A$3:$A$143,$B8,Journal!$F$3:$F$143,I$3))</f>
        <v/>
      </c>
      <c r="K8" s="86">
        <f>IF(SUMIFS(Journal!$D$3:$D$143,Journal!$A$3:$A$143,$B8,Journal!$E$3:$E$143,K$3)=0,"",SUMIFS(Journal!$D$3:$D$143,Journal!$A$3:$A$143,$B8,Journal!$E$3:$E$143,K$3))</f>
        <v>6000</v>
      </c>
      <c r="L8" s="86" t="str">
        <f>IF(SUMIFS(Journal!$D$3:$D$143,Journal!$A$3:$A$143,$B8,Journal!$F$3:$F$143,K$3)=0,"",SUMIFS(Journal!$D$3:$D$143,Journal!$A$3:$A$143,$B8,Journal!$F$3:$F$143,K$3))</f>
        <v/>
      </c>
      <c r="M8" s="86" t="str">
        <f>IF(SUMIFS(Journal!$D$3:$D$143,Journal!$A$3:$A$143,$B8,Journal!$E$3:$E$143,M$3)=0,"",SUMIFS(Journal!$D$3:$D$143,Journal!$A$3:$A$143,$B8,Journal!$E$3:$E$143,M$3))</f>
        <v/>
      </c>
      <c r="N8" s="86" t="str">
        <f>IF(SUMIFS(Journal!$D$3:$D$143,Journal!$A$3:$A$143,$B8,Journal!$F$3:$F$143,M$3)=0,"",SUMIFS(Journal!$D$3:$D$143,Journal!$A$3:$A$143,$B8,Journal!$F$3:$F$143,M$3))</f>
        <v/>
      </c>
      <c r="O8" s="86" t="str">
        <f>IF(SUMIFS(Journal!$D$3:$D$143,Journal!$A$3:$A$143,$B8,Journal!$E$3:$E$143,O$3)=0,"",SUMIFS(Journal!$D$3:$D$143,Journal!$A$3:$A$143,$B8,Journal!$E$3:$E$143,O$3))</f>
        <v/>
      </c>
      <c r="P8" s="86" t="str">
        <f>IF(SUMIFS(Journal!$D$3:$D$143,Journal!$A$3:$A$143,$B8,Journal!$F$3:$F$143,O$3)=0,"",SUMIFS(Journal!$D$3:$D$143,Journal!$A$3:$A$143,$B8,Journal!$F$3:$F$143,O$3))</f>
        <v/>
      </c>
      <c r="Q8" s="86" t="str">
        <f>IF(SUMIFS(Journal!$D$3:$D$143,Journal!$A$3:$A$143,$B8,Journal!$E$3:$E$143,Q$3)=0,"",SUMIFS(Journal!$D$3:$D$143,Journal!$A$3:$A$143,$B8,Journal!$E$3:$E$143,Q$3))</f>
        <v/>
      </c>
      <c r="R8" s="86" t="str">
        <f>IF(SUMIFS(Journal!$D$3:$D$143,Journal!$A$3:$A$143,$B8,Journal!$F$3:$F$143,Q$3)=0,"",SUMIFS(Journal!$D$3:$D$143,Journal!$A$3:$A$143,$B8,Journal!$F$3:$F$143,Q$3))</f>
        <v/>
      </c>
      <c r="S8" s="86" t="str">
        <f>IF(SUMIFS(Journal!$D$3:$D$143,Journal!$A$3:$A$143,$B8,Journal!$E$3:$E$143,S$3)=0,"",SUMIFS(Journal!$D$3:$D$143,Journal!$A$3:$A$143,$B8,Journal!$E$3:$E$143,S$3))</f>
        <v/>
      </c>
      <c r="T8" s="86" t="str">
        <f>IF(SUMIFS(Journal!$D$3:$D$143,Journal!$A$3:$A$143,$B8,Journal!$F$3:$F$143,S$3)=0,"",SUMIFS(Journal!$D$3:$D$143,Journal!$A$3:$A$143,$B8,Journal!$F$3:$F$143,S$3))</f>
        <v/>
      </c>
      <c r="U8" s="86" t="str">
        <f>IF(SUMIFS(Journal!$D$3:$D$143,Journal!$A$3:$A$143,$B8,Journal!$E$3:$E$143,U$3)=0,"",SUMIFS(Journal!$D$3:$D$143,Journal!$A$3:$A$143,$B8,Journal!$E$3:$E$143,U$3))</f>
        <v/>
      </c>
      <c r="V8" s="86" t="str">
        <f>IF(SUMIFS(Journal!$D$3:$D$143,Journal!$A$3:$A$143,$B8,Journal!$F$3:$F$143,U$3)=0,"",SUMIFS(Journal!$D$3:$D$143,Journal!$A$3:$A$143,$B8,Journal!$F$3:$F$143,U$3))</f>
        <v/>
      </c>
      <c r="W8" s="86" t="str">
        <f>IF(SUMIFS(Journal!$D$3:$D$143,Journal!$A$3:$A$143,$B8,Journal!$E$3:$E$143,W$3)=0,"",SUMIFS(Journal!$D$3:$D$143,Journal!$A$3:$A$143,$B8,Journal!$E$3:$E$143,W$3))</f>
        <v/>
      </c>
      <c r="X8" s="86" t="str">
        <f>IF(SUMIFS(Journal!$D$3:$D$143,Journal!$A$3:$A$143,$B8,Journal!$F$3:$F$143,W$3)=0,"",SUMIFS(Journal!$D$3:$D$143,Journal!$A$3:$A$143,$B8,Journal!$F$3:$F$143,W$3))</f>
        <v/>
      </c>
      <c r="Y8" s="86" t="str">
        <f>IF(SUMIFS(Journal!$D$3:$D$143,Journal!$A$3:$A$143,$B8,Journal!$E$3:$E$143,Y$3)=0,"",SUMIFS(Journal!$D$3:$D$143,Journal!$A$3:$A$143,$B8,Journal!$E$3:$E$143,Y$3))</f>
        <v/>
      </c>
      <c r="Z8" s="86" t="str">
        <f>IF(SUMIFS(Journal!$D$3:$D$143,Journal!$A$3:$A$143,$B8,Journal!$F$3:$F$143,Y$3)=0,"",SUMIFS(Journal!$D$3:$D$143,Journal!$A$3:$A$143,$B8,Journal!$F$3:$F$143,Y$3))</f>
        <v/>
      </c>
      <c r="AA8" s="86" t="str">
        <f>IF(SUMIFS(Journal!$D$3:$D$143,Journal!$A$3:$A$143,$B8,Journal!$E$3:$E$143,AA$3)=0,"",SUMIFS(Journal!$D$3:$D$143,Journal!$A$3:$A$143,$B8,Journal!$E$3:$E$143,AA$3))</f>
        <v/>
      </c>
      <c r="AB8" s="86" t="str">
        <f>IF(SUMIFS(Journal!$D$3:$D$143,Journal!$A$3:$A$143,$B8,Journal!$F$3:$F$143,AA$3)=0,"",SUMIFS(Journal!$D$3:$D$143,Journal!$A$3:$A$143,$B8,Journal!$F$3:$F$143,AA$3))</f>
        <v/>
      </c>
      <c r="AC8" s="86" t="str">
        <f>IF(SUMIFS(Journal!$D$3:$D$143,Journal!$A$3:$A$143,$B8,Journal!$E$3:$E$143,AC$3)=0,"",SUMIFS(Journal!$D$3:$D$143,Journal!$A$3:$A$143,$B8,Journal!$E$3:$E$143,AC$3))</f>
        <v/>
      </c>
      <c r="AD8" s="86" t="str">
        <f>IF(SUMIFS(Journal!$D$3:$D$143,Journal!$A$3:$A$143,$B8,Journal!$F$3:$F$143,AC$3)=0,"",SUMIFS(Journal!$D$3:$D$143,Journal!$A$3:$A$143,$B8,Journal!$F$3:$F$143,AC$3))</f>
        <v/>
      </c>
      <c r="AE8" s="86" t="str">
        <f>IF(SUMIFS(Journal!$D$3:$D$143,Journal!$A$3:$A$143,$B8,Journal!$E$3:$E$143,AE$3)=0,"",SUMIFS(Journal!$D$3:$D$143,Journal!$A$3:$A$143,$B8,Journal!$E$3:$E$143,AE$3))</f>
        <v/>
      </c>
      <c r="AF8" s="86" t="str">
        <f>IF(SUMIFS(Journal!$D$3:$D$143,Journal!$A$3:$A$143,$B8,Journal!$F$3:$F$143,AE$3)=0,"",SUMIFS(Journal!$D$3:$D$143,Journal!$A$3:$A$143,$B8,Journal!$F$3:$F$143,AE$3))</f>
        <v/>
      </c>
      <c r="AG8" s="86" t="str">
        <f>IF(SUMIFS(Journal!$D$3:$D$143,Journal!$A$3:$A$143,$B8,Journal!$E$3:$E$143,AG$3)=0,"",SUMIFS(Journal!$D$3:$D$143,Journal!$A$3:$A$143,$B8,Journal!$E$3:$E$143,AG$3))</f>
        <v/>
      </c>
      <c r="AH8" s="86" t="str">
        <f>IF(SUMIFS(Journal!$D$3:$D$143,Journal!$A$3:$A$143,$B8,Journal!$F$3:$F$143,AG$3)=0,"",SUMIFS(Journal!$D$3:$D$143,Journal!$A$3:$A$143,$B8,Journal!$F$3:$F$143,AG$3))</f>
        <v/>
      </c>
      <c r="AI8" s="86" t="str">
        <f>IF(SUMIFS(Journal!$D$3:$D$143,Journal!$A$3:$A$143,$B8,Journal!$E$3:$E$143,AI$3)=0,"",SUMIFS(Journal!$D$3:$D$143,Journal!$A$3:$A$143,$B8,Journal!$E$3:$E$143,AI$3))</f>
        <v/>
      </c>
      <c r="AJ8" s="86" t="str">
        <f>IF(SUMIFS(Journal!$D$3:$D$143,Journal!$A$3:$A$143,$B8,Journal!$F$3:$F$143,AI$3)=0,"",SUMIFS(Journal!$D$3:$D$143,Journal!$A$3:$A$143,$B8,Journal!$F$3:$F$143,AI$3))</f>
        <v/>
      </c>
      <c r="AK8" s="86" t="str">
        <f>IF(SUMIFS(Journal!$D$3:$D$143,Journal!$A$3:$A$143,$B8,Journal!$E$3:$E$143,AK$3)=0,"",SUMIFS(Journal!$D$3:$D$143,Journal!$A$3:$A$143,$B8,Journal!$E$3:$E$143,AK$3))</f>
        <v/>
      </c>
      <c r="AL8" s="86" t="str">
        <f>IF(SUMIFS(Journal!$D$3:$D$143,Journal!$A$3:$A$143,$B8,Journal!$F$3:$F$143,AK$3)=0,"",SUMIFS(Journal!$D$3:$D$143,Journal!$A$3:$A$143,$B8,Journal!$F$3:$F$143,AK$3))</f>
        <v/>
      </c>
      <c r="AM8" s="86" t="str">
        <f>IF(SUMIFS(Journal!$D$3:$D$143,Journal!$A$3:$A$143,$B8,Journal!$E$3:$E$143,AM$3)=0,"",SUMIFS(Journal!$D$3:$D$143,Journal!$A$3:$A$143,$B8,Journal!$E$3:$E$143,AM$3))</f>
        <v/>
      </c>
      <c r="AN8" s="86" t="str">
        <f>IF(SUMIFS(Journal!$D$3:$D$143,Journal!$A$3:$A$143,$B8,Journal!$F$3:$F$143,AM$3)=0,"",SUMIFS(Journal!$D$3:$D$143,Journal!$A$3:$A$143,$B8,Journal!$F$3:$F$143,AM$3))</f>
        <v/>
      </c>
      <c r="AO8" s="86" t="str">
        <f>IF(SUMIFS(Journal!$D$3:$D$143,Journal!$A$3:$A$143,$B8,Journal!$E$3:$E$143,AO$3)=0,"",SUMIFS(Journal!$D$3:$D$143,Journal!$A$3:$A$143,$B8,Journal!$E$3:$E$143,AO$3))</f>
        <v/>
      </c>
      <c r="AP8" s="86" t="str">
        <f>IF(SUMIFS(Journal!$D$3:$D$143,Journal!$A$3:$A$143,$B8,Journal!$F$3:$F$143,AO$3)=0,"",SUMIFS(Journal!$D$3:$D$143,Journal!$A$3:$A$143,$B8,Journal!$F$3:$F$143,AO$3))</f>
        <v/>
      </c>
      <c r="AQ8" s="86" t="str">
        <f>IF(SUMIFS(Journal!$D$3:$D$143,Journal!$A$3:$A$143,$B8,Journal!$E$3:$E$143,AQ$3)=0,"",SUMIFS(Journal!$D$3:$D$143,Journal!$A$3:$A$143,$B8,Journal!$E$3:$E$143,AQ$3))</f>
        <v/>
      </c>
      <c r="AR8" s="86" t="str">
        <f>IF(SUMIFS(Journal!$D$3:$D$143,Journal!$A$3:$A$143,$B8,Journal!$F$3:$F$143,AQ$3)=0,"",SUMIFS(Journal!$D$3:$D$143,Journal!$A$3:$A$143,$B8,Journal!$F$3:$F$143,AQ$3))</f>
        <v/>
      </c>
      <c r="AS8" s="86" t="str">
        <f>IF(SUMIFS(Journal!$D$3:$D$143,Journal!$A$3:$A$143,$B8,Journal!$E$3:$E$143,AS$3)=0,"",SUMIFS(Journal!$D$3:$D$143,Journal!$A$3:$A$143,$B8,Journal!$E$3:$E$143,AS$3))</f>
        <v/>
      </c>
      <c r="AT8" s="86" t="str">
        <f>IF(SUMIFS(Journal!$D$3:$D$143,Journal!$A$3:$A$143,$B8,Journal!$F$3:$F$143,AS$3)=0,"",SUMIFS(Journal!$D$3:$D$143,Journal!$A$3:$A$143,$B8,Journal!$F$3:$F$143,AS$3))</f>
        <v/>
      </c>
      <c r="AU8" s="86" t="str">
        <f>IF(SUMIFS(Journal!$D$3:$D$143,Journal!$A$3:$A$143,$B8,Journal!$E$3:$E$143,AU$3)=0,"",SUMIFS(Journal!$D$3:$D$143,Journal!$A$3:$A$143,$B8,Journal!$E$3:$E$143,AU$3))</f>
        <v/>
      </c>
      <c r="AV8" s="86" t="str">
        <f>IF(SUMIFS(Journal!$D$3:$D$143,Journal!$A$3:$A$143,$B8,Journal!$F$3:$F$143,AU$3)=0,"",SUMIFS(Journal!$D$3:$D$143,Journal!$A$3:$A$143,$B8,Journal!$F$3:$F$143,AU$3))</f>
        <v/>
      </c>
      <c r="AW8" s="86" t="str">
        <f>IF(SUMIFS(Journal!$D$3:$D$143,Journal!$A$3:$A$143,$B8,Journal!$E$3:$E$143,AW$3)=0,"",SUMIFS(Journal!$D$3:$D$143,Journal!$A$3:$A$143,$B8,Journal!$E$3:$E$143,AW$3))</f>
        <v/>
      </c>
      <c r="AX8" s="86" t="str">
        <f>IF(SUMIFS(Journal!$D$3:$D$143,Journal!$A$3:$A$143,$B8,Journal!$F$3:$F$143,AW$3)=0,"",SUMIFS(Journal!$D$3:$D$143,Journal!$A$3:$A$143,$B8,Journal!$F$3:$F$143,AW$3))</f>
        <v/>
      </c>
      <c r="AY8" s="86" t="str">
        <f>IF(SUMIFS(Journal!$D$3:$D$143,Journal!$A$3:$A$143,$B8,Journal!$E$3:$E$143,AY$3)=0,"",SUMIFS(Journal!$D$3:$D$143,Journal!$A$3:$A$143,$B8,Journal!$E$3:$E$143,AY$3))</f>
        <v/>
      </c>
      <c r="AZ8" s="86" t="str">
        <f>IF(SUMIFS(Journal!$D$3:$D$143,Journal!$A$3:$A$143,$B8,Journal!$F$3:$F$143,AY$3)=0,"",SUMIFS(Journal!$D$3:$D$143,Journal!$A$3:$A$143,$B8,Journal!$F$3:$F$143,AY$3))</f>
        <v/>
      </c>
      <c r="BA8" s="86" t="str">
        <f>IF(SUMIFS(Journal!$D$3:$D$143,Journal!$A$3:$A$143,$B8,Journal!$E$3:$E$143,BA$3)=0,"",SUMIFS(Journal!$D$3:$D$143,Journal!$A$3:$A$143,$B8,Journal!$E$3:$E$143,BA$3))</f>
        <v/>
      </c>
      <c r="BB8" s="86" t="str">
        <f>IF(SUMIFS(Journal!$D$3:$D$143,Journal!$A$3:$A$143,$B8,Journal!$F$3:$F$143,BA$3)=0,"",SUMIFS(Journal!$D$3:$D$143,Journal!$A$3:$A$143,$B8,Journal!$F$3:$F$143,BA$3))</f>
        <v/>
      </c>
      <c r="BD8" s="67" t="s">
        <v>118</v>
      </c>
    </row>
    <row r="9">
      <c r="A9" s="84">
        <f>VLOOKUP(B9,Journal!$A$3:$C$143,2,FALSE)</f>
        <v>45297</v>
      </c>
      <c r="B9" s="85" t="s">
        <v>100</v>
      </c>
      <c r="C9" s="86" t="str">
        <f>VLOOKUP(B9,Journal!$A$3:$C$143,3,FALSE)</f>
        <v>Bank loan proceeds received</v>
      </c>
      <c r="D9" s="86">
        <f>SUMIF(Journal!$A$3:$A$143,B9,Journal!$D$3:$D$143)</f>
        <v>50000</v>
      </c>
      <c r="E9" s="86">
        <f>IF(SUMIFS(Journal!$D$3:$D$143,Journal!$A$3:$A$143,$B9,Journal!$E$3:$E$143,E$3)=0,"",SUMIFS(Journal!$D$3:$D$143,Journal!$A$3:$A$143,$B9,Journal!$E$3:$E$143,E$3))</f>
        <v>50000</v>
      </c>
      <c r="F9" s="86" t="str">
        <f>IF(SUMIFS(Journal!$D$3:$D$143,Journal!$A$3:$A$143,$B9,Journal!$F$3:$F$143,E$3)=0,"",SUMIFS(Journal!$D$3:$D$143,Journal!$A$3:$A$143,$B9,Journal!$F$3:$F$143,E$3))</f>
        <v/>
      </c>
      <c r="G9" s="86" t="str">
        <f>IF(SUMIFS(Journal!$D$3:$D$143,Journal!$A$3:$A$143,$B9,Journal!$E$3:$E$143,G$3)=0,"",SUMIFS(Journal!$D$3:$D$143,Journal!$A$3:$A$143,$B9,Journal!$E$3:$E$143,G$3))</f>
        <v/>
      </c>
      <c r="H9" s="86" t="str">
        <f>IF(SUMIFS(Journal!$D$3:$D$143,Journal!$A$3:$A$143,$B9,Journal!$F$3:$F$143,G$3)=0,"",SUMIFS(Journal!$D$3:$D$143,Journal!$A$3:$A$143,$B9,Journal!$F$3:$F$143,G$3))</f>
        <v/>
      </c>
      <c r="I9" s="86" t="str">
        <f>IF(SUMIFS(Journal!$D$3:$D$143,Journal!$A$3:$A$143,$B9,Journal!$E$3:$E$143,I$3)=0,"",SUMIFS(Journal!$D$3:$D$143,Journal!$A$3:$A$143,$B9,Journal!$E$3:$E$143,I$3))</f>
        <v/>
      </c>
      <c r="J9" s="86" t="str">
        <f>IF(SUMIFS(Journal!$D$3:$D$143,Journal!$A$3:$A$143,$B9,Journal!$F$3:$F$143,I$3)=0,"",SUMIFS(Journal!$D$3:$D$143,Journal!$A$3:$A$143,$B9,Journal!$F$3:$F$143,I$3))</f>
        <v/>
      </c>
      <c r="K9" s="86" t="str">
        <f>IF(SUMIFS(Journal!$D$3:$D$143,Journal!$A$3:$A$143,$B9,Journal!$E$3:$E$143,K$3)=0,"",SUMIFS(Journal!$D$3:$D$143,Journal!$A$3:$A$143,$B9,Journal!$E$3:$E$143,K$3))</f>
        <v/>
      </c>
      <c r="L9" s="86" t="str">
        <f>IF(SUMIFS(Journal!$D$3:$D$143,Journal!$A$3:$A$143,$B9,Journal!$F$3:$F$143,K$3)=0,"",SUMIFS(Journal!$D$3:$D$143,Journal!$A$3:$A$143,$B9,Journal!$F$3:$F$143,K$3))</f>
        <v/>
      </c>
      <c r="M9" s="86" t="str">
        <f>IF(SUMIFS(Journal!$D$3:$D$143,Journal!$A$3:$A$143,$B9,Journal!$E$3:$E$143,M$3)=0,"",SUMIFS(Journal!$D$3:$D$143,Journal!$A$3:$A$143,$B9,Journal!$E$3:$E$143,M$3))</f>
        <v/>
      </c>
      <c r="N9" s="86" t="str">
        <f>IF(SUMIFS(Journal!$D$3:$D$143,Journal!$A$3:$A$143,$B9,Journal!$F$3:$F$143,M$3)=0,"",SUMIFS(Journal!$D$3:$D$143,Journal!$A$3:$A$143,$B9,Journal!$F$3:$F$143,M$3))</f>
        <v/>
      </c>
      <c r="O9" s="86" t="str">
        <f>IF(SUMIFS(Journal!$D$3:$D$143,Journal!$A$3:$A$143,$B9,Journal!$E$3:$E$143,O$3)=0,"",SUMIFS(Journal!$D$3:$D$143,Journal!$A$3:$A$143,$B9,Journal!$E$3:$E$143,O$3))</f>
        <v/>
      </c>
      <c r="P9" s="86" t="str">
        <f>IF(SUMIFS(Journal!$D$3:$D$143,Journal!$A$3:$A$143,$B9,Journal!$F$3:$F$143,O$3)=0,"",SUMIFS(Journal!$D$3:$D$143,Journal!$A$3:$A$143,$B9,Journal!$F$3:$F$143,O$3))</f>
        <v/>
      </c>
      <c r="Q9" s="86" t="str">
        <f>IF(SUMIFS(Journal!$D$3:$D$143,Journal!$A$3:$A$143,$B9,Journal!$E$3:$E$143,Q$3)=0,"",SUMIFS(Journal!$D$3:$D$143,Journal!$A$3:$A$143,$B9,Journal!$E$3:$E$143,Q$3))</f>
        <v/>
      </c>
      <c r="R9" s="86" t="str">
        <f>IF(SUMIFS(Journal!$D$3:$D$143,Journal!$A$3:$A$143,$B9,Journal!$F$3:$F$143,Q$3)=0,"",SUMIFS(Journal!$D$3:$D$143,Journal!$A$3:$A$143,$B9,Journal!$F$3:$F$143,Q$3))</f>
        <v/>
      </c>
      <c r="S9" s="86" t="str">
        <f>IF(SUMIFS(Journal!$D$3:$D$143,Journal!$A$3:$A$143,$B9,Journal!$E$3:$E$143,S$3)=0,"",SUMIFS(Journal!$D$3:$D$143,Journal!$A$3:$A$143,$B9,Journal!$E$3:$E$143,S$3))</f>
        <v/>
      </c>
      <c r="T9" s="86">
        <f>IF(SUMIFS(Journal!$D$3:$D$143,Journal!$A$3:$A$143,$B9,Journal!$F$3:$F$143,S$3)=0,"",SUMIFS(Journal!$D$3:$D$143,Journal!$A$3:$A$143,$B9,Journal!$F$3:$F$143,S$3))</f>
        <v>50000</v>
      </c>
      <c r="U9" s="86" t="str">
        <f>IF(SUMIFS(Journal!$D$3:$D$143,Journal!$A$3:$A$143,$B9,Journal!$E$3:$E$143,U$3)=0,"",SUMIFS(Journal!$D$3:$D$143,Journal!$A$3:$A$143,$B9,Journal!$E$3:$E$143,U$3))</f>
        <v/>
      </c>
      <c r="V9" s="86" t="str">
        <f>IF(SUMIFS(Journal!$D$3:$D$143,Journal!$A$3:$A$143,$B9,Journal!$F$3:$F$143,U$3)=0,"",SUMIFS(Journal!$D$3:$D$143,Journal!$A$3:$A$143,$B9,Journal!$F$3:$F$143,U$3))</f>
        <v/>
      </c>
      <c r="W9" s="86" t="str">
        <f>IF(SUMIFS(Journal!$D$3:$D$143,Journal!$A$3:$A$143,$B9,Journal!$E$3:$E$143,W$3)=0,"",SUMIFS(Journal!$D$3:$D$143,Journal!$A$3:$A$143,$B9,Journal!$E$3:$E$143,W$3))</f>
        <v/>
      </c>
      <c r="X9" s="86" t="str">
        <f>IF(SUMIFS(Journal!$D$3:$D$143,Journal!$A$3:$A$143,$B9,Journal!$F$3:$F$143,W$3)=0,"",SUMIFS(Journal!$D$3:$D$143,Journal!$A$3:$A$143,$B9,Journal!$F$3:$F$143,W$3))</f>
        <v/>
      </c>
      <c r="Y9" s="86" t="str">
        <f>IF(SUMIFS(Journal!$D$3:$D$143,Journal!$A$3:$A$143,$B9,Journal!$E$3:$E$143,Y$3)=0,"",SUMIFS(Journal!$D$3:$D$143,Journal!$A$3:$A$143,$B9,Journal!$E$3:$E$143,Y$3))</f>
        <v/>
      </c>
      <c r="Z9" s="86" t="str">
        <f>IF(SUMIFS(Journal!$D$3:$D$143,Journal!$A$3:$A$143,$B9,Journal!$F$3:$F$143,Y$3)=0,"",SUMIFS(Journal!$D$3:$D$143,Journal!$A$3:$A$143,$B9,Journal!$F$3:$F$143,Y$3))</f>
        <v/>
      </c>
      <c r="AA9" s="86" t="str">
        <f>IF(SUMIFS(Journal!$D$3:$D$143,Journal!$A$3:$A$143,$B9,Journal!$E$3:$E$143,AA$3)=0,"",SUMIFS(Journal!$D$3:$D$143,Journal!$A$3:$A$143,$B9,Journal!$E$3:$E$143,AA$3))</f>
        <v/>
      </c>
      <c r="AB9" s="86" t="str">
        <f>IF(SUMIFS(Journal!$D$3:$D$143,Journal!$A$3:$A$143,$B9,Journal!$F$3:$F$143,AA$3)=0,"",SUMIFS(Journal!$D$3:$D$143,Journal!$A$3:$A$143,$B9,Journal!$F$3:$F$143,AA$3))</f>
        <v/>
      </c>
      <c r="AC9" s="86" t="str">
        <f>IF(SUMIFS(Journal!$D$3:$D$143,Journal!$A$3:$A$143,$B9,Journal!$E$3:$E$143,AC$3)=0,"",SUMIFS(Journal!$D$3:$D$143,Journal!$A$3:$A$143,$B9,Journal!$E$3:$E$143,AC$3))</f>
        <v/>
      </c>
      <c r="AD9" s="86" t="str">
        <f>IF(SUMIFS(Journal!$D$3:$D$143,Journal!$A$3:$A$143,$B9,Journal!$F$3:$F$143,AC$3)=0,"",SUMIFS(Journal!$D$3:$D$143,Journal!$A$3:$A$143,$B9,Journal!$F$3:$F$143,AC$3))</f>
        <v/>
      </c>
      <c r="AE9" s="86" t="str">
        <f>IF(SUMIFS(Journal!$D$3:$D$143,Journal!$A$3:$A$143,$B9,Journal!$E$3:$E$143,AE$3)=0,"",SUMIFS(Journal!$D$3:$D$143,Journal!$A$3:$A$143,$B9,Journal!$E$3:$E$143,AE$3))</f>
        <v/>
      </c>
      <c r="AF9" s="86" t="str">
        <f>IF(SUMIFS(Journal!$D$3:$D$143,Journal!$A$3:$A$143,$B9,Journal!$F$3:$F$143,AE$3)=0,"",SUMIFS(Journal!$D$3:$D$143,Journal!$A$3:$A$143,$B9,Journal!$F$3:$F$143,AE$3))</f>
        <v/>
      </c>
      <c r="AG9" s="86" t="str">
        <f>IF(SUMIFS(Journal!$D$3:$D$143,Journal!$A$3:$A$143,$B9,Journal!$E$3:$E$143,AG$3)=0,"",SUMIFS(Journal!$D$3:$D$143,Journal!$A$3:$A$143,$B9,Journal!$E$3:$E$143,AG$3))</f>
        <v/>
      </c>
      <c r="AH9" s="86" t="str">
        <f>IF(SUMIFS(Journal!$D$3:$D$143,Journal!$A$3:$A$143,$B9,Journal!$F$3:$F$143,AG$3)=0,"",SUMIFS(Journal!$D$3:$D$143,Journal!$A$3:$A$143,$B9,Journal!$F$3:$F$143,AG$3))</f>
        <v/>
      </c>
      <c r="AI9" s="86" t="str">
        <f>IF(SUMIFS(Journal!$D$3:$D$143,Journal!$A$3:$A$143,$B9,Journal!$E$3:$E$143,AI$3)=0,"",SUMIFS(Journal!$D$3:$D$143,Journal!$A$3:$A$143,$B9,Journal!$E$3:$E$143,AI$3))</f>
        <v/>
      </c>
      <c r="AJ9" s="86" t="str">
        <f>IF(SUMIFS(Journal!$D$3:$D$143,Journal!$A$3:$A$143,$B9,Journal!$F$3:$F$143,AI$3)=0,"",SUMIFS(Journal!$D$3:$D$143,Journal!$A$3:$A$143,$B9,Journal!$F$3:$F$143,AI$3))</f>
        <v/>
      </c>
      <c r="AK9" s="86" t="str">
        <f>IF(SUMIFS(Journal!$D$3:$D$143,Journal!$A$3:$A$143,$B9,Journal!$E$3:$E$143,AK$3)=0,"",SUMIFS(Journal!$D$3:$D$143,Journal!$A$3:$A$143,$B9,Journal!$E$3:$E$143,AK$3))</f>
        <v/>
      </c>
      <c r="AL9" s="86" t="str">
        <f>IF(SUMIFS(Journal!$D$3:$D$143,Journal!$A$3:$A$143,$B9,Journal!$F$3:$F$143,AK$3)=0,"",SUMIFS(Journal!$D$3:$D$143,Journal!$A$3:$A$143,$B9,Journal!$F$3:$F$143,AK$3))</f>
        <v/>
      </c>
      <c r="AM9" s="86" t="str">
        <f>IF(SUMIFS(Journal!$D$3:$D$143,Journal!$A$3:$A$143,$B9,Journal!$E$3:$E$143,AM$3)=0,"",SUMIFS(Journal!$D$3:$D$143,Journal!$A$3:$A$143,$B9,Journal!$E$3:$E$143,AM$3))</f>
        <v/>
      </c>
      <c r="AN9" s="86" t="str">
        <f>IF(SUMIFS(Journal!$D$3:$D$143,Journal!$A$3:$A$143,$B9,Journal!$F$3:$F$143,AM$3)=0,"",SUMIFS(Journal!$D$3:$D$143,Journal!$A$3:$A$143,$B9,Journal!$F$3:$F$143,AM$3))</f>
        <v/>
      </c>
      <c r="AO9" s="86" t="str">
        <f>IF(SUMIFS(Journal!$D$3:$D$143,Journal!$A$3:$A$143,$B9,Journal!$E$3:$E$143,AO$3)=0,"",SUMIFS(Journal!$D$3:$D$143,Journal!$A$3:$A$143,$B9,Journal!$E$3:$E$143,AO$3))</f>
        <v/>
      </c>
      <c r="AP9" s="86" t="str">
        <f>IF(SUMIFS(Journal!$D$3:$D$143,Journal!$A$3:$A$143,$B9,Journal!$F$3:$F$143,AO$3)=0,"",SUMIFS(Journal!$D$3:$D$143,Journal!$A$3:$A$143,$B9,Journal!$F$3:$F$143,AO$3))</f>
        <v/>
      </c>
      <c r="AQ9" s="86" t="str">
        <f>IF(SUMIFS(Journal!$D$3:$D$143,Journal!$A$3:$A$143,$B9,Journal!$E$3:$E$143,AQ$3)=0,"",SUMIFS(Journal!$D$3:$D$143,Journal!$A$3:$A$143,$B9,Journal!$E$3:$E$143,AQ$3))</f>
        <v/>
      </c>
      <c r="AR9" s="86" t="str">
        <f>IF(SUMIFS(Journal!$D$3:$D$143,Journal!$A$3:$A$143,$B9,Journal!$F$3:$F$143,AQ$3)=0,"",SUMIFS(Journal!$D$3:$D$143,Journal!$A$3:$A$143,$B9,Journal!$F$3:$F$143,AQ$3))</f>
        <v/>
      </c>
      <c r="AS9" s="86" t="str">
        <f>IF(SUMIFS(Journal!$D$3:$D$143,Journal!$A$3:$A$143,$B9,Journal!$E$3:$E$143,AS$3)=0,"",SUMIFS(Journal!$D$3:$D$143,Journal!$A$3:$A$143,$B9,Journal!$E$3:$E$143,AS$3))</f>
        <v/>
      </c>
      <c r="AT9" s="86" t="str">
        <f>IF(SUMIFS(Journal!$D$3:$D$143,Journal!$A$3:$A$143,$B9,Journal!$F$3:$F$143,AS$3)=0,"",SUMIFS(Journal!$D$3:$D$143,Journal!$A$3:$A$143,$B9,Journal!$F$3:$F$143,AS$3))</f>
        <v/>
      </c>
      <c r="AU9" s="86" t="str">
        <f>IF(SUMIFS(Journal!$D$3:$D$143,Journal!$A$3:$A$143,$B9,Journal!$E$3:$E$143,AU$3)=0,"",SUMIFS(Journal!$D$3:$D$143,Journal!$A$3:$A$143,$B9,Journal!$E$3:$E$143,AU$3))</f>
        <v/>
      </c>
      <c r="AV9" s="86" t="str">
        <f>IF(SUMIFS(Journal!$D$3:$D$143,Journal!$A$3:$A$143,$B9,Journal!$F$3:$F$143,AU$3)=0,"",SUMIFS(Journal!$D$3:$D$143,Journal!$A$3:$A$143,$B9,Journal!$F$3:$F$143,AU$3))</f>
        <v/>
      </c>
      <c r="AW9" s="86" t="str">
        <f>IF(SUMIFS(Journal!$D$3:$D$143,Journal!$A$3:$A$143,$B9,Journal!$E$3:$E$143,AW$3)=0,"",SUMIFS(Journal!$D$3:$D$143,Journal!$A$3:$A$143,$B9,Journal!$E$3:$E$143,AW$3))</f>
        <v/>
      </c>
      <c r="AX9" s="86" t="str">
        <f>IF(SUMIFS(Journal!$D$3:$D$143,Journal!$A$3:$A$143,$B9,Journal!$F$3:$F$143,AW$3)=0,"",SUMIFS(Journal!$D$3:$D$143,Journal!$A$3:$A$143,$B9,Journal!$F$3:$F$143,AW$3))</f>
        <v/>
      </c>
      <c r="AY9" s="86" t="str">
        <f>IF(SUMIFS(Journal!$D$3:$D$143,Journal!$A$3:$A$143,$B9,Journal!$E$3:$E$143,AY$3)=0,"",SUMIFS(Journal!$D$3:$D$143,Journal!$A$3:$A$143,$B9,Journal!$E$3:$E$143,AY$3))</f>
        <v/>
      </c>
      <c r="AZ9" s="86" t="str">
        <f>IF(SUMIFS(Journal!$D$3:$D$143,Journal!$A$3:$A$143,$B9,Journal!$F$3:$F$143,AY$3)=0,"",SUMIFS(Journal!$D$3:$D$143,Journal!$A$3:$A$143,$B9,Journal!$F$3:$F$143,AY$3))</f>
        <v/>
      </c>
      <c r="BA9" s="86" t="str">
        <f>IF(SUMIFS(Journal!$D$3:$D$143,Journal!$A$3:$A$143,$B9,Journal!$E$3:$E$143,BA$3)=0,"",SUMIFS(Journal!$D$3:$D$143,Journal!$A$3:$A$143,$B9,Journal!$E$3:$E$143,BA$3))</f>
        <v/>
      </c>
      <c r="BB9" s="86" t="str">
        <f>IF(SUMIFS(Journal!$D$3:$D$143,Journal!$A$3:$A$143,$B9,Journal!$F$3:$F$143,BA$3)=0,"",SUMIFS(Journal!$D$3:$D$143,Journal!$A$3:$A$143,$B9,Journal!$F$3:$F$143,BA$3))</f>
        <v/>
      </c>
      <c r="BD9" s="67" t="s">
        <v>21</v>
      </c>
    </row>
    <row r="10">
      <c r="A10" s="84">
        <f>VLOOKUP(B10,Journal!$A$3:$C$143,2,FALSE)</f>
        <v>45297</v>
      </c>
      <c r="B10" s="85" t="s">
        <v>115</v>
      </c>
      <c r="C10" s="86" t="str">
        <f>VLOOKUP(B10,Journal!$A$3:$C$143,3,FALSE)</f>
        <v>Monthly business insurance premium</v>
      </c>
      <c r="D10" s="86">
        <f>SUMIF(Journal!$A$3:$A$143,B10,Journal!$D$3:$D$143)</f>
        <v>600</v>
      </c>
      <c r="E10" s="86" t="str">
        <f>IF(SUMIFS(Journal!$D$3:$D$143,Journal!$A$3:$A$143,$B10,Journal!$E$3:$E$143,E$3)=0,"",SUMIFS(Journal!$D$3:$D$143,Journal!$A$3:$A$143,$B10,Journal!$E$3:$E$143,E$3))</f>
        <v/>
      </c>
      <c r="F10" s="86">
        <f>IF(SUMIFS(Journal!$D$3:$D$143,Journal!$A$3:$A$143,$B10,Journal!$F$3:$F$143,E$3)=0,"",SUMIFS(Journal!$D$3:$D$143,Journal!$A$3:$A$143,$B10,Journal!$F$3:$F$143,E$3))</f>
        <v>600</v>
      </c>
      <c r="G10" s="86" t="str">
        <f>IF(SUMIFS(Journal!$D$3:$D$143,Journal!$A$3:$A$143,$B10,Journal!$E$3:$E$143,G$3)=0,"",SUMIFS(Journal!$D$3:$D$143,Journal!$A$3:$A$143,$B10,Journal!$E$3:$E$143,G$3))</f>
        <v/>
      </c>
      <c r="H10" s="86" t="str">
        <f>IF(SUMIFS(Journal!$D$3:$D$143,Journal!$A$3:$A$143,$B10,Journal!$F$3:$F$143,G$3)=0,"",SUMIFS(Journal!$D$3:$D$143,Journal!$A$3:$A$143,$B10,Journal!$F$3:$F$143,G$3))</f>
        <v/>
      </c>
      <c r="I10" s="86" t="str">
        <f>IF(SUMIFS(Journal!$D$3:$D$143,Journal!$A$3:$A$143,$B10,Journal!$E$3:$E$143,I$3)=0,"",SUMIFS(Journal!$D$3:$D$143,Journal!$A$3:$A$143,$B10,Journal!$E$3:$E$143,I$3))</f>
        <v/>
      </c>
      <c r="J10" s="86" t="str">
        <f>IF(SUMIFS(Journal!$D$3:$D$143,Journal!$A$3:$A$143,$B10,Journal!$F$3:$F$143,I$3)=0,"",SUMIFS(Journal!$D$3:$D$143,Journal!$A$3:$A$143,$B10,Journal!$F$3:$F$143,I$3))</f>
        <v/>
      </c>
      <c r="K10" s="86" t="str">
        <f>IF(SUMIFS(Journal!$D$3:$D$143,Journal!$A$3:$A$143,$B10,Journal!$E$3:$E$143,K$3)=0,"",SUMIFS(Journal!$D$3:$D$143,Journal!$A$3:$A$143,$B10,Journal!$E$3:$E$143,K$3))</f>
        <v/>
      </c>
      <c r="L10" s="86" t="str">
        <f>IF(SUMIFS(Journal!$D$3:$D$143,Journal!$A$3:$A$143,$B10,Journal!$F$3:$F$143,K$3)=0,"",SUMIFS(Journal!$D$3:$D$143,Journal!$A$3:$A$143,$B10,Journal!$F$3:$F$143,K$3))</f>
        <v/>
      </c>
      <c r="M10" s="86" t="str">
        <f>IF(SUMIFS(Journal!$D$3:$D$143,Journal!$A$3:$A$143,$B10,Journal!$E$3:$E$143,M$3)=0,"",SUMIFS(Journal!$D$3:$D$143,Journal!$A$3:$A$143,$B10,Journal!$E$3:$E$143,M$3))</f>
        <v/>
      </c>
      <c r="N10" s="86" t="str">
        <f>IF(SUMIFS(Journal!$D$3:$D$143,Journal!$A$3:$A$143,$B10,Journal!$F$3:$F$143,M$3)=0,"",SUMIFS(Journal!$D$3:$D$143,Journal!$A$3:$A$143,$B10,Journal!$F$3:$F$143,M$3))</f>
        <v/>
      </c>
      <c r="O10" s="86" t="str">
        <f>IF(SUMIFS(Journal!$D$3:$D$143,Journal!$A$3:$A$143,$B10,Journal!$E$3:$E$143,O$3)=0,"",SUMIFS(Journal!$D$3:$D$143,Journal!$A$3:$A$143,$B10,Journal!$E$3:$E$143,O$3))</f>
        <v/>
      </c>
      <c r="P10" s="86" t="str">
        <f>IF(SUMIFS(Journal!$D$3:$D$143,Journal!$A$3:$A$143,$B10,Journal!$F$3:$F$143,O$3)=0,"",SUMIFS(Journal!$D$3:$D$143,Journal!$A$3:$A$143,$B10,Journal!$F$3:$F$143,O$3))</f>
        <v/>
      </c>
      <c r="Q10" s="86" t="str">
        <f>IF(SUMIFS(Journal!$D$3:$D$143,Journal!$A$3:$A$143,$B10,Journal!$E$3:$E$143,Q$3)=0,"",SUMIFS(Journal!$D$3:$D$143,Journal!$A$3:$A$143,$B10,Journal!$E$3:$E$143,Q$3))</f>
        <v/>
      </c>
      <c r="R10" s="86" t="str">
        <f>IF(SUMIFS(Journal!$D$3:$D$143,Journal!$A$3:$A$143,$B10,Journal!$F$3:$F$143,Q$3)=0,"",SUMIFS(Journal!$D$3:$D$143,Journal!$A$3:$A$143,$B10,Journal!$F$3:$F$143,Q$3))</f>
        <v/>
      </c>
      <c r="S10" s="86" t="str">
        <f>IF(SUMIFS(Journal!$D$3:$D$143,Journal!$A$3:$A$143,$B10,Journal!$E$3:$E$143,S$3)=0,"",SUMIFS(Journal!$D$3:$D$143,Journal!$A$3:$A$143,$B10,Journal!$E$3:$E$143,S$3))</f>
        <v/>
      </c>
      <c r="T10" s="86" t="str">
        <f>IF(SUMIFS(Journal!$D$3:$D$143,Journal!$A$3:$A$143,$B10,Journal!$F$3:$F$143,S$3)=0,"",SUMIFS(Journal!$D$3:$D$143,Journal!$A$3:$A$143,$B10,Journal!$F$3:$F$143,S$3))</f>
        <v/>
      </c>
      <c r="U10" s="86" t="str">
        <f>IF(SUMIFS(Journal!$D$3:$D$143,Journal!$A$3:$A$143,$B10,Journal!$E$3:$E$143,U$3)=0,"",SUMIFS(Journal!$D$3:$D$143,Journal!$A$3:$A$143,$B10,Journal!$E$3:$E$143,U$3))</f>
        <v/>
      </c>
      <c r="V10" s="86" t="str">
        <f>IF(SUMIFS(Journal!$D$3:$D$143,Journal!$A$3:$A$143,$B10,Journal!$F$3:$F$143,U$3)=0,"",SUMIFS(Journal!$D$3:$D$143,Journal!$A$3:$A$143,$B10,Journal!$F$3:$F$143,U$3))</f>
        <v/>
      </c>
      <c r="W10" s="86" t="str">
        <f>IF(SUMIFS(Journal!$D$3:$D$143,Journal!$A$3:$A$143,$B10,Journal!$E$3:$E$143,W$3)=0,"",SUMIFS(Journal!$D$3:$D$143,Journal!$A$3:$A$143,$B10,Journal!$E$3:$E$143,W$3))</f>
        <v/>
      </c>
      <c r="X10" s="86" t="str">
        <f>IF(SUMIFS(Journal!$D$3:$D$143,Journal!$A$3:$A$143,$B10,Journal!$F$3:$F$143,W$3)=0,"",SUMIFS(Journal!$D$3:$D$143,Journal!$A$3:$A$143,$B10,Journal!$F$3:$F$143,W$3))</f>
        <v/>
      </c>
      <c r="Y10" s="86" t="str">
        <f>IF(SUMIFS(Journal!$D$3:$D$143,Journal!$A$3:$A$143,$B10,Journal!$E$3:$E$143,Y$3)=0,"",SUMIFS(Journal!$D$3:$D$143,Journal!$A$3:$A$143,$B10,Journal!$E$3:$E$143,Y$3))</f>
        <v/>
      </c>
      <c r="Z10" s="86" t="str">
        <f>IF(SUMIFS(Journal!$D$3:$D$143,Journal!$A$3:$A$143,$B10,Journal!$F$3:$F$143,Y$3)=0,"",SUMIFS(Journal!$D$3:$D$143,Journal!$A$3:$A$143,$B10,Journal!$F$3:$F$143,Y$3))</f>
        <v/>
      </c>
      <c r="AA10" s="86" t="str">
        <f>IF(SUMIFS(Journal!$D$3:$D$143,Journal!$A$3:$A$143,$B10,Journal!$E$3:$E$143,AA$3)=0,"",SUMIFS(Journal!$D$3:$D$143,Journal!$A$3:$A$143,$B10,Journal!$E$3:$E$143,AA$3))</f>
        <v/>
      </c>
      <c r="AB10" s="86" t="str">
        <f>IF(SUMIFS(Journal!$D$3:$D$143,Journal!$A$3:$A$143,$B10,Journal!$F$3:$F$143,AA$3)=0,"",SUMIFS(Journal!$D$3:$D$143,Journal!$A$3:$A$143,$B10,Journal!$F$3:$F$143,AA$3))</f>
        <v/>
      </c>
      <c r="AC10" s="86" t="str">
        <f>IF(SUMIFS(Journal!$D$3:$D$143,Journal!$A$3:$A$143,$B10,Journal!$E$3:$E$143,AC$3)=0,"",SUMIFS(Journal!$D$3:$D$143,Journal!$A$3:$A$143,$B10,Journal!$E$3:$E$143,AC$3))</f>
        <v/>
      </c>
      <c r="AD10" s="86" t="str">
        <f>IF(SUMIFS(Journal!$D$3:$D$143,Journal!$A$3:$A$143,$B10,Journal!$F$3:$F$143,AC$3)=0,"",SUMIFS(Journal!$D$3:$D$143,Journal!$A$3:$A$143,$B10,Journal!$F$3:$F$143,AC$3))</f>
        <v/>
      </c>
      <c r="AE10" s="86" t="str">
        <f>IF(SUMIFS(Journal!$D$3:$D$143,Journal!$A$3:$A$143,$B10,Journal!$E$3:$E$143,AE$3)=0,"",SUMIFS(Journal!$D$3:$D$143,Journal!$A$3:$A$143,$B10,Journal!$E$3:$E$143,AE$3))</f>
        <v/>
      </c>
      <c r="AF10" s="86" t="str">
        <f>IF(SUMIFS(Journal!$D$3:$D$143,Journal!$A$3:$A$143,$B10,Journal!$F$3:$F$143,AE$3)=0,"",SUMIFS(Journal!$D$3:$D$143,Journal!$A$3:$A$143,$B10,Journal!$F$3:$F$143,AE$3))</f>
        <v/>
      </c>
      <c r="AG10" s="86" t="str">
        <f>IF(SUMIFS(Journal!$D$3:$D$143,Journal!$A$3:$A$143,$B10,Journal!$E$3:$E$143,AG$3)=0,"",SUMIFS(Journal!$D$3:$D$143,Journal!$A$3:$A$143,$B10,Journal!$E$3:$E$143,AG$3))</f>
        <v/>
      </c>
      <c r="AH10" s="86" t="str">
        <f>IF(SUMIFS(Journal!$D$3:$D$143,Journal!$A$3:$A$143,$B10,Journal!$F$3:$F$143,AG$3)=0,"",SUMIFS(Journal!$D$3:$D$143,Journal!$A$3:$A$143,$B10,Journal!$F$3:$F$143,AG$3))</f>
        <v/>
      </c>
      <c r="AI10" s="86" t="str">
        <f>IF(SUMIFS(Journal!$D$3:$D$143,Journal!$A$3:$A$143,$B10,Journal!$E$3:$E$143,AI$3)=0,"",SUMIFS(Journal!$D$3:$D$143,Journal!$A$3:$A$143,$B10,Journal!$E$3:$E$143,AI$3))</f>
        <v/>
      </c>
      <c r="AJ10" s="86" t="str">
        <f>IF(SUMIFS(Journal!$D$3:$D$143,Journal!$A$3:$A$143,$B10,Journal!$F$3:$F$143,AI$3)=0,"",SUMIFS(Journal!$D$3:$D$143,Journal!$A$3:$A$143,$B10,Journal!$F$3:$F$143,AI$3))</f>
        <v/>
      </c>
      <c r="AK10" s="86">
        <f>IF(SUMIFS(Journal!$D$3:$D$143,Journal!$A$3:$A$143,$B10,Journal!$E$3:$E$143,AK$3)=0,"",SUMIFS(Journal!$D$3:$D$143,Journal!$A$3:$A$143,$B10,Journal!$E$3:$E$143,AK$3))</f>
        <v>600</v>
      </c>
      <c r="AL10" s="86" t="str">
        <f>IF(SUMIFS(Journal!$D$3:$D$143,Journal!$A$3:$A$143,$B10,Journal!$F$3:$F$143,AK$3)=0,"",SUMIFS(Journal!$D$3:$D$143,Journal!$A$3:$A$143,$B10,Journal!$F$3:$F$143,AK$3))</f>
        <v/>
      </c>
      <c r="AM10" s="86" t="str">
        <f>IF(SUMIFS(Journal!$D$3:$D$143,Journal!$A$3:$A$143,$B10,Journal!$E$3:$E$143,AM$3)=0,"",SUMIFS(Journal!$D$3:$D$143,Journal!$A$3:$A$143,$B10,Journal!$E$3:$E$143,AM$3))</f>
        <v/>
      </c>
      <c r="AN10" s="86" t="str">
        <f>IF(SUMIFS(Journal!$D$3:$D$143,Journal!$A$3:$A$143,$B10,Journal!$F$3:$F$143,AM$3)=0,"",SUMIFS(Journal!$D$3:$D$143,Journal!$A$3:$A$143,$B10,Journal!$F$3:$F$143,AM$3))</f>
        <v/>
      </c>
      <c r="AO10" s="86" t="str">
        <f>IF(SUMIFS(Journal!$D$3:$D$143,Journal!$A$3:$A$143,$B10,Journal!$E$3:$E$143,AO$3)=0,"",SUMIFS(Journal!$D$3:$D$143,Journal!$A$3:$A$143,$B10,Journal!$E$3:$E$143,AO$3))</f>
        <v/>
      </c>
      <c r="AP10" s="86" t="str">
        <f>IF(SUMIFS(Journal!$D$3:$D$143,Journal!$A$3:$A$143,$B10,Journal!$F$3:$F$143,AO$3)=0,"",SUMIFS(Journal!$D$3:$D$143,Journal!$A$3:$A$143,$B10,Journal!$F$3:$F$143,AO$3))</f>
        <v/>
      </c>
      <c r="AQ10" s="86" t="str">
        <f>IF(SUMIFS(Journal!$D$3:$D$143,Journal!$A$3:$A$143,$B10,Journal!$E$3:$E$143,AQ$3)=0,"",SUMIFS(Journal!$D$3:$D$143,Journal!$A$3:$A$143,$B10,Journal!$E$3:$E$143,AQ$3))</f>
        <v/>
      </c>
      <c r="AR10" s="86" t="str">
        <f>IF(SUMIFS(Journal!$D$3:$D$143,Journal!$A$3:$A$143,$B10,Journal!$F$3:$F$143,AQ$3)=0,"",SUMIFS(Journal!$D$3:$D$143,Journal!$A$3:$A$143,$B10,Journal!$F$3:$F$143,AQ$3))</f>
        <v/>
      </c>
      <c r="AS10" s="86" t="str">
        <f>IF(SUMIFS(Journal!$D$3:$D$143,Journal!$A$3:$A$143,$B10,Journal!$E$3:$E$143,AS$3)=0,"",SUMIFS(Journal!$D$3:$D$143,Journal!$A$3:$A$143,$B10,Journal!$E$3:$E$143,AS$3))</f>
        <v/>
      </c>
      <c r="AT10" s="86" t="str">
        <f>IF(SUMIFS(Journal!$D$3:$D$143,Journal!$A$3:$A$143,$B10,Journal!$F$3:$F$143,AS$3)=0,"",SUMIFS(Journal!$D$3:$D$143,Journal!$A$3:$A$143,$B10,Journal!$F$3:$F$143,AS$3))</f>
        <v/>
      </c>
      <c r="AU10" s="86" t="str">
        <f>IF(SUMIFS(Journal!$D$3:$D$143,Journal!$A$3:$A$143,$B10,Journal!$E$3:$E$143,AU$3)=0,"",SUMIFS(Journal!$D$3:$D$143,Journal!$A$3:$A$143,$B10,Journal!$E$3:$E$143,AU$3))</f>
        <v/>
      </c>
      <c r="AV10" s="86" t="str">
        <f>IF(SUMIFS(Journal!$D$3:$D$143,Journal!$A$3:$A$143,$B10,Journal!$F$3:$F$143,AU$3)=0,"",SUMIFS(Journal!$D$3:$D$143,Journal!$A$3:$A$143,$B10,Journal!$F$3:$F$143,AU$3))</f>
        <v/>
      </c>
      <c r="AW10" s="86" t="str">
        <f>IF(SUMIFS(Journal!$D$3:$D$143,Journal!$A$3:$A$143,$B10,Journal!$E$3:$E$143,AW$3)=0,"",SUMIFS(Journal!$D$3:$D$143,Journal!$A$3:$A$143,$B10,Journal!$E$3:$E$143,AW$3))</f>
        <v/>
      </c>
      <c r="AX10" s="86" t="str">
        <f>IF(SUMIFS(Journal!$D$3:$D$143,Journal!$A$3:$A$143,$B10,Journal!$F$3:$F$143,AW$3)=0,"",SUMIFS(Journal!$D$3:$D$143,Journal!$A$3:$A$143,$B10,Journal!$F$3:$F$143,AW$3))</f>
        <v/>
      </c>
      <c r="AY10" s="86" t="str">
        <f>IF(SUMIFS(Journal!$D$3:$D$143,Journal!$A$3:$A$143,$B10,Journal!$E$3:$E$143,AY$3)=0,"",SUMIFS(Journal!$D$3:$D$143,Journal!$A$3:$A$143,$B10,Journal!$E$3:$E$143,AY$3))</f>
        <v/>
      </c>
      <c r="AZ10" s="86" t="str">
        <f>IF(SUMIFS(Journal!$D$3:$D$143,Journal!$A$3:$A$143,$B10,Journal!$F$3:$F$143,AY$3)=0,"",SUMIFS(Journal!$D$3:$D$143,Journal!$A$3:$A$143,$B10,Journal!$F$3:$F$143,AY$3))</f>
        <v/>
      </c>
      <c r="BA10" s="86" t="str">
        <f>IF(SUMIFS(Journal!$D$3:$D$143,Journal!$A$3:$A$143,$B10,Journal!$E$3:$E$143,BA$3)=0,"",SUMIFS(Journal!$D$3:$D$143,Journal!$A$3:$A$143,$B10,Journal!$E$3:$E$143,BA$3))</f>
        <v/>
      </c>
      <c r="BB10" s="86" t="str">
        <f>IF(SUMIFS(Journal!$D$3:$D$143,Journal!$A$3:$A$143,$B10,Journal!$F$3:$F$143,BA$3)=0,"",SUMIFS(Journal!$D$3:$D$143,Journal!$A$3:$A$143,$B10,Journal!$F$3:$F$143,BA$3))</f>
        <v/>
      </c>
      <c r="BD10" s="67" t="s">
        <v>71</v>
      </c>
    </row>
    <row r="11">
      <c r="A11" s="84">
        <f>VLOOKUP(B11,Journal!$A$3:$C$143,2,FALSE)</f>
        <v>45299</v>
      </c>
      <c r="B11" s="85" t="s">
        <v>131</v>
      </c>
      <c r="C11" s="86" t="str">
        <f>VLOOKUP(B11,Journal!$A$3:$C$143,3,FALSE)</f>
        <v>Purchased mountain-bike fleet</v>
      </c>
      <c r="D11" s="86">
        <f>SUMIF(Journal!$A$3:$A$143,B11,Journal!$D$3:$D$143)</f>
        <v>30000</v>
      </c>
      <c r="E11" s="86" t="str">
        <f>IF(SUMIFS(Journal!$D$3:$D$143,Journal!$A$3:$A$143,$B11,Journal!$E$3:$E$143,E$3)=0,"",SUMIFS(Journal!$D$3:$D$143,Journal!$A$3:$A$143,$B11,Journal!$E$3:$E$143,E$3))</f>
        <v/>
      </c>
      <c r="F11" s="86">
        <f>IF(SUMIFS(Journal!$D$3:$D$143,Journal!$A$3:$A$143,$B11,Journal!$F$3:$F$143,E$3)=0,"",SUMIFS(Journal!$D$3:$D$143,Journal!$A$3:$A$143,$B11,Journal!$F$3:$F$143,E$3))</f>
        <v>10000</v>
      </c>
      <c r="G11" s="86" t="str">
        <f>IF(SUMIFS(Journal!$D$3:$D$143,Journal!$A$3:$A$143,$B11,Journal!$E$3:$E$143,G$3)=0,"",SUMIFS(Journal!$D$3:$D$143,Journal!$A$3:$A$143,$B11,Journal!$E$3:$E$143,G$3))</f>
        <v/>
      </c>
      <c r="H11" s="86" t="str">
        <f>IF(SUMIFS(Journal!$D$3:$D$143,Journal!$A$3:$A$143,$B11,Journal!$F$3:$F$143,G$3)=0,"",SUMIFS(Journal!$D$3:$D$143,Journal!$A$3:$A$143,$B11,Journal!$F$3:$F$143,G$3))</f>
        <v/>
      </c>
      <c r="I11" s="86" t="str">
        <f>IF(SUMIFS(Journal!$D$3:$D$143,Journal!$A$3:$A$143,$B11,Journal!$E$3:$E$143,I$3)=0,"",SUMIFS(Journal!$D$3:$D$143,Journal!$A$3:$A$143,$B11,Journal!$E$3:$E$143,I$3))</f>
        <v/>
      </c>
      <c r="J11" s="86" t="str">
        <f>IF(SUMIFS(Journal!$D$3:$D$143,Journal!$A$3:$A$143,$B11,Journal!$F$3:$F$143,I$3)=0,"",SUMIFS(Journal!$D$3:$D$143,Journal!$A$3:$A$143,$B11,Journal!$F$3:$F$143,I$3))</f>
        <v/>
      </c>
      <c r="K11" s="86" t="str">
        <f>IF(SUMIFS(Journal!$D$3:$D$143,Journal!$A$3:$A$143,$B11,Journal!$E$3:$E$143,K$3)=0,"",SUMIFS(Journal!$D$3:$D$143,Journal!$A$3:$A$143,$B11,Journal!$E$3:$E$143,K$3))</f>
        <v/>
      </c>
      <c r="L11" s="86" t="str">
        <f>IF(SUMIFS(Journal!$D$3:$D$143,Journal!$A$3:$A$143,$B11,Journal!$F$3:$F$143,K$3)=0,"",SUMIFS(Journal!$D$3:$D$143,Journal!$A$3:$A$143,$B11,Journal!$F$3:$F$143,K$3))</f>
        <v/>
      </c>
      <c r="M11" s="86">
        <f>IF(SUMIFS(Journal!$D$3:$D$143,Journal!$A$3:$A$143,$B11,Journal!$E$3:$E$143,M$3)=0,"",SUMIFS(Journal!$D$3:$D$143,Journal!$A$3:$A$143,$B11,Journal!$E$3:$E$143,M$3))</f>
        <v>30000</v>
      </c>
      <c r="N11" s="86" t="str">
        <f>IF(SUMIFS(Journal!$D$3:$D$143,Journal!$A$3:$A$143,$B11,Journal!$F$3:$F$143,M$3)=0,"",SUMIFS(Journal!$D$3:$D$143,Journal!$A$3:$A$143,$B11,Journal!$F$3:$F$143,M$3))</f>
        <v/>
      </c>
      <c r="O11" s="86" t="str">
        <f>IF(SUMIFS(Journal!$D$3:$D$143,Journal!$A$3:$A$143,$B11,Journal!$E$3:$E$143,O$3)=0,"",SUMIFS(Journal!$D$3:$D$143,Journal!$A$3:$A$143,$B11,Journal!$E$3:$E$143,O$3))</f>
        <v/>
      </c>
      <c r="P11" s="86" t="str">
        <f>IF(SUMIFS(Journal!$D$3:$D$143,Journal!$A$3:$A$143,$B11,Journal!$F$3:$F$143,O$3)=0,"",SUMIFS(Journal!$D$3:$D$143,Journal!$A$3:$A$143,$B11,Journal!$F$3:$F$143,O$3))</f>
        <v/>
      </c>
      <c r="Q11" s="86" t="str">
        <f>IF(SUMIFS(Journal!$D$3:$D$143,Journal!$A$3:$A$143,$B11,Journal!$E$3:$E$143,Q$3)=0,"",SUMIFS(Journal!$D$3:$D$143,Journal!$A$3:$A$143,$B11,Journal!$E$3:$E$143,Q$3))</f>
        <v/>
      </c>
      <c r="R11" s="86" t="str">
        <f>IF(SUMIFS(Journal!$D$3:$D$143,Journal!$A$3:$A$143,$B11,Journal!$F$3:$F$143,Q$3)=0,"",SUMIFS(Journal!$D$3:$D$143,Journal!$A$3:$A$143,$B11,Journal!$F$3:$F$143,Q$3))</f>
        <v/>
      </c>
      <c r="S11" s="86" t="str">
        <f>IF(SUMIFS(Journal!$D$3:$D$143,Journal!$A$3:$A$143,$B11,Journal!$E$3:$E$143,S$3)=0,"",SUMIFS(Journal!$D$3:$D$143,Journal!$A$3:$A$143,$B11,Journal!$E$3:$E$143,S$3))</f>
        <v/>
      </c>
      <c r="T11" s="86">
        <f>IF(SUMIFS(Journal!$D$3:$D$143,Journal!$A$3:$A$143,$B11,Journal!$F$3:$F$143,S$3)=0,"",SUMIFS(Journal!$D$3:$D$143,Journal!$A$3:$A$143,$B11,Journal!$F$3:$F$143,S$3))</f>
        <v>20000</v>
      </c>
      <c r="U11" s="86" t="str">
        <f>IF(SUMIFS(Journal!$D$3:$D$143,Journal!$A$3:$A$143,$B11,Journal!$E$3:$E$143,U$3)=0,"",SUMIFS(Journal!$D$3:$D$143,Journal!$A$3:$A$143,$B11,Journal!$E$3:$E$143,U$3))</f>
        <v/>
      </c>
      <c r="V11" s="86" t="str">
        <f>IF(SUMIFS(Journal!$D$3:$D$143,Journal!$A$3:$A$143,$B11,Journal!$F$3:$F$143,U$3)=0,"",SUMIFS(Journal!$D$3:$D$143,Journal!$A$3:$A$143,$B11,Journal!$F$3:$F$143,U$3))</f>
        <v/>
      </c>
      <c r="W11" s="86" t="str">
        <f>IF(SUMIFS(Journal!$D$3:$D$143,Journal!$A$3:$A$143,$B11,Journal!$E$3:$E$143,W$3)=0,"",SUMIFS(Journal!$D$3:$D$143,Journal!$A$3:$A$143,$B11,Journal!$E$3:$E$143,W$3))</f>
        <v/>
      </c>
      <c r="X11" s="86" t="str">
        <f>IF(SUMIFS(Journal!$D$3:$D$143,Journal!$A$3:$A$143,$B11,Journal!$F$3:$F$143,W$3)=0,"",SUMIFS(Journal!$D$3:$D$143,Journal!$A$3:$A$143,$B11,Journal!$F$3:$F$143,W$3))</f>
        <v/>
      </c>
      <c r="Y11" s="86" t="str">
        <f>IF(SUMIFS(Journal!$D$3:$D$143,Journal!$A$3:$A$143,$B11,Journal!$E$3:$E$143,Y$3)=0,"",SUMIFS(Journal!$D$3:$D$143,Journal!$A$3:$A$143,$B11,Journal!$E$3:$E$143,Y$3))</f>
        <v/>
      </c>
      <c r="Z11" s="86" t="str">
        <f>IF(SUMIFS(Journal!$D$3:$D$143,Journal!$A$3:$A$143,$B11,Journal!$F$3:$F$143,Y$3)=0,"",SUMIFS(Journal!$D$3:$D$143,Journal!$A$3:$A$143,$B11,Journal!$F$3:$F$143,Y$3))</f>
        <v/>
      </c>
      <c r="AA11" s="86" t="str">
        <f>IF(SUMIFS(Journal!$D$3:$D$143,Journal!$A$3:$A$143,$B11,Journal!$E$3:$E$143,AA$3)=0,"",SUMIFS(Journal!$D$3:$D$143,Journal!$A$3:$A$143,$B11,Journal!$E$3:$E$143,AA$3))</f>
        <v/>
      </c>
      <c r="AB11" s="86" t="str">
        <f>IF(SUMIFS(Journal!$D$3:$D$143,Journal!$A$3:$A$143,$B11,Journal!$F$3:$F$143,AA$3)=0,"",SUMIFS(Journal!$D$3:$D$143,Journal!$A$3:$A$143,$B11,Journal!$F$3:$F$143,AA$3))</f>
        <v/>
      </c>
      <c r="AC11" s="86" t="str">
        <f>IF(SUMIFS(Journal!$D$3:$D$143,Journal!$A$3:$A$143,$B11,Journal!$E$3:$E$143,AC$3)=0,"",SUMIFS(Journal!$D$3:$D$143,Journal!$A$3:$A$143,$B11,Journal!$E$3:$E$143,AC$3))</f>
        <v/>
      </c>
      <c r="AD11" s="86" t="str">
        <f>IF(SUMIFS(Journal!$D$3:$D$143,Journal!$A$3:$A$143,$B11,Journal!$F$3:$F$143,AC$3)=0,"",SUMIFS(Journal!$D$3:$D$143,Journal!$A$3:$A$143,$B11,Journal!$F$3:$F$143,AC$3))</f>
        <v/>
      </c>
      <c r="AE11" s="86" t="str">
        <f>IF(SUMIFS(Journal!$D$3:$D$143,Journal!$A$3:$A$143,$B11,Journal!$E$3:$E$143,AE$3)=0,"",SUMIFS(Journal!$D$3:$D$143,Journal!$A$3:$A$143,$B11,Journal!$E$3:$E$143,AE$3))</f>
        <v/>
      </c>
      <c r="AF11" s="86" t="str">
        <f>IF(SUMIFS(Journal!$D$3:$D$143,Journal!$A$3:$A$143,$B11,Journal!$F$3:$F$143,AE$3)=0,"",SUMIFS(Journal!$D$3:$D$143,Journal!$A$3:$A$143,$B11,Journal!$F$3:$F$143,AE$3))</f>
        <v/>
      </c>
      <c r="AG11" s="86" t="str">
        <f>IF(SUMIFS(Journal!$D$3:$D$143,Journal!$A$3:$A$143,$B11,Journal!$E$3:$E$143,AG$3)=0,"",SUMIFS(Journal!$D$3:$D$143,Journal!$A$3:$A$143,$B11,Journal!$E$3:$E$143,AG$3))</f>
        <v/>
      </c>
      <c r="AH11" s="86" t="str">
        <f>IF(SUMIFS(Journal!$D$3:$D$143,Journal!$A$3:$A$143,$B11,Journal!$F$3:$F$143,AG$3)=0,"",SUMIFS(Journal!$D$3:$D$143,Journal!$A$3:$A$143,$B11,Journal!$F$3:$F$143,AG$3))</f>
        <v/>
      </c>
      <c r="AI11" s="86" t="str">
        <f>IF(SUMIFS(Journal!$D$3:$D$143,Journal!$A$3:$A$143,$B11,Journal!$E$3:$E$143,AI$3)=0,"",SUMIFS(Journal!$D$3:$D$143,Journal!$A$3:$A$143,$B11,Journal!$E$3:$E$143,AI$3))</f>
        <v/>
      </c>
      <c r="AJ11" s="86" t="str">
        <f>IF(SUMIFS(Journal!$D$3:$D$143,Journal!$A$3:$A$143,$B11,Journal!$F$3:$F$143,AI$3)=0,"",SUMIFS(Journal!$D$3:$D$143,Journal!$A$3:$A$143,$B11,Journal!$F$3:$F$143,AI$3))</f>
        <v/>
      </c>
      <c r="AK11" s="86" t="str">
        <f>IF(SUMIFS(Journal!$D$3:$D$143,Journal!$A$3:$A$143,$B11,Journal!$E$3:$E$143,AK$3)=0,"",SUMIFS(Journal!$D$3:$D$143,Journal!$A$3:$A$143,$B11,Journal!$E$3:$E$143,AK$3))</f>
        <v/>
      </c>
      <c r="AL11" s="86" t="str">
        <f>IF(SUMIFS(Journal!$D$3:$D$143,Journal!$A$3:$A$143,$B11,Journal!$F$3:$F$143,AK$3)=0,"",SUMIFS(Journal!$D$3:$D$143,Journal!$A$3:$A$143,$B11,Journal!$F$3:$F$143,AK$3))</f>
        <v/>
      </c>
      <c r="AM11" s="86" t="str">
        <f>IF(SUMIFS(Journal!$D$3:$D$143,Journal!$A$3:$A$143,$B11,Journal!$E$3:$E$143,AM$3)=0,"",SUMIFS(Journal!$D$3:$D$143,Journal!$A$3:$A$143,$B11,Journal!$E$3:$E$143,AM$3))</f>
        <v/>
      </c>
      <c r="AN11" s="86" t="str">
        <f>IF(SUMIFS(Journal!$D$3:$D$143,Journal!$A$3:$A$143,$B11,Journal!$F$3:$F$143,AM$3)=0,"",SUMIFS(Journal!$D$3:$D$143,Journal!$A$3:$A$143,$B11,Journal!$F$3:$F$143,AM$3))</f>
        <v/>
      </c>
      <c r="AO11" s="86" t="str">
        <f>IF(SUMIFS(Journal!$D$3:$D$143,Journal!$A$3:$A$143,$B11,Journal!$E$3:$E$143,AO$3)=0,"",SUMIFS(Journal!$D$3:$D$143,Journal!$A$3:$A$143,$B11,Journal!$E$3:$E$143,AO$3))</f>
        <v/>
      </c>
      <c r="AP11" s="86" t="str">
        <f>IF(SUMIFS(Journal!$D$3:$D$143,Journal!$A$3:$A$143,$B11,Journal!$F$3:$F$143,AO$3)=0,"",SUMIFS(Journal!$D$3:$D$143,Journal!$A$3:$A$143,$B11,Journal!$F$3:$F$143,AO$3))</f>
        <v/>
      </c>
      <c r="AQ11" s="86" t="str">
        <f>IF(SUMIFS(Journal!$D$3:$D$143,Journal!$A$3:$A$143,$B11,Journal!$E$3:$E$143,AQ$3)=0,"",SUMIFS(Journal!$D$3:$D$143,Journal!$A$3:$A$143,$B11,Journal!$E$3:$E$143,AQ$3))</f>
        <v/>
      </c>
      <c r="AR11" s="86" t="str">
        <f>IF(SUMIFS(Journal!$D$3:$D$143,Journal!$A$3:$A$143,$B11,Journal!$F$3:$F$143,AQ$3)=0,"",SUMIFS(Journal!$D$3:$D$143,Journal!$A$3:$A$143,$B11,Journal!$F$3:$F$143,AQ$3))</f>
        <v/>
      </c>
      <c r="AS11" s="86" t="str">
        <f>IF(SUMIFS(Journal!$D$3:$D$143,Journal!$A$3:$A$143,$B11,Journal!$E$3:$E$143,AS$3)=0,"",SUMIFS(Journal!$D$3:$D$143,Journal!$A$3:$A$143,$B11,Journal!$E$3:$E$143,AS$3))</f>
        <v/>
      </c>
      <c r="AT11" s="86" t="str">
        <f>IF(SUMIFS(Journal!$D$3:$D$143,Journal!$A$3:$A$143,$B11,Journal!$F$3:$F$143,AS$3)=0,"",SUMIFS(Journal!$D$3:$D$143,Journal!$A$3:$A$143,$B11,Journal!$F$3:$F$143,AS$3))</f>
        <v/>
      </c>
      <c r="AU11" s="86" t="str">
        <f>IF(SUMIFS(Journal!$D$3:$D$143,Journal!$A$3:$A$143,$B11,Journal!$E$3:$E$143,AU$3)=0,"",SUMIFS(Journal!$D$3:$D$143,Journal!$A$3:$A$143,$B11,Journal!$E$3:$E$143,AU$3))</f>
        <v/>
      </c>
      <c r="AV11" s="86" t="str">
        <f>IF(SUMIFS(Journal!$D$3:$D$143,Journal!$A$3:$A$143,$B11,Journal!$F$3:$F$143,AU$3)=0,"",SUMIFS(Journal!$D$3:$D$143,Journal!$A$3:$A$143,$B11,Journal!$F$3:$F$143,AU$3))</f>
        <v/>
      </c>
      <c r="AW11" s="86" t="str">
        <f>IF(SUMIFS(Journal!$D$3:$D$143,Journal!$A$3:$A$143,$B11,Journal!$E$3:$E$143,AW$3)=0,"",SUMIFS(Journal!$D$3:$D$143,Journal!$A$3:$A$143,$B11,Journal!$E$3:$E$143,AW$3))</f>
        <v/>
      </c>
      <c r="AX11" s="86" t="str">
        <f>IF(SUMIFS(Journal!$D$3:$D$143,Journal!$A$3:$A$143,$B11,Journal!$F$3:$F$143,AW$3)=0,"",SUMIFS(Journal!$D$3:$D$143,Journal!$A$3:$A$143,$B11,Journal!$F$3:$F$143,AW$3))</f>
        <v/>
      </c>
      <c r="AY11" s="86" t="str">
        <f>IF(SUMIFS(Journal!$D$3:$D$143,Journal!$A$3:$A$143,$B11,Journal!$E$3:$E$143,AY$3)=0,"",SUMIFS(Journal!$D$3:$D$143,Journal!$A$3:$A$143,$B11,Journal!$E$3:$E$143,AY$3))</f>
        <v/>
      </c>
      <c r="AZ11" s="86" t="str">
        <f>IF(SUMIFS(Journal!$D$3:$D$143,Journal!$A$3:$A$143,$B11,Journal!$F$3:$F$143,AY$3)=0,"",SUMIFS(Journal!$D$3:$D$143,Journal!$A$3:$A$143,$B11,Journal!$F$3:$F$143,AY$3))</f>
        <v/>
      </c>
      <c r="BA11" s="86" t="str">
        <f>IF(SUMIFS(Journal!$D$3:$D$143,Journal!$A$3:$A$143,$B11,Journal!$E$3:$E$143,BA$3)=0,"",SUMIFS(Journal!$D$3:$D$143,Journal!$A$3:$A$143,$B11,Journal!$E$3:$E$143,BA$3))</f>
        <v/>
      </c>
      <c r="BB11" s="86" t="str">
        <f>IF(SUMIFS(Journal!$D$3:$D$143,Journal!$A$3:$A$143,$B11,Journal!$F$3:$F$143,BA$3)=0,"",SUMIFS(Journal!$D$3:$D$143,Journal!$A$3:$A$143,$B11,Journal!$F$3:$F$143,BA$3))</f>
        <v/>
      </c>
      <c r="BD11" s="67" t="s">
        <v>58</v>
      </c>
    </row>
    <row r="12">
      <c r="A12" s="84">
        <f>VLOOKUP(B12,Journal!$A$3:$C$143,2,FALSE)</f>
        <v>45301</v>
      </c>
      <c r="B12" s="85" t="s">
        <v>150</v>
      </c>
      <c r="C12" s="86" t="str">
        <f>VLOOKUP(B12,Journal!$A$3:$C$143,3,FALSE)</f>
        <v>Purchased kayak fleet</v>
      </c>
      <c r="D12" s="86">
        <f>SUMIF(Journal!$A$3:$A$143,B12,Journal!$D$3:$D$143)</f>
        <v>18000</v>
      </c>
      <c r="E12" s="86" t="str">
        <f>IF(SUMIFS(Journal!$D$3:$D$143,Journal!$A$3:$A$143,$B12,Journal!$E$3:$E$143,E$3)=0,"",SUMIFS(Journal!$D$3:$D$143,Journal!$A$3:$A$143,$B12,Journal!$E$3:$E$143,E$3))</f>
        <v/>
      </c>
      <c r="F12" s="86">
        <f>IF(SUMIFS(Journal!$D$3:$D$143,Journal!$A$3:$A$143,$B12,Journal!$F$3:$F$143,E$3)=0,"",SUMIFS(Journal!$D$3:$D$143,Journal!$A$3:$A$143,$B12,Journal!$F$3:$F$143,E$3))</f>
        <v>18000</v>
      </c>
      <c r="G12" s="86" t="str">
        <f>IF(SUMIFS(Journal!$D$3:$D$143,Journal!$A$3:$A$143,$B12,Journal!$E$3:$E$143,G$3)=0,"",SUMIFS(Journal!$D$3:$D$143,Journal!$A$3:$A$143,$B12,Journal!$E$3:$E$143,G$3))</f>
        <v/>
      </c>
      <c r="H12" s="86" t="str">
        <f>IF(SUMIFS(Journal!$D$3:$D$143,Journal!$A$3:$A$143,$B12,Journal!$F$3:$F$143,G$3)=0,"",SUMIFS(Journal!$D$3:$D$143,Journal!$A$3:$A$143,$B12,Journal!$F$3:$F$143,G$3))</f>
        <v/>
      </c>
      <c r="I12" s="86" t="str">
        <f>IF(SUMIFS(Journal!$D$3:$D$143,Journal!$A$3:$A$143,$B12,Journal!$E$3:$E$143,I$3)=0,"",SUMIFS(Journal!$D$3:$D$143,Journal!$A$3:$A$143,$B12,Journal!$E$3:$E$143,I$3))</f>
        <v/>
      </c>
      <c r="J12" s="86" t="str">
        <f>IF(SUMIFS(Journal!$D$3:$D$143,Journal!$A$3:$A$143,$B12,Journal!$F$3:$F$143,I$3)=0,"",SUMIFS(Journal!$D$3:$D$143,Journal!$A$3:$A$143,$B12,Journal!$F$3:$F$143,I$3))</f>
        <v/>
      </c>
      <c r="K12" s="86" t="str">
        <f>IF(SUMIFS(Journal!$D$3:$D$143,Journal!$A$3:$A$143,$B12,Journal!$E$3:$E$143,K$3)=0,"",SUMIFS(Journal!$D$3:$D$143,Journal!$A$3:$A$143,$B12,Journal!$E$3:$E$143,K$3))</f>
        <v/>
      </c>
      <c r="L12" s="86" t="str">
        <f>IF(SUMIFS(Journal!$D$3:$D$143,Journal!$A$3:$A$143,$B12,Journal!$F$3:$F$143,K$3)=0,"",SUMIFS(Journal!$D$3:$D$143,Journal!$A$3:$A$143,$B12,Journal!$F$3:$F$143,K$3))</f>
        <v/>
      </c>
      <c r="M12" s="86">
        <f>IF(SUMIFS(Journal!$D$3:$D$143,Journal!$A$3:$A$143,$B12,Journal!$E$3:$E$143,M$3)=0,"",SUMIFS(Journal!$D$3:$D$143,Journal!$A$3:$A$143,$B12,Journal!$E$3:$E$143,M$3))</f>
        <v>18000</v>
      </c>
      <c r="N12" s="86" t="str">
        <f>IF(SUMIFS(Journal!$D$3:$D$143,Journal!$A$3:$A$143,$B12,Journal!$F$3:$F$143,M$3)=0,"",SUMIFS(Journal!$D$3:$D$143,Journal!$A$3:$A$143,$B12,Journal!$F$3:$F$143,M$3))</f>
        <v/>
      </c>
      <c r="O12" s="86" t="str">
        <f>IF(SUMIFS(Journal!$D$3:$D$143,Journal!$A$3:$A$143,$B12,Journal!$E$3:$E$143,O$3)=0,"",SUMIFS(Journal!$D$3:$D$143,Journal!$A$3:$A$143,$B12,Journal!$E$3:$E$143,O$3))</f>
        <v/>
      </c>
      <c r="P12" s="86" t="str">
        <f>IF(SUMIFS(Journal!$D$3:$D$143,Journal!$A$3:$A$143,$B12,Journal!$F$3:$F$143,O$3)=0,"",SUMIFS(Journal!$D$3:$D$143,Journal!$A$3:$A$143,$B12,Journal!$F$3:$F$143,O$3))</f>
        <v/>
      </c>
      <c r="Q12" s="86" t="str">
        <f>IF(SUMIFS(Journal!$D$3:$D$143,Journal!$A$3:$A$143,$B12,Journal!$E$3:$E$143,Q$3)=0,"",SUMIFS(Journal!$D$3:$D$143,Journal!$A$3:$A$143,$B12,Journal!$E$3:$E$143,Q$3))</f>
        <v/>
      </c>
      <c r="R12" s="86" t="str">
        <f>IF(SUMIFS(Journal!$D$3:$D$143,Journal!$A$3:$A$143,$B12,Journal!$F$3:$F$143,Q$3)=0,"",SUMIFS(Journal!$D$3:$D$143,Journal!$A$3:$A$143,$B12,Journal!$F$3:$F$143,Q$3))</f>
        <v/>
      </c>
      <c r="S12" s="86" t="str">
        <f>IF(SUMIFS(Journal!$D$3:$D$143,Journal!$A$3:$A$143,$B12,Journal!$E$3:$E$143,S$3)=0,"",SUMIFS(Journal!$D$3:$D$143,Journal!$A$3:$A$143,$B12,Journal!$E$3:$E$143,S$3))</f>
        <v/>
      </c>
      <c r="T12" s="86" t="str">
        <f>IF(SUMIFS(Journal!$D$3:$D$143,Journal!$A$3:$A$143,$B12,Journal!$F$3:$F$143,S$3)=0,"",SUMIFS(Journal!$D$3:$D$143,Journal!$A$3:$A$143,$B12,Journal!$F$3:$F$143,S$3))</f>
        <v/>
      </c>
      <c r="U12" s="86" t="str">
        <f>IF(SUMIFS(Journal!$D$3:$D$143,Journal!$A$3:$A$143,$B12,Journal!$E$3:$E$143,U$3)=0,"",SUMIFS(Journal!$D$3:$D$143,Journal!$A$3:$A$143,$B12,Journal!$E$3:$E$143,U$3))</f>
        <v/>
      </c>
      <c r="V12" s="86" t="str">
        <f>IF(SUMIFS(Journal!$D$3:$D$143,Journal!$A$3:$A$143,$B12,Journal!$F$3:$F$143,U$3)=0,"",SUMIFS(Journal!$D$3:$D$143,Journal!$A$3:$A$143,$B12,Journal!$F$3:$F$143,U$3))</f>
        <v/>
      </c>
      <c r="W12" s="86" t="str">
        <f>IF(SUMIFS(Journal!$D$3:$D$143,Journal!$A$3:$A$143,$B12,Journal!$E$3:$E$143,W$3)=0,"",SUMIFS(Journal!$D$3:$D$143,Journal!$A$3:$A$143,$B12,Journal!$E$3:$E$143,W$3))</f>
        <v/>
      </c>
      <c r="X12" s="86" t="str">
        <f>IF(SUMIFS(Journal!$D$3:$D$143,Journal!$A$3:$A$143,$B12,Journal!$F$3:$F$143,W$3)=0,"",SUMIFS(Journal!$D$3:$D$143,Journal!$A$3:$A$143,$B12,Journal!$F$3:$F$143,W$3))</f>
        <v/>
      </c>
      <c r="Y12" s="86" t="str">
        <f>IF(SUMIFS(Journal!$D$3:$D$143,Journal!$A$3:$A$143,$B12,Journal!$E$3:$E$143,Y$3)=0,"",SUMIFS(Journal!$D$3:$D$143,Journal!$A$3:$A$143,$B12,Journal!$E$3:$E$143,Y$3))</f>
        <v/>
      </c>
      <c r="Z12" s="86" t="str">
        <f>IF(SUMIFS(Journal!$D$3:$D$143,Journal!$A$3:$A$143,$B12,Journal!$F$3:$F$143,Y$3)=0,"",SUMIFS(Journal!$D$3:$D$143,Journal!$A$3:$A$143,$B12,Journal!$F$3:$F$143,Y$3))</f>
        <v/>
      </c>
      <c r="AA12" s="86" t="str">
        <f>IF(SUMIFS(Journal!$D$3:$D$143,Journal!$A$3:$A$143,$B12,Journal!$E$3:$E$143,AA$3)=0,"",SUMIFS(Journal!$D$3:$D$143,Journal!$A$3:$A$143,$B12,Journal!$E$3:$E$143,AA$3))</f>
        <v/>
      </c>
      <c r="AB12" s="86" t="str">
        <f>IF(SUMIFS(Journal!$D$3:$D$143,Journal!$A$3:$A$143,$B12,Journal!$F$3:$F$143,AA$3)=0,"",SUMIFS(Journal!$D$3:$D$143,Journal!$A$3:$A$143,$B12,Journal!$F$3:$F$143,AA$3))</f>
        <v/>
      </c>
      <c r="AC12" s="86" t="str">
        <f>IF(SUMIFS(Journal!$D$3:$D$143,Journal!$A$3:$A$143,$B12,Journal!$E$3:$E$143,AC$3)=0,"",SUMIFS(Journal!$D$3:$D$143,Journal!$A$3:$A$143,$B12,Journal!$E$3:$E$143,AC$3))</f>
        <v/>
      </c>
      <c r="AD12" s="86" t="str">
        <f>IF(SUMIFS(Journal!$D$3:$D$143,Journal!$A$3:$A$143,$B12,Journal!$F$3:$F$143,AC$3)=0,"",SUMIFS(Journal!$D$3:$D$143,Journal!$A$3:$A$143,$B12,Journal!$F$3:$F$143,AC$3))</f>
        <v/>
      </c>
      <c r="AE12" s="86" t="str">
        <f>IF(SUMIFS(Journal!$D$3:$D$143,Journal!$A$3:$A$143,$B12,Journal!$E$3:$E$143,AE$3)=0,"",SUMIFS(Journal!$D$3:$D$143,Journal!$A$3:$A$143,$B12,Journal!$E$3:$E$143,AE$3))</f>
        <v/>
      </c>
      <c r="AF12" s="86" t="str">
        <f>IF(SUMIFS(Journal!$D$3:$D$143,Journal!$A$3:$A$143,$B12,Journal!$F$3:$F$143,AE$3)=0,"",SUMIFS(Journal!$D$3:$D$143,Journal!$A$3:$A$143,$B12,Journal!$F$3:$F$143,AE$3))</f>
        <v/>
      </c>
      <c r="AG12" s="86" t="str">
        <f>IF(SUMIFS(Journal!$D$3:$D$143,Journal!$A$3:$A$143,$B12,Journal!$E$3:$E$143,AG$3)=0,"",SUMIFS(Journal!$D$3:$D$143,Journal!$A$3:$A$143,$B12,Journal!$E$3:$E$143,AG$3))</f>
        <v/>
      </c>
      <c r="AH12" s="86" t="str">
        <f>IF(SUMIFS(Journal!$D$3:$D$143,Journal!$A$3:$A$143,$B12,Journal!$F$3:$F$143,AG$3)=0,"",SUMIFS(Journal!$D$3:$D$143,Journal!$A$3:$A$143,$B12,Journal!$F$3:$F$143,AG$3))</f>
        <v/>
      </c>
      <c r="AI12" s="86" t="str">
        <f>IF(SUMIFS(Journal!$D$3:$D$143,Journal!$A$3:$A$143,$B12,Journal!$E$3:$E$143,AI$3)=0,"",SUMIFS(Journal!$D$3:$D$143,Journal!$A$3:$A$143,$B12,Journal!$E$3:$E$143,AI$3))</f>
        <v/>
      </c>
      <c r="AJ12" s="86" t="str">
        <f>IF(SUMIFS(Journal!$D$3:$D$143,Journal!$A$3:$A$143,$B12,Journal!$F$3:$F$143,AI$3)=0,"",SUMIFS(Journal!$D$3:$D$143,Journal!$A$3:$A$143,$B12,Journal!$F$3:$F$143,AI$3))</f>
        <v/>
      </c>
      <c r="AK12" s="86" t="str">
        <f>IF(SUMIFS(Journal!$D$3:$D$143,Journal!$A$3:$A$143,$B12,Journal!$E$3:$E$143,AK$3)=0,"",SUMIFS(Journal!$D$3:$D$143,Journal!$A$3:$A$143,$B12,Journal!$E$3:$E$143,AK$3))</f>
        <v/>
      </c>
      <c r="AL12" s="86" t="str">
        <f>IF(SUMIFS(Journal!$D$3:$D$143,Journal!$A$3:$A$143,$B12,Journal!$F$3:$F$143,AK$3)=0,"",SUMIFS(Journal!$D$3:$D$143,Journal!$A$3:$A$143,$B12,Journal!$F$3:$F$143,AK$3))</f>
        <v/>
      </c>
      <c r="AM12" s="86" t="str">
        <f>IF(SUMIFS(Journal!$D$3:$D$143,Journal!$A$3:$A$143,$B12,Journal!$E$3:$E$143,AM$3)=0,"",SUMIFS(Journal!$D$3:$D$143,Journal!$A$3:$A$143,$B12,Journal!$E$3:$E$143,AM$3))</f>
        <v/>
      </c>
      <c r="AN12" s="86" t="str">
        <f>IF(SUMIFS(Journal!$D$3:$D$143,Journal!$A$3:$A$143,$B12,Journal!$F$3:$F$143,AM$3)=0,"",SUMIFS(Journal!$D$3:$D$143,Journal!$A$3:$A$143,$B12,Journal!$F$3:$F$143,AM$3))</f>
        <v/>
      </c>
      <c r="AO12" s="86" t="str">
        <f>IF(SUMIFS(Journal!$D$3:$D$143,Journal!$A$3:$A$143,$B12,Journal!$E$3:$E$143,AO$3)=0,"",SUMIFS(Journal!$D$3:$D$143,Journal!$A$3:$A$143,$B12,Journal!$E$3:$E$143,AO$3))</f>
        <v/>
      </c>
      <c r="AP12" s="86" t="str">
        <f>IF(SUMIFS(Journal!$D$3:$D$143,Journal!$A$3:$A$143,$B12,Journal!$F$3:$F$143,AO$3)=0,"",SUMIFS(Journal!$D$3:$D$143,Journal!$A$3:$A$143,$B12,Journal!$F$3:$F$143,AO$3))</f>
        <v/>
      </c>
      <c r="AQ12" s="86" t="str">
        <f>IF(SUMIFS(Journal!$D$3:$D$143,Journal!$A$3:$A$143,$B12,Journal!$E$3:$E$143,AQ$3)=0,"",SUMIFS(Journal!$D$3:$D$143,Journal!$A$3:$A$143,$B12,Journal!$E$3:$E$143,AQ$3))</f>
        <v/>
      </c>
      <c r="AR12" s="86" t="str">
        <f>IF(SUMIFS(Journal!$D$3:$D$143,Journal!$A$3:$A$143,$B12,Journal!$F$3:$F$143,AQ$3)=0,"",SUMIFS(Journal!$D$3:$D$143,Journal!$A$3:$A$143,$B12,Journal!$F$3:$F$143,AQ$3))</f>
        <v/>
      </c>
      <c r="AS12" s="86" t="str">
        <f>IF(SUMIFS(Journal!$D$3:$D$143,Journal!$A$3:$A$143,$B12,Journal!$E$3:$E$143,AS$3)=0,"",SUMIFS(Journal!$D$3:$D$143,Journal!$A$3:$A$143,$B12,Journal!$E$3:$E$143,AS$3))</f>
        <v/>
      </c>
      <c r="AT12" s="86" t="str">
        <f>IF(SUMIFS(Journal!$D$3:$D$143,Journal!$A$3:$A$143,$B12,Journal!$F$3:$F$143,AS$3)=0,"",SUMIFS(Journal!$D$3:$D$143,Journal!$A$3:$A$143,$B12,Journal!$F$3:$F$143,AS$3))</f>
        <v/>
      </c>
      <c r="AU12" s="86" t="str">
        <f>IF(SUMIFS(Journal!$D$3:$D$143,Journal!$A$3:$A$143,$B12,Journal!$E$3:$E$143,AU$3)=0,"",SUMIFS(Journal!$D$3:$D$143,Journal!$A$3:$A$143,$B12,Journal!$E$3:$E$143,AU$3))</f>
        <v/>
      </c>
      <c r="AV12" s="86" t="str">
        <f>IF(SUMIFS(Journal!$D$3:$D$143,Journal!$A$3:$A$143,$B12,Journal!$F$3:$F$143,AU$3)=0,"",SUMIFS(Journal!$D$3:$D$143,Journal!$A$3:$A$143,$B12,Journal!$F$3:$F$143,AU$3))</f>
        <v/>
      </c>
      <c r="AW12" s="86" t="str">
        <f>IF(SUMIFS(Journal!$D$3:$D$143,Journal!$A$3:$A$143,$B12,Journal!$E$3:$E$143,AW$3)=0,"",SUMIFS(Journal!$D$3:$D$143,Journal!$A$3:$A$143,$B12,Journal!$E$3:$E$143,AW$3))</f>
        <v/>
      </c>
      <c r="AX12" s="86" t="str">
        <f>IF(SUMIFS(Journal!$D$3:$D$143,Journal!$A$3:$A$143,$B12,Journal!$F$3:$F$143,AW$3)=0,"",SUMIFS(Journal!$D$3:$D$143,Journal!$A$3:$A$143,$B12,Journal!$F$3:$F$143,AW$3))</f>
        <v/>
      </c>
      <c r="AY12" s="86" t="str">
        <f>IF(SUMIFS(Journal!$D$3:$D$143,Journal!$A$3:$A$143,$B12,Journal!$E$3:$E$143,AY$3)=0,"",SUMIFS(Journal!$D$3:$D$143,Journal!$A$3:$A$143,$B12,Journal!$E$3:$E$143,AY$3))</f>
        <v/>
      </c>
      <c r="AZ12" s="86" t="str">
        <f>IF(SUMIFS(Journal!$D$3:$D$143,Journal!$A$3:$A$143,$B12,Journal!$F$3:$F$143,AY$3)=0,"",SUMIFS(Journal!$D$3:$D$143,Journal!$A$3:$A$143,$B12,Journal!$F$3:$F$143,AY$3))</f>
        <v/>
      </c>
      <c r="BA12" s="86" t="str">
        <f>IF(SUMIFS(Journal!$D$3:$D$143,Journal!$A$3:$A$143,$B12,Journal!$E$3:$E$143,BA$3)=0,"",SUMIFS(Journal!$D$3:$D$143,Journal!$A$3:$A$143,$B12,Journal!$E$3:$E$143,BA$3))</f>
        <v/>
      </c>
      <c r="BB12" s="86" t="str">
        <f>IF(SUMIFS(Journal!$D$3:$D$143,Journal!$A$3:$A$143,$B12,Journal!$F$3:$F$143,BA$3)=0,"",SUMIFS(Journal!$D$3:$D$143,Journal!$A$3:$A$143,$B12,Journal!$F$3:$F$143,BA$3))</f>
        <v/>
      </c>
      <c r="BD12" s="67" t="s">
        <v>125</v>
      </c>
    </row>
    <row r="13">
      <c r="A13" s="84">
        <f>VLOOKUP(B13,Journal!$A$3:$C$143,2,FALSE)</f>
        <v>45303</v>
      </c>
      <c r="B13" s="85" t="s">
        <v>165</v>
      </c>
      <c r="C13" s="86" t="str">
        <f>VLOOKUP(B13,Journal!$A$3:$C$143,3,FALSE)</f>
        <v>Purchased computer and point-of-sale system</v>
      </c>
      <c r="D13" s="86">
        <f>SUMIF(Journal!$A$3:$A$143,B13,Journal!$D$3:$D$143)</f>
        <v>5000</v>
      </c>
      <c r="E13" s="86" t="str">
        <f>IF(SUMIFS(Journal!$D$3:$D$143,Journal!$A$3:$A$143,$B13,Journal!$E$3:$E$143,E$3)=0,"",SUMIFS(Journal!$D$3:$D$143,Journal!$A$3:$A$143,$B13,Journal!$E$3:$E$143,E$3))</f>
        <v/>
      </c>
      <c r="F13" s="86" t="str">
        <f>IF(SUMIFS(Journal!$D$3:$D$143,Journal!$A$3:$A$143,$B13,Journal!$F$3:$F$143,E$3)=0,"",SUMIFS(Journal!$D$3:$D$143,Journal!$A$3:$A$143,$B13,Journal!$F$3:$F$143,E$3))</f>
        <v/>
      </c>
      <c r="G13" s="86" t="str">
        <f>IF(SUMIFS(Journal!$D$3:$D$143,Journal!$A$3:$A$143,$B13,Journal!$E$3:$E$143,G$3)=0,"",SUMIFS(Journal!$D$3:$D$143,Journal!$A$3:$A$143,$B13,Journal!$E$3:$E$143,G$3))</f>
        <v/>
      </c>
      <c r="H13" s="86" t="str">
        <f>IF(SUMIFS(Journal!$D$3:$D$143,Journal!$A$3:$A$143,$B13,Journal!$F$3:$F$143,G$3)=0,"",SUMIFS(Journal!$D$3:$D$143,Journal!$A$3:$A$143,$B13,Journal!$F$3:$F$143,G$3))</f>
        <v/>
      </c>
      <c r="I13" s="86" t="str">
        <f>IF(SUMIFS(Journal!$D$3:$D$143,Journal!$A$3:$A$143,$B13,Journal!$E$3:$E$143,I$3)=0,"",SUMIFS(Journal!$D$3:$D$143,Journal!$A$3:$A$143,$B13,Journal!$E$3:$E$143,I$3))</f>
        <v/>
      </c>
      <c r="J13" s="86" t="str">
        <f>IF(SUMIFS(Journal!$D$3:$D$143,Journal!$A$3:$A$143,$B13,Journal!$F$3:$F$143,I$3)=0,"",SUMIFS(Journal!$D$3:$D$143,Journal!$A$3:$A$143,$B13,Journal!$F$3:$F$143,I$3))</f>
        <v/>
      </c>
      <c r="K13" s="86" t="str">
        <f>IF(SUMIFS(Journal!$D$3:$D$143,Journal!$A$3:$A$143,$B13,Journal!$E$3:$E$143,K$3)=0,"",SUMIFS(Journal!$D$3:$D$143,Journal!$A$3:$A$143,$B13,Journal!$E$3:$E$143,K$3))</f>
        <v/>
      </c>
      <c r="L13" s="86" t="str">
        <f>IF(SUMIFS(Journal!$D$3:$D$143,Journal!$A$3:$A$143,$B13,Journal!$F$3:$F$143,K$3)=0,"",SUMIFS(Journal!$D$3:$D$143,Journal!$A$3:$A$143,$B13,Journal!$F$3:$F$143,K$3))</f>
        <v/>
      </c>
      <c r="M13" s="86">
        <f>IF(SUMIFS(Journal!$D$3:$D$143,Journal!$A$3:$A$143,$B13,Journal!$E$3:$E$143,M$3)=0,"",SUMIFS(Journal!$D$3:$D$143,Journal!$A$3:$A$143,$B13,Journal!$E$3:$E$143,M$3))</f>
        <v>5000</v>
      </c>
      <c r="N13" s="86" t="str">
        <f>IF(SUMIFS(Journal!$D$3:$D$143,Journal!$A$3:$A$143,$B13,Journal!$F$3:$F$143,M$3)=0,"",SUMIFS(Journal!$D$3:$D$143,Journal!$A$3:$A$143,$B13,Journal!$F$3:$F$143,M$3))</f>
        <v/>
      </c>
      <c r="O13" s="86" t="str">
        <f>IF(SUMIFS(Journal!$D$3:$D$143,Journal!$A$3:$A$143,$B13,Journal!$E$3:$E$143,O$3)=0,"",SUMIFS(Journal!$D$3:$D$143,Journal!$A$3:$A$143,$B13,Journal!$E$3:$E$143,O$3))</f>
        <v/>
      </c>
      <c r="P13" s="86">
        <f>IF(SUMIFS(Journal!$D$3:$D$143,Journal!$A$3:$A$143,$B13,Journal!$F$3:$F$143,O$3)=0,"",SUMIFS(Journal!$D$3:$D$143,Journal!$A$3:$A$143,$B13,Journal!$F$3:$F$143,O$3))</f>
        <v>5000</v>
      </c>
      <c r="Q13" s="86" t="str">
        <f>IF(SUMIFS(Journal!$D$3:$D$143,Journal!$A$3:$A$143,$B13,Journal!$E$3:$E$143,Q$3)=0,"",SUMIFS(Journal!$D$3:$D$143,Journal!$A$3:$A$143,$B13,Journal!$E$3:$E$143,Q$3))</f>
        <v/>
      </c>
      <c r="R13" s="86" t="str">
        <f>IF(SUMIFS(Journal!$D$3:$D$143,Journal!$A$3:$A$143,$B13,Journal!$F$3:$F$143,Q$3)=0,"",SUMIFS(Journal!$D$3:$D$143,Journal!$A$3:$A$143,$B13,Journal!$F$3:$F$143,Q$3))</f>
        <v/>
      </c>
      <c r="S13" s="86" t="str">
        <f>IF(SUMIFS(Journal!$D$3:$D$143,Journal!$A$3:$A$143,$B13,Journal!$E$3:$E$143,S$3)=0,"",SUMIFS(Journal!$D$3:$D$143,Journal!$A$3:$A$143,$B13,Journal!$E$3:$E$143,S$3))</f>
        <v/>
      </c>
      <c r="T13" s="86" t="str">
        <f>IF(SUMIFS(Journal!$D$3:$D$143,Journal!$A$3:$A$143,$B13,Journal!$F$3:$F$143,S$3)=0,"",SUMIFS(Journal!$D$3:$D$143,Journal!$A$3:$A$143,$B13,Journal!$F$3:$F$143,S$3))</f>
        <v/>
      </c>
      <c r="U13" s="86" t="str">
        <f>IF(SUMIFS(Journal!$D$3:$D$143,Journal!$A$3:$A$143,$B13,Journal!$E$3:$E$143,U$3)=0,"",SUMIFS(Journal!$D$3:$D$143,Journal!$A$3:$A$143,$B13,Journal!$E$3:$E$143,U$3))</f>
        <v/>
      </c>
      <c r="V13" s="86" t="str">
        <f>IF(SUMIFS(Journal!$D$3:$D$143,Journal!$A$3:$A$143,$B13,Journal!$F$3:$F$143,U$3)=0,"",SUMIFS(Journal!$D$3:$D$143,Journal!$A$3:$A$143,$B13,Journal!$F$3:$F$143,U$3))</f>
        <v/>
      </c>
      <c r="W13" s="86" t="str">
        <f>IF(SUMIFS(Journal!$D$3:$D$143,Journal!$A$3:$A$143,$B13,Journal!$E$3:$E$143,W$3)=0,"",SUMIFS(Journal!$D$3:$D$143,Journal!$A$3:$A$143,$B13,Journal!$E$3:$E$143,W$3))</f>
        <v/>
      </c>
      <c r="X13" s="86" t="str">
        <f>IF(SUMIFS(Journal!$D$3:$D$143,Journal!$A$3:$A$143,$B13,Journal!$F$3:$F$143,W$3)=0,"",SUMIFS(Journal!$D$3:$D$143,Journal!$A$3:$A$143,$B13,Journal!$F$3:$F$143,W$3))</f>
        <v/>
      </c>
      <c r="Y13" s="86" t="str">
        <f>IF(SUMIFS(Journal!$D$3:$D$143,Journal!$A$3:$A$143,$B13,Journal!$E$3:$E$143,Y$3)=0,"",SUMIFS(Journal!$D$3:$D$143,Journal!$A$3:$A$143,$B13,Journal!$E$3:$E$143,Y$3))</f>
        <v/>
      </c>
      <c r="Z13" s="86" t="str">
        <f>IF(SUMIFS(Journal!$D$3:$D$143,Journal!$A$3:$A$143,$B13,Journal!$F$3:$F$143,Y$3)=0,"",SUMIFS(Journal!$D$3:$D$143,Journal!$A$3:$A$143,$B13,Journal!$F$3:$F$143,Y$3))</f>
        <v/>
      </c>
      <c r="AA13" s="86" t="str">
        <f>IF(SUMIFS(Journal!$D$3:$D$143,Journal!$A$3:$A$143,$B13,Journal!$E$3:$E$143,AA$3)=0,"",SUMIFS(Journal!$D$3:$D$143,Journal!$A$3:$A$143,$B13,Journal!$E$3:$E$143,AA$3))</f>
        <v/>
      </c>
      <c r="AB13" s="86" t="str">
        <f>IF(SUMIFS(Journal!$D$3:$D$143,Journal!$A$3:$A$143,$B13,Journal!$F$3:$F$143,AA$3)=0,"",SUMIFS(Journal!$D$3:$D$143,Journal!$A$3:$A$143,$B13,Journal!$F$3:$F$143,AA$3))</f>
        <v/>
      </c>
      <c r="AC13" s="86" t="str">
        <f>IF(SUMIFS(Journal!$D$3:$D$143,Journal!$A$3:$A$143,$B13,Journal!$E$3:$E$143,AC$3)=0,"",SUMIFS(Journal!$D$3:$D$143,Journal!$A$3:$A$143,$B13,Journal!$E$3:$E$143,AC$3))</f>
        <v/>
      </c>
      <c r="AD13" s="86" t="str">
        <f>IF(SUMIFS(Journal!$D$3:$D$143,Journal!$A$3:$A$143,$B13,Journal!$F$3:$F$143,AC$3)=0,"",SUMIFS(Journal!$D$3:$D$143,Journal!$A$3:$A$143,$B13,Journal!$F$3:$F$143,AC$3))</f>
        <v/>
      </c>
      <c r="AE13" s="86" t="str">
        <f>IF(SUMIFS(Journal!$D$3:$D$143,Journal!$A$3:$A$143,$B13,Journal!$E$3:$E$143,AE$3)=0,"",SUMIFS(Journal!$D$3:$D$143,Journal!$A$3:$A$143,$B13,Journal!$E$3:$E$143,AE$3))</f>
        <v/>
      </c>
      <c r="AF13" s="86" t="str">
        <f>IF(SUMIFS(Journal!$D$3:$D$143,Journal!$A$3:$A$143,$B13,Journal!$F$3:$F$143,AE$3)=0,"",SUMIFS(Journal!$D$3:$D$143,Journal!$A$3:$A$143,$B13,Journal!$F$3:$F$143,AE$3))</f>
        <v/>
      </c>
      <c r="AG13" s="86" t="str">
        <f>IF(SUMIFS(Journal!$D$3:$D$143,Journal!$A$3:$A$143,$B13,Journal!$E$3:$E$143,AG$3)=0,"",SUMIFS(Journal!$D$3:$D$143,Journal!$A$3:$A$143,$B13,Journal!$E$3:$E$143,AG$3))</f>
        <v/>
      </c>
      <c r="AH13" s="86" t="str">
        <f>IF(SUMIFS(Journal!$D$3:$D$143,Journal!$A$3:$A$143,$B13,Journal!$F$3:$F$143,AG$3)=0,"",SUMIFS(Journal!$D$3:$D$143,Journal!$A$3:$A$143,$B13,Journal!$F$3:$F$143,AG$3))</f>
        <v/>
      </c>
      <c r="AI13" s="86" t="str">
        <f>IF(SUMIFS(Journal!$D$3:$D$143,Journal!$A$3:$A$143,$B13,Journal!$E$3:$E$143,AI$3)=0,"",SUMIFS(Journal!$D$3:$D$143,Journal!$A$3:$A$143,$B13,Journal!$E$3:$E$143,AI$3))</f>
        <v/>
      </c>
      <c r="AJ13" s="86" t="str">
        <f>IF(SUMIFS(Journal!$D$3:$D$143,Journal!$A$3:$A$143,$B13,Journal!$F$3:$F$143,AI$3)=0,"",SUMIFS(Journal!$D$3:$D$143,Journal!$A$3:$A$143,$B13,Journal!$F$3:$F$143,AI$3))</f>
        <v/>
      </c>
      <c r="AK13" s="86" t="str">
        <f>IF(SUMIFS(Journal!$D$3:$D$143,Journal!$A$3:$A$143,$B13,Journal!$E$3:$E$143,AK$3)=0,"",SUMIFS(Journal!$D$3:$D$143,Journal!$A$3:$A$143,$B13,Journal!$E$3:$E$143,AK$3))</f>
        <v/>
      </c>
      <c r="AL13" s="86" t="str">
        <f>IF(SUMIFS(Journal!$D$3:$D$143,Journal!$A$3:$A$143,$B13,Journal!$F$3:$F$143,AK$3)=0,"",SUMIFS(Journal!$D$3:$D$143,Journal!$A$3:$A$143,$B13,Journal!$F$3:$F$143,AK$3))</f>
        <v/>
      </c>
      <c r="AM13" s="86" t="str">
        <f>IF(SUMIFS(Journal!$D$3:$D$143,Journal!$A$3:$A$143,$B13,Journal!$E$3:$E$143,AM$3)=0,"",SUMIFS(Journal!$D$3:$D$143,Journal!$A$3:$A$143,$B13,Journal!$E$3:$E$143,AM$3))</f>
        <v/>
      </c>
      <c r="AN13" s="86" t="str">
        <f>IF(SUMIFS(Journal!$D$3:$D$143,Journal!$A$3:$A$143,$B13,Journal!$F$3:$F$143,AM$3)=0,"",SUMIFS(Journal!$D$3:$D$143,Journal!$A$3:$A$143,$B13,Journal!$F$3:$F$143,AM$3))</f>
        <v/>
      </c>
      <c r="AO13" s="86" t="str">
        <f>IF(SUMIFS(Journal!$D$3:$D$143,Journal!$A$3:$A$143,$B13,Journal!$E$3:$E$143,AO$3)=0,"",SUMIFS(Journal!$D$3:$D$143,Journal!$A$3:$A$143,$B13,Journal!$E$3:$E$143,AO$3))</f>
        <v/>
      </c>
      <c r="AP13" s="86" t="str">
        <f>IF(SUMIFS(Journal!$D$3:$D$143,Journal!$A$3:$A$143,$B13,Journal!$F$3:$F$143,AO$3)=0,"",SUMIFS(Journal!$D$3:$D$143,Journal!$A$3:$A$143,$B13,Journal!$F$3:$F$143,AO$3))</f>
        <v/>
      </c>
      <c r="AQ13" s="86" t="str">
        <f>IF(SUMIFS(Journal!$D$3:$D$143,Journal!$A$3:$A$143,$B13,Journal!$E$3:$E$143,AQ$3)=0,"",SUMIFS(Journal!$D$3:$D$143,Journal!$A$3:$A$143,$B13,Journal!$E$3:$E$143,AQ$3))</f>
        <v/>
      </c>
      <c r="AR13" s="86" t="str">
        <f>IF(SUMIFS(Journal!$D$3:$D$143,Journal!$A$3:$A$143,$B13,Journal!$F$3:$F$143,AQ$3)=0,"",SUMIFS(Journal!$D$3:$D$143,Journal!$A$3:$A$143,$B13,Journal!$F$3:$F$143,AQ$3))</f>
        <v/>
      </c>
      <c r="AS13" s="86" t="str">
        <f>IF(SUMIFS(Journal!$D$3:$D$143,Journal!$A$3:$A$143,$B13,Journal!$E$3:$E$143,AS$3)=0,"",SUMIFS(Journal!$D$3:$D$143,Journal!$A$3:$A$143,$B13,Journal!$E$3:$E$143,AS$3))</f>
        <v/>
      </c>
      <c r="AT13" s="86" t="str">
        <f>IF(SUMIFS(Journal!$D$3:$D$143,Journal!$A$3:$A$143,$B13,Journal!$F$3:$F$143,AS$3)=0,"",SUMIFS(Journal!$D$3:$D$143,Journal!$A$3:$A$143,$B13,Journal!$F$3:$F$143,AS$3))</f>
        <v/>
      </c>
      <c r="AU13" s="86" t="str">
        <f>IF(SUMIFS(Journal!$D$3:$D$143,Journal!$A$3:$A$143,$B13,Journal!$E$3:$E$143,AU$3)=0,"",SUMIFS(Journal!$D$3:$D$143,Journal!$A$3:$A$143,$B13,Journal!$E$3:$E$143,AU$3))</f>
        <v/>
      </c>
      <c r="AV13" s="86" t="str">
        <f>IF(SUMIFS(Journal!$D$3:$D$143,Journal!$A$3:$A$143,$B13,Journal!$F$3:$F$143,AU$3)=0,"",SUMIFS(Journal!$D$3:$D$143,Journal!$A$3:$A$143,$B13,Journal!$F$3:$F$143,AU$3))</f>
        <v/>
      </c>
      <c r="AW13" s="86" t="str">
        <f>IF(SUMIFS(Journal!$D$3:$D$143,Journal!$A$3:$A$143,$B13,Journal!$E$3:$E$143,AW$3)=0,"",SUMIFS(Journal!$D$3:$D$143,Journal!$A$3:$A$143,$B13,Journal!$E$3:$E$143,AW$3))</f>
        <v/>
      </c>
      <c r="AX13" s="86" t="str">
        <f>IF(SUMIFS(Journal!$D$3:$D$143,Journal!$A$3:$A$143,$B13,Journal!$F$3:$F$143,AW$3)=0,"",SUMIFS(Journal!$D$3:$D$143,Journal!$A$3:$A$143,$B13,Journal!$F$3:$F$143,AW$3))</f>
        <v/>
      </c>
      <c r="AY13" s="86" t="str">
        <f>IF(SUMIFS(Journal!$D$3:$D$143,Journal!$A$3:$A$143,$B13,Journal!$E$3:$E$143,AY$3)=0,"",SUMIFS(Journal!$D$3:$D$143,Journal!$A$3:$A$143,$B13,Journal!$E$3:$E$143,AY$3))</f>
        <v/>
      </c>
      <c r="AZ13" s="86" t="str">
        <f>IF(SUMIFS(Journal!$D$3:$D$143,Journal!$A$3:$A$143,$B13,Journal!$F$3:$F$143,AY$3)=0,"",SUMIFS(Journal!$D$3:$D$143,Journal!$A$3:$A$143,$B13,Journal!$F$3:$F$143,AY$3))</f>
        <v/>
      </c>
      <c r="BA13" s="86" t="str">
        <f>IF(SUMIFS(Journal!$D$3:$D$143,Journal!$A$3:$A$143,$B13,Journal!$E$3:$E$143,BA$3)=0,"",SUMIFS(Journal!$D$3:$D$143,Journal!$A$3:$A$143,$B13,Journal!$E$3:$E$143,BA$3))</f>
        <v/>
      </c>
      <c r="BB13" s="86" t="str">
        <f>IF(SUMIFS(Journal!$D$3:$D$143,Journal!$A$3:$A$143,$B13,Journal!$F$3:$F$143,BA$3)=0,"",SUMIFS(Journal!$D$3:$D$143,Journal!$A$3:$A$143,$B13,Journal!$F$3:$F$143,BA$3))</f>
        <v/>
      </c>
      <c r="BD13" s="67" t="s">
        <v>73</v>
      </c>
    </row>
    <row r="14">
      <c r="A14" s="84">
        <f>VLOOKUP(B14,Journal!$A$3:$C$143,2,FALSE)</f>
        <v>45303</v>
      </c>
      <c r="B14" s="85" t="s">
        <v>178</v>
      </c>
      <c r="C14" s="86" t="str">
        <f>VLOOKUP(B14,Journal!$A$3:$C$143,3,FALSE)</f>
        <v>Equipment rental receipts batch</v>
      </c>
      <c r="D14" s="86">
        <f>SUMIF(Journal!$A$3:$A$143,B14,Journal!$D$3:$D$143)</f>
        <v>4500</v>
      </c>
      <c r="E14" s="86">
        <f>IF(SUMIFS(Journal!$D$3:$D$143,Journal!$A$3:$A$143,$B14,Journal!$E$3:$E$143,E$3)=0,"",SUMIFS(Journal!$D$3:$D$143,Journal!$A$3:$A$143,$B14,Journal!$E$3:$E$143,E$3))</f>
        <v>4500</v>
      </c>
      <c r="F14" s="86" t="str">
        <f>IF(SUMIFS(Journal!$D$3:$D$143,Journal!$A$3:$A$143,$B14,Journal!$F$3:$F$143,E$3)=0,"",SUMIFS(Journal!$D$3:$D$143,Journal!$A$3:$A$143,$B14,Journal!$F$3:$F$143,E$3))</f>
        <v/>
      </c>
      <c r="G14" s="86" t="str">
        <f>IF(SUMIFS(Journal!$D$3:$D$143,Journal!$A$3:$A$143,$B14,Journal!$E$3:$E$143,G$3)=0,"",SUMIFS(Journal!$D$3:$D$143,Journal!$A$3:$A$143,$B14,Journal!$E$3:$E$143,G$3))</f>
        <v/>
      </c>
      <c r="H14" s="86" t="str">
        <f>IF(SUMIFS(Journal!$D$3:$D$143,Journal!$A$3:$A$143,$B14,Journal!$F$3:$F$143,G$3)=0,"",SUMIFS(Journal!$D$3:$D$143,Journal!$A$3:$A$143,$B14,Journal!$F$3:$F$143,G$3))</f>
        <v/>
      </c>
      <c r="I14" s="86" t="str">
        <f>IF(SUMIFS(Journal!$D$3:$D$143,Journal!$A$3:$A$143,$B14,Journal!$E$3:$E$143,I$3)=0,"",SUMIFS(Journal!$D$3:$D$143,Journal!$A$3:$A$143,$B14,Journal!$E$3:$E$143,I$3))</f>
        <v/>
      </c>
      <c r="J14" s="86" t="str">
        <f>IF(SUMIFS(Journal!$D$3:$D$143,Journal!$A$3:$A$143,$B14,Journal!$F$3:$F$143,I$3)=0,"",SUMIFS(Journal!$D$3:$D$143,Journal!$A$3:$A$143,$B14,Journal!$F$3:$F$143,I$3))</f>
        <v/>
      </c>
      <c r="K14" s="86" t="str">
        <f>IF(SUMIFS(Journal!$D$3:$D$143,Journal!$A$3:$A$143,$B14,Journal!$E$3:$E$143,K$3)=0,"",SUMIFS(Journal!$D$3:$D$143,Journal!$A$3:$A$143,$B14,Journal!$E$3:$E$143,K$3))</f>
        <v/>
      </c>
      <c r="L14" s="86" t="str">
        <f>IF(SUMIFS(Journal!$D$3:$D$143,Journal!$A$3:$A$143,$B14,Journal!$F$3:$F$143,K$3)=0,"",SUMIFS(Journal!$D$3:$D$143,Journal!$A$3:$A$143,$B14,Journal!$F$3:$F$143,K$3))</f>
        <v/>
      </c>
      <c r="M14" s="86" t="str">
        <f>IF(SUMIFS(Journal!$D$3:$D$143,Journal!$A$3:$A$143,$B14,Journal!$E$3:$E$143,M$3)=0,"",SUMIFS(Journal!$D$3:$D$143,Journal!$A$3:$A$143,$B14,Journal!$E$3:$E$143,M$3))</f>
        <v/>
      </c>
      <c r="N14" s="86" t="str">
        <f>IF(SUMIFS(Journal!$D$3:$D$143,Journal!$A$3:$A$143,$B14,Journal!$F$3:$F$143,M$3)=0,"",SUMIFS(Journal!$D$3:$D$143,Journal!$A$3:$A$143,$B14,Journal!$F$3:$F$143,M$3))</f>
        <v/>
      </c>
      <c r="O14" s="86" t="str">
        <f>IF(SUMIFS(Journal!$D$3:$D$143,Journal!$A$3:$A$143,$B14,Journal!$E$3:$E$143,O$3)=0,"",SUMIFS(Journal!$D$3:$D$143,Journal!$A$3:$A$143,$B14,Journal!$E$3:$E$143,O$3))</f>
        <v/>
      </c>
      <c r="P14" s="86" t="str">
        <f>IF(SUMIFS(Journal!$D$3:$D$143,Journal!$A$3:$A$143,$B14,Journal!$F$3:$F$143,O$3)=0,"",SUMIFS(Journal!$D$3:$D$143,Journal!$A$3:$A$143,$B14,Journal!$F$3:$F$143,O$3))</f>
        <v/>
      </c>
      <c r="Q14" s="86" t="str">
        <f>IF(SUMIFS(Journal!$D$3:$D$143,Journal!$A$3:$A$143,$B14,Journal!$E$3:$E$143,Q$3)=0,"",SUMIFS(Journal!$D$3:$D$143,Journal!$A$3:$A$143,$B14,Journal!$E$3:$E$143,Q$3))</f>
        <v/>
      </c>
      <c r="R14" s="86" t="str">
        <f>IF(SUMIFS(Journal!$D$3:$D$143,Journal!$A$3:$A$143,$B14,Journal!$F$3:$F$143,Q$3)=0,"",SUMIFS(Journal!$D$3:$D$143,Journal!$A$3:$A$143,$B14,Journal!$F$3:$F$143,Q$3))</f>
        <v/>
      </c>
      <c r="S14" s="86" t="str">
        <f>IF(SUMIFS(Journal!$D$3:$D$143,Journal!$A$3:$A$143,$B14,Journal!$E$3:$E$143,S$3)=0,"",SUMIFS(Journal!$D$3:$D$143,Journal!$A$3:$A$143,$B14,Journal!$E$3:$E$143,S$3))</f>
        <v/>
      </c>
      <c r="T14" s="86" t="str">
        <f>IF(SUMIFS(Journal!$D$3:$D$143,Journal!$A$3:$A$143,$B14,Journal!$F$3:$F$143,S$3)=0,"",SUMIFS(Journal!$D$3:$D$143,Journal!$A$3:$A$143,$B14,Journal!$F$3:$F$143,S$3))</f>
        <v/>
      </c>
      <c r="U14" s="86" t="str">
        <f>IF(SUMIFS(Journal!$D$3:$D$143,Journal!$A$3:$A$143,$B14,Journal!$E$3:$E$143,U$3)=0,"",SUMIFS(Journal!$D$3:$D$143,Journal!$A$3:$A$143,$B14,Journal!$E$3:$E$143,U$3))</f>
        <v/>
      </c>
      <c r="V14" s="86" t="str">
        <f>IF(SUMIFS(Journal!$D$3:$D$143,Journal!$A$3:$A$143,$B14,Journal!$F$3:$F$143,U$3)=0,"",SUMIFS(Journal!$D$3:$D$143,Journal!$A$3:$A$143,$B14,Journal!$F$3:$F$143,U$3))</f>
        <v/>
      </c>
      <c r="W14" s="86" t="str">
        <f>IF(SUMIFS(Journal!$D$3:$D$143,Journal!$A$3:$A$143,$B14,Journal!$E$3:$E$143,W$3)=0,"",SUMIFS(Journal!$D$3:$D$143,Journal!$A$3:$A$143,$B14,Journal!$E$3:$E$143,W$3))</f>
        <v/>
      </c>
      <c r="X14" s="86">
        <f>IF(SUMIFS(Journal!$D$3:$D$143,Journal!$A$3:$A$143,$B14,Journal!$F$3:$F$143,W$3)=0,"",SUMIFS(Journal!$D$3:$D$143,Journal!$A$3:$A$143,$B14,Journal!$F$3:$F$143,W$3))</f>
        <v>4500</v>
      </c>
      <c r="Y14" s="86" t="str">
        <f>IF(SUMIFS(Journal!$D$3:$D$143,Journal!$A$3:$A$143,$B14,Journal!$E$3:$E$143,Y$3)=0,"",SUMIFS(Journal!$D$3:$D$143,Journal!$A$3:$A$143,$B14,Journal!$E$3:$E$143,Y$3))</f>
        <v/>
      </c>
      <c r="Z14" s="86" t="str">
        <f>IF(SUMIFS(Journal!$D$3:$D$143,Journal!$A$3:$A$143,$B14,Journal!$F$3:$F$143,Y$3)=0,"",SUMIFS(Journal!$D$3:$D$143,Journal!$A$3:$A$143,$B14,Journal!$F$3:$F$143,Y$3))</f>
        <v/>
      </c>
      <c r="AA14" s="86" t="str">
        <f>IF(SUMIFS(Journal!$D$3:$D$143,Journal!$A$3:$A$143,$B14,Journal!$E$3:$E$143,AA$3)=0,"",SUMIFS(Journal!$D$3:$D$143,Journal!$A$3:$A$143,$B14,Journal!$E$3:$E$143,AA$3))</f>
        <v/>
      </c>
      <c r="AB14" s="86" t="str">
        <f>IF(SUMIFS(Journal!$D$3:$D$143,Journal!$A$3:$A$143,$B14,Journal!$F$3:$F$143,AA$3)=0,"",SUMIFS(Journal!$D$3:$D$143,Journal!$A$3:$A$143,$B14,Journal!$F$3:$F$143,AA$3))</f>
        <v/>
      </c>
      <c r="AC14" s="86" t="str">
        <f>IF(SUMIFS(Journal!$D$3:$D$143,Journal!$A$3:$A$143,$B14,Journal!$E$3:$E$143,AC$3)=0,"",SUMIFS(Journal!$D$3:$D$143,Journal!$A$3:$A$143,$B14,Journal!$E$3:$E$143,AC$3))</f>
        <v/>
      </c>
      <c r="AD14" s="86" t="str">
        <f>IF(SUMIFS(Journal!$D$3:$D$143,Journal!$A$3:$A$143,$B14,Journal!$F$3:$F$143,AC$3)=0,"",SUMIFS(Journal!$D$3:$D$143,Journal!$A$3:$A$143,$B14,Journal!$F$3:$F$143,AC$3))</f>
        <v/>
      </c>
      <c r="AE14" s="86" t="str">
        <f>IF(SUMIFS(Journal!$D$3:$D$143,Journal!$A$3:$A$143,$B14,Journal!$E$3:$E$143,AE$3)=0,"",SUMIFS(Journal!$D$3:$D$143,Journal!$A$3:$A$143,$B14,Journal!$E$3:$E$143,AE$3))</f>
        <v/>
      </c>
      <c r="AF14" s="86" t="str">
        <f>IF(SUMIFS(Journal!$D$3:$D$143,Journal!$A$3:$A$143,$B14,Journal!$F$3:$F$143,AE$3)=0,"",SUMIFS(Journal!$D$3:$D$143,Journal!$A$3:$A$143,$B14,Journal!$F$3:$F$143,AE$3))</f>
        <v/>
      </c>
      <c r="AG14" s="86" t="str">
        <f>IF(SUMIFS(Journal!$D$3:$D$143,Journal!$A$3:$A$143,$B14,Journal!$E$3:$E$143,AG$3)=0,"",SUMIFS(Journal!$D$3:$D$143,Journal!$A$3:$A$143,$B14,Journal!$E$3:$E$143,AG$3))</f>
        <v/>
      </c>
      <c r="AH14" s="86" t="str">
        <f>IF(SUMIFS(Journal!$D$3:$D$143,Journal!$A$3:$A$143,$B14,Journal!$F$3:$F$143,AG$3)=0,"",SUMIFS(Journal!$D$3:$D$143,Journal!$A$3:$A$143,$B14,Journal!$F$3:$F$143,AG$3))</f>
        <v/>
      </c>
      <c r="AI14" s="86" t="str">
        <f>IF(SUMIFS(Journal!$D$3:$D$143,Journal!$A$3:$A$143,$B14,Journal!$E$3:$E$143,AI$3)=0,"",SUMIFS(Journal!$D$3:$D$143,Journal!$A$3:$A$143,$B14,Journal!$E$3:$E$143,AI$3))</f>
        <v/>
      </c>
      <c r="AJ14" s="86" t="str">
        <f>IF(SUMIFS(Journal!$D$3:$D$143,Journal!$A$3:$A$143,$B14,Journal!$F$3:$F$143,AI$3)=0,"",SUMIFS(Journal!$D$3:$D$143,Journal!$A$3:$A$143,$B14,Journal!$F$3:$F$143,AI$3))</f>
        <v/>
      </c>
      <c r="AK14" s="86" t="str">
        <f>IF(SUMIFS(Journal!$D$3:$D$143,Journal!$A$3:$A$143,$B14,Journal!$E$3:$E$143,AK$3)=0,"",SUMIFS(Journal!$D$3:$D$143,Journal!$A$3:$A$143,$B14,Journal!$E$3:$E$143,AK$3))</f>
        <v/>
      </c>
      <c r="AL14" s="86" t="str">
        <f>IF(SUMIFS(Journal!$D$3:$D$143,Journal!$A$3:$A$143,$B14,Journal!$F$3:$F$143,AK$3)=0,"",SUMIFS(Journal!$D$3:$D$143,Journal!$A$3:$A$143,$B14,Journal!$F$3:$F$143,AK$3))</f>
        <v/>
      </c>
      <c r="AM14" s="86" t="str">
        <f>IF(SUMIFS(Journal!$D$3:$D$143,Journal!$A$3:$A$143,$B14,Journal!$E$3:$E$143,AM$3)=0,"",SUMIFS(Journal!$D$3:$D$143,Journal!$A$3:$A$143,$B14,Journal!$E$3:$E$143,AM$3))</f>
        <v/>
      </c>
      <c r="AN14" s="86" t="str">
        <f>IF(SUMIFS(Journal!$D$3:$D$143,Journal!$A$3:$A$143,$B14,Journal!$F$3:$F$143,AM$3)=0,"",SUMIFS(Journal!$D$3:$D$143,Journal!$A$3:$A$143,$B14,Journal!$F$3:$F$143,AM$3))</f>
        <v/>
      </c>
      <c r="AO14" s="86" t="str">
        <f>IF(SUMIFS(Journal!$D$3:$D$143,Journal!$A$3:$A$143,$B14,Journal!$E$3:$E$143,AO$3)=0,"",SUMIFS(Journal!$D$3:$D$143,Journal!$A$3:$A$143,$B14,Journal!$E$3:$E$143,AO$3))</f>
        <v/>
      </c>
      <c r="AP14" s="86" t="str">
        <f>IF(SUMIFS(Journal!$D$3:$D$143,Journal!$A$3:$A$143,$B14,Journal!$F$3:$F$143,AO$3)=0,"",SUMIFS(Journal!$D$3:$D$143,Journal!$A$3:$A$143,$B14,Journal!$F$3:$F$143,AO$3))</f>
        <v/>
      </c>
      <c r="AQ14" s="86" t="str">
        <f>IF(SUMIFS(Journal!$D$3:$D$143,Journal!$A$3:$A$143,$B14,Journal!$E$3:$E$143,AQ$3)=0,"",SUMIFS(Journal!$D$3:$D$143,Journal!$A$3:$A$143,$B14,Journal!$E$3:$E$143,AQ$3))</f>
        <v/>
      </c>
      <c r="AR14" s="86" t="str">
        <f>IF(SUMIFS(Journal!$D$3:$D$143,Journal!$A$3:$A$143,$B14,Journal!$F$3:$F$143,AQ$3)=0,"",SUMIFS(Journal!$D$3:$D$143,Journal!$A$3:$A$143,$B14,Journal!$F$3:$F$143,AQ$3))</f>
        <v/>
      </c>
      <c r="AS14" s="86" t="str">
        <f>IF(SUMIFS(Journal!$D$3:$D$143,Journal!$A$3:$A$143,$B14,Journal!$E$3:$E$143,AS$3)=0,"",SUMIFS(Journal!$D$3:$D$143,Journal!$A$3:$A$143,$B14,Journal!$E$3:$E$143,AS$3))</f>
        <v/>
      </c>
      <c r="AT14" s="86" t="str">
        <f>IF(SUMIFS(Journal!$D$3:$D$143,Journal!$A$3:$A$143,$B14,Journal!$F$3:$F$143,AS$3)=0,"",SUMIFS(Journal!$D$3:$D$143,Journal!$A$3:$A$143,$B14,Journal!$F$3:$F$143,AS$3))</f>
        <v/>
      </c>
      <c r="AU14" s="86" t="str">
        <f>IF(SUMIFS(Journal!$D$3:$D$143,Journal!$A$3:$A$143,$B14,Journal!$E$3:$E$143,AU$3)=0,"",SUMIFS(Journal!$D$3:$D$143,Journal!$A$3:$A$143,$B14,Journal!$E$3:$E$143,AU$3))</f>
        <v/>
      </c>
      <c r="AV14" s="86" t="str">
        <f>IF(SUMIFS(Journal!$D$3:$D$143,Journal!$A$3:$A$143,$B14,Journal!$F$3:$F$143,AU$3)=0,"",SUMIFS(Journal!$D$3:$D$143,Journal!$A$3:$A$143,$B14,Journal!$F$3:$F$143,AU$3))</f>
        <v/>
      </c>
      <c r="AW14" s="86" t="str">
        <f>IF(SUMIFS(Journal!$D$3:$D$143,Journal!$A$3:$A$143,$B14,Journal!$E$3:$E$143,AW$3)=0,"",SUMIFS(Journal!$D$3:$D$143,Journal!$A$3:$A$143,$B14,Journal!$E$3:$E$143,AW$3))</f>
        <v/>
      </c>
      <c r="AX14" s="86" t="str">
        <f>IF(SUMIFS(Journal!$D$3:$D$143,Journal!$A$3:$A$143,$B14,Journal!$F$3:$F$143,AW$3)=0,"",SUMIFS(Journal!$D$3:$D$143,Journal!$A$3:$A$143,$B14,Journal!$F$3:$F$143,AW$3))</f>
        <v/>
      </c>
      <c r="AY14" s="86" t="str">
        <f>IF(SUMIFS(Journal!$D$3:$D$143,Journal!$A$3:$A$143,$B14,Journal!$E$3:$E$143,AY$3)=0,"",SUMIFS(Journal!$D$3:$D$143,Journal!$A$3:$A$143,$B14,Journal!$E$3:$E$143,AY$3))</f>
        <v/>
      </c>
      <c r="AZ14" s="86" t="str">
        <f>IF(SUMIFS(Journal!$D$3:$D$143,Journal!$A$3:$A$143,$B14,Journal!$F$3:$F$143,AY$3)=0,"",SUMIFS(Journal!$D$3:$D$143,Journal!$A$3:$A$143,$B14,Journal!$F$3:$F$143,AY$3))</f>
        <v/>
      </c>
      <c r="BA14" s="86" t="str">
        <f>IF(SUMIFS(Journal!$D$3:$D$143,Journal!$A$3:$A$143,$B14,Journal!$E$3:$E$143,BA$3)=0,"",SUMIFS(Journal!$D$3:$D$143,Journal!$A$3:$A$143,$B14,Journal!$E$3:$E$143,BA$3))</f>
        <v/>
      </c>
      <c r="BB14" s="86" t="str">
        <f>IF(SUMIFS(Journal!$D$3:$D$143,Journal!$A$3:$A$143,$B14,Journal!$F$3:$F$143,BA$3)=0,"",SUMIFS(Journal!$D$3:$D$143,Journal!$A$3:$A$143,$B14,Journal!$F$3:$F$143,BA$3))</f>
        <v/>
      </c>
      <c r="BD14" s="67" t="s">
        <v>129</v>
      </c>
    </row>
    <row r="15">
      <c r="A15" s="84">
        <f>VLOOKUP(B15,Journal!$A$3:$C$143,2,FALSE)</f>
        <v>45305</v>
      </c>
      <c r="B15" s="85" t="s">
        <v>189</v>
      </c>
      <c r="C15" s="86" t="str">
        <f>VLOOKUP(B15,Journal!$A$3:$C$143,3,FALSE)</f>
        <v>Purchased office supplies</v>
      </c>
      <c r="D15" s="86">
        <f>SUMIF(Journal!$A$3:$A$143,B15,Journal!$D$3:$D$143)</f>
        <v>1800</v>
      </c>
      <c r="E15" s="86" t="str">
        <f>IF(SUMIFS(Journal!$D$3:$D$143,Journal!$A$3:$A$143,$B15,Journal!$E$3:$E$143,E$3)=0,"",SUMIFS(Journal!$D$3:$D$143,Journal!$A$3:$A$143,$B15,Journal!$E$3:$E$143,E$3))</f>
        <v/>
      </c>
      <c r="F15" s="86">
        <f>IF(SUMIFS(Journal!$D$3:$D$143,Journal!$A$3:$A$143,$B15,Journal!$F$3:$F$143,E$3)=0,"",SUMIFS(Journal!$D$3:$D$143,Journal!$A$3:$A$143,$B15,Journal!$F$3:$F$143,E$3))</f>
        <v>1800</v>
      </c>
      <c r="G15" s="86" t="str">
        <f>IF(SUMIFS(Journal!$D$3:$D$143,Journal!$A$3:$A$143,$B15,Journal!$E$3:$E$143,G$3)=0,"",SUMIFS(Journal!$D$3:$D$143,Journal!$A$3:$A$143,$B15,Journal!$E$3:$E$143,G$3))</f>
        <v/>
      </c>
      <c r="H15" s="86" t="str">
        <f>IF(SUMIFS(Journal!$D$3:$D$143,Journal!$A$3:$A$143,$B15,Journal!$F$3:$F$143,G$3)=0,"",SUMIFS(Journal!$D$3:$D$143,Journal!$A$3:$A$143,$B15,Journal!$F$3:$F$143,G$3))</f>
        <v/>
      </c>
      <c r="I15" s="86" t="str">
        <f>IF(SUMIFS(Journal!$D$3:$D$143,Journal!$A$3:$A$143,$B15,Journal!$E$3:$E$143,I$3)=0,"",SUMIFS(Journal!$D$3:$D$143,Journal!$A$3:$A$143,$B15,Journal!$E$3:$E$143,I$3))</f>
        <v/>
      </c>
      <c r="J15" s="86" t="str">
        <f>IF(SUMIFS(Journal!$D$3:$D$143,Journal!$A$3:$A$143,$B15,Journal!$F$3:$F$143,I$3)=0,"",SUMIFS(Journal!$D$3:$D$143,Journal!$A$3:$A$143,$B15,Journal!$F$3:$F$143,I$3))</f>
        <v/>
      </c>
      <c r="K15" s="86" t="str">
        <f>IF(SUMIFS(Journal!$D$3:$D$143,Journal!$A$3:$A$143,$B15,Journal!$E$3:$E$143,K$3)=0,"",SUMIFS(Journal!$D$3:$D$143,Journal!$A$3:$A$143,$B15,Journal!$E$3:$E$143,K$3))</f>
        <v/>
      </c>
      <c r="L15" s="86" t="str">
        <f>IF(SUMIFS(Journal!$D$3:$D$143,Journal!$A$3:$A$143,$B15,Journal!$F$3:$F$143,K$3)=0,"",SUMIFS(Journal!$D$3:$D$143,Journal!$A$3:$A$143,$B15,Journal!$F$3:$F$143,K$3))</f>
        <v/>
      </c>
      <c r="M15" s="86" t="str">
        <f>IF(SUMIFS(Journal!$D$3:$D$143,Journal!$A$3:$A$143,$B15,Journal!$E$3:$E$143,M$3)=0,"",SUMIFS(Journal!$D$3:$D$143,Journal!$A$3:$A$143,$B15,Journal!$E$3:$E$143,M$3))</f>
        <v/>
      </c>
      <c r="N15" s="86" t="str">
        <f>IF(SUMIFS(Journal!$D$3:$D$143,Journal!$A$3:$A$143,$B15,Journal!$F$3:$F$143,M$3)=0,"",SUMIFS(Journal!$D$3:$D$143,Journal!$A$3:$A$143,$B15,Journal!$F$3:$F$143,M$3))</f>
        <v/>
      </c>
      <c r="O15" s="86" t="str">
        <f>IF(SUMIFS(Journal!$D$3:$D$143,Journal!$A$3:$A$143,$B15,Journal!$E$3:$E$143,O$3)=0,"",SUMIFS(Journal!$D$3:$D$143,Journal!$A$3:$A$143,$B15,Journal!$E$3:$E$143,O$3))</f>
        <v/>
      </c>
      <c r="P15" s="86" t="str">
        <f>IF(SUMIFS(Journal!$D$3:$D$143,Journal!$A$3:$A$143,$B15,Journal!$F$3:$F$143,O$3)=0,"",SUMIFS(Journal!$D$3:$D$143,Journal!$A$3:$A$143,$B15,Journal!$F$3:$F$143,O$3))</f>
        <v/>
      </c>
      <c r="Q15" s="86" t="str">
        <f>IF(SUMIFS(Journal!$D$3:$D$143,Journal!$A$3:$A$143,$B15,Journal!$E$3:$E$143,Q$3)=0,"",SUMIFS(Journal!$D$3:$D$143,Journal!$A$3:$A$143,$B15,Journal!$E$3:$E$143,Q$3))</f>
        <v/>
      </c>
      <c r="R15" s="86" t="str">
        <f>IF(SUMIFS(Journal!$D$3:$D$143,Journal!$A$3:$A$143,$B15,Journal!$F$3:$F$143,Q$3)=0,"",SUMIFS(Journal!$D$3:$D$143,Journal!$A$3:$A$143,$B15,Journal!$F$3:$F$143,Q$3))</f>
        <v/>
      </c>
      <c r="S15" s="86" t="str">
        <f>IF(SUMIFS(Journal!$D$3:$D$143,Journal!$A$3:$A$143,$B15,Journal!$E$3:$E$143,S$3)=0,"",SUMIFS(Journal!$D$3:$D$143,Journal!$A$3:$A$143,$B15,Journal!$E$3:$E$143,S$3))</f>
        <v/>
      </c>
      <c r="T15" s="86" t="str">
        <f>IF(SUMIFS(Journal!$D$3:$D$143,Journal!$A$3:$A$143,$B15,Journal!$F$3:$F$143,S$3)=0,"",SUMIFS(Journal!$D$3:$D$143,Journal!$A$3:$A$143,$B15,Journal!$F$3:$F$143,S$3))</f>
        <v/>
      </c>
      <c r="U15" s="86" t="str">
        <f>IF(SUMIFS(Journal!$D$3:$D$143,Journal!$A$3:$A$143,$B15,Journal!$E$3:$E$143,U$3)=0,"",SUMIFS(Journal!$D$3:$D$143,Journal!$A$3:$A$143,$B15,Journal!$E$3:$E$143,U$3))</f>
        <v/>
      </c>
      <c r="V15" s="86" t="str">
        <f>IF(SUMIFS(Journal!$D$3:$D$143,Journal!$A$3:$A$143,$B15,Journal!$F$3:$F$143,U$3)=0,"",SUMIFS(Journal!$D$3:$D$143,Journal!$A$3:$A$143,$B15,Journal!$F$3:$F$143,U$3))</f>
        <v/>
      </c>
      <c r="W15" s="86" t="str">
        <f>IF(SUMIFS(Journal!$D$3:$D$143,Journal!$A$3:$A$143,$B15,Journal!$E$3:$E$143,W$3)=0,"",SUMIFS(Journal!$D$3:$D$143,Journal!$A$3:$A$143,$B15,Journal!$E$3:$E$143,W$3))</f>
        <v/>
      </c>
      <c r="X15" s="86" t="str">
        <f>IF(SUMIFS(Journal!$D$3:$D$143,Journal!$A$3:$A$143,$B15,Journal!$F$3:$F$143,W$3)=0,"",SUMIFS(Journal!$D$3:$D$143,Journal!$A$3:$A$143,$B15,Journal!$F$3:$F$143,W$3))</f>
        <v/>
      </c>
      <c r="Y15" s="86" t="str">
        <f>IF(SUMIFS(Journal!$D$3:$D$143,Journal!$A$3:$A$143,$B15,Journal!$E$3:$E$143,Y$3)=0,"",SUMIFS(Journal!$D$3:$D$143,Journal!$A$3:$A$143,$B15,Journal!$E$3:$E$143,Y$3))</f>
        <v/>
      </c>
      <c r="Z15" s="86" t="str">
        <f>IF(SUMIFS(Journal!$D$3:$D$143,Journal!$A$3:$A$143,$B15,Journal!$F$3:$F$143,Y$3)=0,"",SUMIFS(Journal!$D$3:$D$143,Journal!$A$3:$A$143,$B15,Journal!$F$3:$F$143,Y$3))</f>
        <v/>
      </c>
      <c r="AA15" s="86" t="str">
        <f>IF(SUMIFS(Journal!$D$3:$D$143,Journal!$A$3:$A$143,$B15,Journal!$E$3:$E$143,AA$3)=0,"",SUMIFS(Journal!$D$3:$D$143,Journal!$A$3:$A$143,$B15,Journal!$E$3:$E$143,AA$3))</f>
        <v/>
      </c>
      <c r="AB15" s="86" t="str">
        <f>IF(SUMIFS(Journal!$D$3:$D$143,Journal!$A$3:$A$143,$B15,Journal!$F$3:$F$143,AA$3)=0,"",SUMIFS(Journal!$D$3:$D$143,Journal!$A$3:$A$143,$B15,Journal!$F$3:$F$143,AA$3))</f>
        <v/>
      </c>
      <c r="AC15" s="86" t="str">
        <f>IF(SUMIFS(Journal!$D$3:$D$143,Journal!$A$3:$A$143,$B15,Journal!$E$3:$E$143,AC$3)=0,"",SUMIFS(Journal!$D$3:$D$143,Journal!$A$3:$A$143,$B15,Journal!$E$3:$E$143,AC$3))</f>
        <v/>
      </c>
      <c r="AD15" s="86" t="str">
        <f>IF(SUMIFS(Journal!$D$3:$D$143,Journal!$A$3:$A$143,$B15,Journal!$F$3:$F$143,AC$3)=0,"",SUMIFS(Journal!$D$3:$D$143,Journal!$A$3:$A$143,$B15,Journal!$F$3:$F$143,AC$3))</f>
        <v/>
      </c>
      <c r="AE15" s="86" t="str">
        <f>IF(SUMIFS(Journal!$D$3:$D$143,Journal!$A$3:$A$143,$B15,Journal!$E$3:$E$143,AE$3)=0,"",SUMIFS(Journal!$D$3:$D$143,Journal!$A$3:$A$143,$B15,Journal!$E$3:$E$143,AE$3))</f>
        <v/>
      </c>
      <c r="AF15" s="86" t="str">
        <f>IF(SUMIFS(Journal!$D$3:$D$143,Journal!$A$3:$A$143,$B15,Journal!$F$3:$F$143,AE$3)=0,"",SUMIFS(Journal!$D$3:$D$143,Journal!$A$3:$A$143,$B15,Journal!$F$3:$F$143,AE$3))</f>
        <v/>
      </c>
      <c r="AG15" s="86" t="str">
        <f>IF(SUMIFS(Journal!$D$3:$D$143,Journal!$A$3:$A$143,$B15,Journal!$E$3:$E$143,AG$3)=0,"",SUMIFS(Journal!$D$3:$D$143,Journal!$A$3:$A$143,$B15,Journal!$E$3:$E$143,AG$3))</f>
        <v/>
      </c>
      <c r="AH15" s="86" t="str">
        <f>IF(SUMIFS(Journal!$D$3:$D$143,Journal!$A$3:$A$143,$B15,Journal!$F$3:$F$143,AG$3)=0,"",SUMIFS(Journal!$D$3:$D$143,Journal!$A$3:$A$143,$B15,Journal!$F$3:$F$143,AG$3))</f>
        <v/>
      </c>
      <c r="AI15" s="86" t="str">
        <f>IF(SUMIFS(Journal!$D$3:$D$143,Journal!$A$3:$A$143,$B15,Journal!$E$3:$E$143,AI$3)=0,"",SUMIFS(Journal!$D$3:$D$143,Journal!$A$3:$A$143,$B15,Journal!$E$3:$E$143,AI$3))</f>
        <v/>
      </c>
      <c r="AJ15" s="86" t="str">
        <f>IF(SUMIFS(Journal!$D$3:$D$143,Journal!$A$3:$A$143,$B15,Journal!$F$3:$F$143,AI$3)=0,"",SUMIFS(Journal!$D$3:$D$143,Journal!$A$3:$A$143,$B15,Journal!$F$3:$F$143,AI$3))</f>
        <v/>
      </c>
      <c r="AK15" s="86" t="str">
        <f>IF(SUMIFS(Journal!$D$3:$D$143,Journal!$A$3:$A$143,$B15,Journal!$E$3:$E$143,AK$3)=0,"",SUMIFS(Journal!$D$3:$D$143,Journal!$A$3:$A$143,$B15,Journal!$E$3:$E$143,AK$3))</f>
        <v/>
      </c>
      <c r="AL15" s="86" t="str">
        <f>IF(SUMIFS(Journal!$D$3:$D$143,Journal!$A$3:$A$143,$B15,Journal!$F$3:$F$143,AK$3)=0,"",SUMIFS(Journal!$D$3:$D$143,Journal!$A$3:$A$143,$B15,Journal!$F$3:$F$143,AK$3))</f>
        <v/>
      </c>
      <c r="AM15" s="86" t="str">
        <f>IF(SUMIFS(Journal!$D$3:$D$143,Journal!$A$3:$A$143,$B15,Journal!$E$3:$E$143,AM$3)=0,"",SUMIFS(Journal!$D$3:$D$143,Journal!$A$3:$A$143,$B15,Journal!$E$3:$E$143,AM$3))</f>
        <v/>
      </c>
      <c r="AN15" s="86" t="str">
        <f>IF(SUMIFS(Journal!$D$3:$D$143,Journal!$A$3:$A$143,$B15,Journal!$F$3:$F$143,AM$3)=0,"",SUMIFS(Journal!$D$3:$D$143,Journal!$A$3:$A$143,$B15,Journal!$F$3:$F$143,AM$3))</f>
        <v/>
      </c>
      <c r="AO15" s="86" t="str">
        <f>IF(SUMIFS(Journal!$D$3:$D$143,Journal!$A$3:$A$143,$B15,Journal!$E$3:$E$143,AO$3)=0,"",SUMIFS(Journal!$D$3:$D$143,Journal!$A$3:$A$143,$B15,Journal!$E$3:$E$143,AO$3))</f>
        <v/>
      </c>
      <c r="AP15" s="86" t="str">
        <f>IF(SUMIFS(Journal!$D$3:$D$143,Journal!$A$3:$A$143,$B15,Journal!$F$3:$F$143,AO$3)=0,"",SUMIFS(Journal!$D$3:$D$143,Journal!$A$3:$A$143,$B15,Journal!$F$3:$F$143,AO$3))</f>
        <v/>
      </c>
      <c r="AQ15" s="86">
        <f>IF(SUMIFS(Journal!$D$3:$D$143,Journal!$A$3:$A$143,$B15,Journal!$E$3:$E$143,AQ$3)=0,"",SUMIFS(Journal!$D$3:$D$143,Journal!$A$3:$A$143,$B15,Journal!$E$3:$E$143,AQ$3))</f>
        <v>1800</v>
      </c>
      <c r="AR15" s="86" t="str">
        <f>IF(SUMIFS(Journal!$D$3:$D$143,Journal!$A$3:$A$143,$B15,Journal!$F$3:$F$143,AQ$3)=0,"",SUMIFS(Journal!$D$3:$D$143,Journal!$A$3:$A$143,$B15,Journal!$F$3:$F$143,AQ$3))</f>
        <v/>
      </c>
      <c r="AS15" s="86" t="str">
        <f>IF(SUMIFS(Journal!$D$3:$D$143,Journal!$A$3:$A$143,$B15,Journal!$E$3:$E$143,AS$3)=0,"",SUMIFS(Journal!$D$3:$D$143,Journal!$A$3:$A$143,$B15,Journal!$E$3:$E$143,AS$3))</f>
        <v/>
      </c>
      <c r="AT15" s="86" t="str">
        <f>IF(SUMIFS(Journal!$D$3:$D$143,Journal!$A$3:$A$143,$B15,Journal!$F$3:$F$143,AS$3)=0,"",SUMIFS(Journal!$D$3:$D$143,Journal!$A$3:$A$143,$B15,Journal!$F$3:$F$143,AS$3))</f>
        <v/>
      </c>
      <c r="AU15" s="86" t="str">
        <f>IF(SUMIFS(Journal!$D$3:$D$143,Journal!$A$3:$A$143,$B15,Journal!$E$3:$E$143,AU$3)=0,"",SUMIFS(Journal!$D$3:$D$143,Journal!$A$3:$A$143,$B15,Journal!$E$3:$E$143,AU$3))</f>
        <v/>
      </c>
      <c r="AV15" s="86" t="str">
        <f>IF(SUMIFS(Journal!$D$3:$D$143,Journal!$A$3:$A$143,$B15,Journal!$F$3:$F$143,AU$3)=0,"",SUMIFS(Journal!$D$3:$D$143,Journal!$A$3:$A$143,$B15,Journal!$F$3:$F$143,AU$3))</f>
        <v/>
      </c>
      <c r="AW15" s="86" t="str">
        <f>IF(SUMIFS(Journal!$D$3:$D$143,Journal!$A$3:$A$143,$B15,Journal!$E$3:$E$143,AW$3)=0,"",SUMIFS(Journal!$D$3:$D$143,Journal!$A$3:$A$143,$B15,Journal!$E$3:$E$143,AW$3))</f>
        <v/>
      </c>
      <c r="AX15" s="86" t="str">
        <f>IF(SUMIFS(Journal!$D$3:$D$143,Journal!$A$3:$A$143,$B15,Journal!$F$3:$F$143,AW$3)=0,"",SUMIFS(Journal!$D$3:$D$143,Journal!$A$3:$A$143,$B15,Journal!$F$3:$F$143,AW$3))</f>
        <v/>
      </c>
      <c r="AY15" s="86" t="str">
        <f>IF(SUMIFS(Journal!$D$3:$D$143,Journal!$A$3:$A$143,$B15,Journal!$E$3:$E$143,AY$3)=0,"",SUMIFS(Journal!$D$3:$D$143,Journal!$A$3:$A$143,$B15,Journal!$E$3:$E$143,AY$3))</f>
        <v/>
      </c>
      <c r="AZ15" s="86" t="str">
        <f>IF(SUMIFS(Journal!$D$3:$D$143,Journal!$A$3:$A$143,$B15,Journal!$F$3:$F$143,AY$3)=0,"",SUMIFS(Journal!$D$3:$D$143,Journal!$A$3:$A$143,$B15,Journal!$F$3:$F$143,AY$3))</f>
        <v/>
      </c>
      <c r="BA15" s="86" t="str">
        <f>IF(SUMIFS(Journal!$D$3:$D$143,Journal!$A$3:$A$143,$B15,Journal!$E$3:$E$143,BA$3)=0,"",SUMIFS(Journal!$D$3:$D$143,Journal!$A$3:$A$143,$B15,Journal!$E$3:$E$143,BA$3))</f>
        <v/>
      </c>
      <c r="BB15" s="86" t="str">
        <f>IF(SUMIFS(Journal!$D$3:$D$143,Journal!$A$3:$A$143,$B15,Journal!$F$3:$F$143,BA$3)=0,"",SUMIFS(Journal!$D$3:$D$143,Journal!$A$3:$A$143,$B15,Journal!$F$3:$F$143,BA$3))</f>
        <v/>
      </c>
      <c r="BD15" s="67" t="s">
        <v>133</v>
      </c>
    </row>
    <row r="16">
      <c r="A16" s="84">
        <f>VLOOKUP(B16,Journal!$A$3:$C$143,2,FALSE)</f>
        <v>45307</v>
      </c>
      <c r="B16" s="85" t="s">
        <v>194</v>
      </c>
      <c r="C16" s="86" t="str">
        <f>VLOOKUP(B16,Journal!$A$3:$C$143,3,FALSE)</f>
        <v>Purchased initial retail inventory</v>
      </c>
      <c r="D16" s="86">
        <f>SUMIF(Journal!$A$3:$A$143,B16,Journal!$D$3:$D$143)</f>
        <v>12000</v>
      </c>
      <c r="E16" s="86" t="str">
        <f>IF(SUMIFS(Journal!$D$3:$D$143,Journal!$A$3:$A$143,$B16,Journal!$E$3:$E$143,E$3)=0,"",SUMIFS(Journal!$D$3:$D$143,Journal!$A$3:$A$143,$B16,Journal!$E$3:$E$143,E$3))</f>
        <v/>
      </c>
      <c r="F16" s="86">
        <f>IF(SUMIFS(Journal!$D$3:$D$143,Journal!$A$3:$A$143,$B16,Journal!$F$3:$F$143,E$3)=0,"",SUMIFS(Journal!$D$3:$D$143,Journal!$A$3:$A$143,$B16,Journal!$F$3:$F$143,E$3))</f>
        <v>12000</v>
      </c>
      <c r="G16" s="86" t="str">
        <f>IF(SUMIFS(Journal!$D$3:$D$143,Journal!$A$3:$A$143,$B16,Journal!$E$3:$E$143,G$3)=0,"",SUMIFS(Journal!$D$3:$D$143,Journal!$A$3:$A$143,$B16,Journal!$E$3:$E$143,G$3))</f>
        <v/>
      </c>
      <c r="H16" s="86" t="str">
        <f>IF(SUMIFS(Journal!$D$3:$D$143,Journal!$A$3:$A$143,$B16,Journal!$F$3:$F$143,G$3)=0,"",SUMIFS(Journal!$D$3:$D$143,Journal!$A$3:$A$143,$B16,Journal!$F$3:$F$143,G$3))</f>
        <v/>
      </c>
      <c r="I16" s="86">
        <f>IF(SUMIFS(Journal!$D$3:$D$143,Journal!$A$3:$A$143,$B16,Journal!$E$3:$E$143,I$3)=0,"",SUMIFS(Journal!$D$3:$D$143,Journal!$A$3:$A$143,$B16,Journal!$E$3:$E$143,I$3))</f>
        <v>12000</v>
      </c>
      <c r="J16" s="86" t="str">
        <f>IF(SUMIFS(Journal!$D$3:$D$143,Journal!$A$3:$A$143,$B16,Journal!$F$3:$F$143,I$3)=0,"",SUMIFS(Journal!$D$3:$D$143,Journal!$A$3:$A$143,$B16,Journal!$F$3:$F$143,I$3))</f>
        <v/>
      </c>
      <c r="K16" s="86" t="str">
        <f>IF(SUMIFS(Journal!$D$3:$D$143,Journal!$A$3:$A$143,$B16,Journal!$E$3:$E$143,K$3)=0,"",SUMIFS(Journal!$D$3:$D$143,Journal!$A$3:$A$143,$B16,Journal!$E$3:$E$143,K$3))</f>
        <v/>
      </c>
      <c r="L16" s="86" t="str">
        <f>IF(SUMIFS(Journal!$D$3:$D$143,Journal!$A$3:$A$143,$B16,Journal!$F$3:$F$143,K$3)=0,"",SUMIFS(Journal!$D$3:$D$143,Journal!$A$3:$A$143,$B16,Journal!$F$3:$F$143,K$3))</f>
        <v/>
      </c>
      <c r="M16" s="86" t="str">
        <f>IF(SUMIFS(Journal!$D$3:$D$143,Journal!$A$3:$A$143,$B16,Journal!$E$3:$E$143,M$3)=0,"",SUMIFS(Journal!$D$3:$D$143,Journal!$A$3:$A$143,$B16,Journal!$E$3:$E$143,M$3))</f>
        <v/>
      </c>
      <c r="N16" s="86" t="str">
        <f>IF(SUMIFS(Journal!$D$3:$D$143,Journal!$A$3:$A$143,$B16,Journal!$F$3:$F$143,M$3)=0,"",SUMIFS(Journal!$D$3:$D$143,Journal!$A$3:$A$143,$B16,Journal!$F$3:$F$143,M$3))</f>
        <v/>
      </c>
      <c r="O16" s="86" t="str">
        <f>IF(SUMIFS(Journal!$D$3:$D$143,Journal!$A$3:$A$143,$B16,Journal!$E$3:$E$143,O$3)=0,"",SUMIFS(Journal!$D$3:$D$143,Journal!$A$3:$A$143,$B16,Journal!$E$3:$E$143,O$3))</f>
        <v/>
      </c>
      <c r="P16" s="86" t="str">
        <f>IF(SUMIFS(Journal!$D$3:$D$143,Journal!$A$3:$A$143,$B16,Journal!$F$3:$F$143,O$3)=0,"",SUMIFS(Journal!$D$3:$D$143,Journal!$A$3:$A$143,$B16,Journal!$F$3:$F$143,O$3))</f>
        <v/>
      </c>
      <c r="Q16" s="86" t="str">
        <f>IF(SUMIFS(Journal!$D$3:$D$143,Journal!$A$3:$A$143,$B16,Journal!$E$3:$E$143,Q$3)=0,"",SUMIFS(Journal!$D$3:$D$143,Journal!$A$3:$A$143,$B16,Journal!$E$3:$E$143,Q$3))</f>
        <v/>
      </c>
      <c r="R16" s="86" t="str">
        <f>IF(SUMIFS(Journal!$D$3:$D$143,Journal!$A$3:$A$143,$B16,Journal!$F$3:$F$143,Q$3)=0,"",SUMIFS(Journal!$D$3:$D$143,Journal!$A$3:$A$143,$B16,Journal!$F$3:$F$143,Q$3))</f>
        <v/>
      </c>
      <c r="S16" s="86" t="str">
        <f>IF(SUMIFS(Journal!$D$3:$D$143,Journal!$A$3:$A$143,$B16,Journal!$E$3:$E$143,S$3)=0,"",SUMIFS(Journal!$D$3:$D$143,Journal!$A$3:$A$143,$B16,Journal!$E$3:$E$143,S$3))</f>
        <v/>
      </c>
      <c r="T16" s="86" t="str">
        <f>IF(SUMIFS(Journal!$D$3:$D$143,Journal!$A$3:$A$143,$B16,Journal!$F$3:$F$143,S$3)=0,"",SUMIFS(Journal!$D$3:$D$143,Journal!$A$3:$A$143,$B16,Journal!$F$3:$F$143,S$3))</f>
        <v/>
      </c>
      <c r="U16" s="86" t="str">
        <f>IF(SUMIFS(Journal!$D$3:$D$143,Journal!$A$3:$A$143,$B16,Journal!$E$3:$E$143,U$3)=0,"",SUMIFS(Journal!$D$3:$D$143,Journal!$A$3:$A$143,$B16,Journal!$E$3:$E$143,U$3))</f>
        <v/>
      </c>
      <c r="V16" s="86" t="str">
        <f>IF(SUMIFS(Journal!$D$3:$D$143,Journal!$A$3:$A$143,$B16,Journal!$F$3:$F$143,U$3)=0,"",SUMIFS(Journal!$D$3:$D$143,Journal!$A$3:$A$143,$B16,Journal!$F$3:$F$143,U$3))</f>
        <v/>
      </c>
      <c r="W16" s="86" t="str">
        <f>IF(SUMIFS(Journal!$D$3:$D$143,Journal!$A$3:$A$143,$B16,Journal!$E$3:$E$143,W$3)=0,"",SUMIFS(Journal!$D$3:$D$143,Journal!$A$3:$A$143,$B16,Journal!$E$3:$E$143,W$3))</f>
        <v/>
      </c>
      <c r="X16" s="86" t="str">
        <f>IF(SUMIFS(Journal!$D$3:$D$143,Journal!$A$3:$A$143,$B16,Journal!$F$3:$F$143,W$3)=0,"",SUMIFS(Journal!$D$3:$D$143,Journal!$A$3:$A$143,$B16,Journal!$F$3:$F$143,W$3))</f>
        <v/>
      </c>
      <c r="Y16" s="86" t="str">
        <f>IF(SUMIFS(Journal!$D$3:$D$143,Journal!$A$3:$A$143,$B16,Journal!$E$3:$E$143,Y$3)=0,"",SUMIFS(Journal!$D$3:$D$143,Journal!$A$3:$A$143,$B16,Journal!$E$3:$E$143,Y$3))</f>
        <v/>
      </c>
      <c r="Z16" s="86" t="str">
        <f>IF(SUMIFS(Journal!$D$3:$D$143,Journal!$A$3:$A$143,$B16,Journal!$F$3:$F$143,Y$3)=0,"",SUMIFS(Journal!$D$3:$D$143,Journal!$A$3:$A$143,$B16,Journal!$F$3:$F$143,Y$3))</f>
        <v/>
      </c>
      <c r="AA16" s="86" t="str">
        <f>IF(SUMIFS(Journal!$D$3:$D$143,Journal!$A$3:$A$143,$B16,Journal!$E$3:$E$143,AA$3)=0,"",SUMIFS(Journal!$D$3:$D$143,Journal!$A$3:$A$143,$B16,Journal!$E$3:$E$143,AA$3))</f>
        <v/>
      </c>
      <c r="AB16" s="86" t="str">
        <f>IF(SUMIFS(Journal!$D$3:$D$143,Journal!$A$3:$A$143,$B16,Journal!$F$3:$F$143,AA$3)=0,"",SUMIFS(Journal!$D$3:$D$143,Journal!$A$3:$A$143,$B16,Journal!$F$3:$F$143,AA$3))</f>
        <v/>
      </c>
      <c r="AC16" s="86" t="str">
        <f>IF(SUMIFS(Journal!$D$3:$D$143,Journal!$A$3:$A$143,$B16,Journal!$E$3:$E$143,AC$3)=0,"",SUMIFS(Journal!$D$3:$D$143,Journal!$A$3:$A$143,$B16,Journal!$E$3:$E$143,AC$3))</f>
        <v/>
      </c>
      <c r="AD16" s="86" t="str">
        <f>IF(SUMIFS(Journal!$D$3:$D$143,Journal!$A$3:$A$143,$B16,Journal!$F$3:$F$143,AC$3)=0,"",SUMIFS(Journal!$D$3:$D$143,Journal!$A$3:$A$143,$B16,Journal!$F$3:$F$143,AC$3))</f>
        <v/>
      </c>
      <c r="AE16" s="86" t="str">
        <f>IF(SUMIFS(Journal!$D$3:$D$143,Journal!$A$3:$A$143,$B16,Journal!$E$3:$E$143,AE$3)=0,"",SUMIFS(Journal!$D$3:$D$143,Journal!$A$3:$A$143,$B16,Journal!$E$3:$E$143,AE$3))</f>
        <v/>
      </c>
      <c r="AF16" s="86" t="str">
        <f>IF(SUMIFS(Journal!$D$3:$D$143,Journal!$A$3:$A$143,$B16,Journal!$F$3:$F$143,AE$3)=0,"",SUMIFS(Journal!$D$3:$D$143,Journal!$A$3:$A$143,$B16,Journal!$F$3:$F$143,AE$3))</f>
        <v/>
      </c>
      <c r="AG16" s="86" t="str">
        <f>IF(SUMIFS(Journal!$D$3:$D$143,Journal!$A$3:$A$143,$B16,Journal!$E$3:$E$143,AG$3)=0,"",SUMIFS(Journal!$D$3:$D$143,Journal!$A$3:$A$143,$B16,Journal!$E$3:$E$143,AG$3))</f>
        <v/>
      </c>
      <c r="AH16" s="86" t="str">
        <f>IF(SUMIFS(Journal!$D$3:$D$143,Journal!$A$3:$A$143,$B16,Journal!$F$3:$F$143,AG$3)=0,"",SUMIFS(Journal!$D$3:$D$143,Journal!$A$3:$A$143,$B16,Journal!$F$3:$F$143,AG$3))</f>
        <v/>
      </c>
      <c r="AI16" s="86" t="str">
        <f>IF(SUMIFS(Journal!$D$3:$D$143,Journal!$A$3:$A$143,$B16,Journal!$E$3:$E$143,AI$3)=0,"",SUMIFS(Journal!$D$3:$D$143,Journal!$A$3:$A$143,$B16,Journal!$E$3:$E$143,AI$3))</f>
        <v/>
      </c>
      <c r="AJ16" s="86" t="str">
        <f>IF(SUMIFS(Journal!$D$3:$D$143,Journal!$A$3:$A$143,$B16,Journal!$F$3:$F$143,AI$3)=0,"",SUMIFS(Journal!$D$3:$D$143,Journal!$A$3:$A$143,$B16,Journal!$F$3:$F$143,AI$3))</f>
        <v/>
      </c>
      <c r="AK16" s="86" t="str">
        <f>IF(SUMIFS(Journal!$D$3:$D$143,Journal!$A$3:$A$143,$B16,Journal!$E$3:$E$143,AK$3)=0,"",SUMIFS(Journal!$D$3:$D$143,Journal!$A$3:$A$143,$B16,Journal!$E$3:$E$143,AK$3))</f>
        <v/>
      </c>
      <c r="AL16" s="86" t="str">
        <f>IF(SUMIFS(Journal!$D$3:$D$143,Journal!$A$3:$A$143,$B16,Journal!$F$3:$F$143,AK$3)=0,"",SUMIFS(Journal!$D$3:$D$143,Journal!$A$3:$A$143,$B16,Journal!$F$3:$F$143,AK$3))</f>
        <v/>
      </c>
      <c r="AM16" s="86" t="str">
        <f>IF(SUMIFS(Journal!$D$3:$D$143,Journal!$A$3:$A$143,$B16,Journal!$E$3:$E$143,AM$3)=0,"",SUMIFS(Journal!$D$3:$D$143,Journal!$A$3:$A$143,$B16,Journal!$E$3:$E$143,AM$3))</f>
        <v/>
      </c>
      <c r="AN16" s="86" t="str">
        <f>IF(SUMIFS(Journal!$D$3:$D$143,Journal!$A$3:$A$143,$B16,Journal!$F$3:$F$143,AM$3)=0,"",SUMIFS(Journal!$D$3:$D$143,Journal!$A$3:$A$143,$B16,Journal!$F$3:$F$143,AM$3))</f>
        <v/>
      </c>
      <c r="AO16" s="86" t="str">
        <f>IF(SUMIFS(Journal!$D$3:$D$143,Journal!$A$3:$A$143,$B16,Journal!$E$3:$E$143,AO$3)=0,"",SUMIFS(Journal!$D$3:$D$143,Journal!$A$3:$A$143,$B16,Journal!$E$3:$E$143,AO$3))</f>
        <v/>
      </c>
      <c r="AP16" s="86" t="str">
        <f>IF(SUMIFS(Journal!$D$3:$D$143,Journal!$A$3:$A$143,$B16,Journal!$F$3:$F$143,AO$3)=0,"",SUMIFS(Journal!$D$3:$D$143,Journal!$A$3:$A$143,$B16,Journal!$F$3:$F$143,AO$3))</f>
        <v/>
      </c>
      <c r="AQ16" s="86" t="str">
        <f>IF(SUMIFS(Journal!$D$3:$D$143,Journal!$A$3:$A$143,$B16,Journal!$E$3:$E$143,AQ$3)=0,"",SUMIFS(Journal!$D$3:$D$143,Journal!$A$3:$A$143,$B16,Journal!$E$3:$E$143,AQ$3))</f>
        <v/>
      </c>
      <c r="AR16" s="86" t="str">
        <f>IF(SUMIFS(Journal!$D$3:$D$143,Journal!$A$3:$A$143,$B16,Journal!$F$3:$F$143,AQ$3)=0,"",SUMIFS(Journal!$D$3:$D$143,Journal!$A$3:$A$143,$B16,Journal!$F$3:$F$143,AQ$3))</f>
        <v/>
      </c>
      <c r="AS16" s="86" t="str">
        <f>IF(SUMIFS(Journal!$D$3:$D$143,Journal!$A$3:$A$143,$B16,Journal!$E$3:$E$143,AS$3)=0,"",SUMIFS(Journal!$D$3:$D$143,Journal!$A$3:$A$143,$B16,Journal!$E$3:$E$143,AS$3))</f>
        <v/>
      </c>
      <c r="AT16" s="86" t="str">
        <f>IF(SUMIFS(Journal!$D$3:$D$143,Journal!$A$3:$A$143,$B16,Journal!$F$3:$F$143,AS$3)=0,"",SUMIFS(Journal!$D$3:$D$143,Journal!$A$3:$A$143,$B16,Journal!$F$3:$F$143,AS$3))</f>
        <v/>
      </c>
      <c r="AU16" s="86" t="str">
        <f>IF(SUMIFS(Journal!$D$3:$D$143,Journal!$A$3:$A$143,$B16,Journal!$E$3:$E$143,AU$3)=0,"",SUMIFS(Journal!$D$3:$D$143,Journal!$A$3:$A$143,$B16,Journal!$E$3:$E$143,AU$3))</f>
        <v/>
      </c>
      <c r="AV16" s="86" t="str">
        <f>IF(SUMIFS(Journal!$D$3:$D$143,Journal!$A$3:$A$143,$B16,Journal!$F$3:$F$143,AU$3)=0,"",SUMIFS(Journal!$D$3:$D$143,Journal!$A$3:$A$143,$B16,Journal!$F$3:$F$143,AU$3))</f>
        <v/>
      </c>
      <c r="AW16" s="86" t="str">
        <f>IF(SUMIFS(Journal!$D$3:$D$143,Journal!$A$3:$A$143,$B16,Journal!$E$3:$E$143,AW$3)=0,"",SUMIFS(Journal!$D$3:$D$143,Journal!$A$3:$A$143,$B16,Journal!$E$3:$E$143,AW$3))</f>
        <v/>
      </c>
      <c r="AX16" s="86" t="str">
        <f>IF(SUMIFS(Journal!$D$3:$D$143,Journal!$A$3:$A$143,$B16,Journal!$F$3:$F$143,AW$3)=0,"",SUMIFS(Journal!$D$3:$D$143,Journal!$A$3:$A$143,$B16,Journal!$F$3:$F$143,AW$3))</f>
        <v/>
      </c>
      <c r="AY16" s="86" t="str">
        <f>IF(SUMIFS(Journal!$D$3:$D$143,Journal!$A$3:$A$143,$B16,Journal!$E$3:$E$143,AY$3)=0,"",SUMIFS(Journal!$D$3:$D$143,Journal!$A$3:$A$143,$B16,Journal!$E$3:$E$143,AY$3))</f>
        <v/>
      </c>
      <c r="AZ16" s="86" t="str">
        <f>IF(SUMIFS(Journal!$D$3:$D$143,Journal!$A$3:$A$143,$B16,Journal!$F$3:$F$143,AY$3)=0,"",SUMIFS(Journal!$D$3:$D$143,Journal!$A$3:$A$143,$B16,Journal!$F$3:$F$143,AY$3))</f>
        <v/>
      </c>
      <c r="BA16" s="86" t="str">
        <f>IF(SUMIFS(Journal!$D$3:$D$143,Journal!$A$3:$A$143,$B16,Journal!$E$3:$E$143,BA$3)=0,"",SUMIFS(Journal!$D$3:$D$143,Journal!$A$3:$A$143,$B16,Journal!$E$3:$E$143,BA$3))</f>
        <v/>
      </c>
      <c r="BB16" s="86" t="str">
        <f>IF(SUMIFS(Journal!$D$3:$D$143,Journal!$A$3:$A$143,$B16,Journal!$F$3:$F$143,BA$3)=0,"",SUMIFS(Journal!$D$3:$D$143,Journal!$A$3:$A$143,$B16,Journal!$F$3:$F$143,BA$3))</f>
        <v/>
      </c>
      <c r="BD16" s="67" t="s">
        <v>29</v>
      </c>
    </row>
    <row r="17">
      <c r="A17" s="84">
        <f>VLOOKUP(B17,Journal!$A$3:$C$143,2,FALSE)</f>
        <v>45309</v>
      </c>
      <c r="B17" s="85" t="s">
        <v>203</v>
      </c>
      <c r="C17" s="86" t="str">
        <f>VLOOKUP(B17,Journal!$A$3:$C$143,3,FALSE)</f>
        <v>Opening advertising campaign</v>
      </c>
      <c r="D17" s="86">
        <f>SUMIF(Journal!$A$3:$A$143,B17,Journal!$D$3:$D$143)</f>
        <v>2200</v>
      </c>
      <c r="E17" s="86" t="str">
        <f>IF(SUMIFS(Journal!$D$3:$D$143,Journal!$A$3:$A$143,$B17,Journal!$E$3:$E$143,E$3)=0,"",SUMIFS(Journal!$D$3:$D$143,Journal!$A$3:$A$143,$B17,Journal!$E$3:$E$143,E$3))</f>
        <v/>
      </c>
      <c r="F17" s="86">
        <f>IF(SUMIFS(Journal!$D$3:$D$143,Journal!$A$3:$A$143,$B17,Journal!$F$3:$F$143,E$3)=0,"",SUMIFS(Journal!$D$3:$D$143,Journal!$A$3:$A$143,$B17,Journal!$F$3:$F$143,E$3))</f>
        <v>2200</v>
      </c>
      <c r="G17" s="86" t="str">
        <f>IF(SUMIFS(Journal!$D$3:$D$143,Journal!$A$3:$A$143,$B17,Journal!$E$3:$E$143,G$3)=0,"",SUMIFS(Journal!$D$3:$D$143,Journal!$A$3:$A$143,$B17,Journal!$E$3:$E$143,G$3))</f>
        <v/>
      </c>
      <c r="H17" s="86" t="str">
        <f>IF(SUMIFS(Journal!$D$3:$D$143,Journal!$A$3:$A$143,$B17,Journal!$F$3:$F$143,G$3)=0,"",SUMIFS(Journal!$D$3:$D$143,Journal!$A$3:$A$143,$B17,Journal!$F$3:$F$143,G$3))</f>
        <v/>
      </c>
      <c r="I17" s="86" t="str">
        <f>IF(SUMIFS(Journal!$D$3:$D$143,Journal!$A$3:$A$143,$B17,Journal!$E$3:$E$143,I$3)=0,"",SUMIFS(Journal!$D$3:$D$143,Journal!$A$3:$A$143,$B17,Journal!$E$3:$E$143,I$3))</f>
        <v/>
      </c>
      <c r="J17" s="86" t="str">
        <f>IF(SUMIFS(Journal!$D$3:$D$143,Journal!$A$3:$A$143,$B17,Journal!$F$3:$F$143,I$3)=0,"",SUMIFS(Journal!$D$3:$D$143,Journal!$A$3:$A$143,$B17,Journal!$F$3:$F$143,I$3))</f>
        <v/>
      </c>
      <c r="K17" s="86" t="str">
        <f>IF(SUMIFS(Journal!$D$3:$D$143,Journal!$A$3:$A$143,$B17,Journal!$E$3:$E$143,K$3)=0,"",SUMIFS(Journal!$D$3:$D$143,Journal!$A$3:$A$143,$B17,Journal!$E$3:$E$143,K$3))</f>
        <v/>
      </c>
      <c r="L17" s="86" t="str">
        <f>IF(SUMIFS(Journal!$D$3:$D$143,Journal!$A$3:$A$143,$B17,Journal!$F$3:$F$143,K$3)=0,"",SUMIFS(Journal!$D$3:$D$143,Journal!$A$3:$A$143,$B17,Journal!$F$3:$F$143,K$3))</f>
        <v/>
      </c>
      <c r="M17" s="86" t="str">
        <f>IF(SUMIFS(Journal!$D$3:$D$143,Journal!$A$3:$A$143,$B17,Journal!$E$3:$E$143,M$3)=0,"",SUMIFS(Journal!$D$3:$D$143,Journal!$A$3:$A$143,$B17,Journal!$E$3:$E$143,M$3))</f>
        <v/>
      </c>
      <c r="N17" s="86" t="str">
        <f>IF(SUMIFS(Journal!$D$3:$D$143,Journal!$A$3:$A$143,$B17,Journal!$F$3:$F$143,M$3)=0,"",SUMIFS(Journal!$D$3:$D$143,Journal!$A$3:$A$143,$B17,Journal!$F$3:$F$143,M$3))</f>
        <v/>
      </c>
      <c r="O17" s="86" t="str">
        <f>IF(SUMIFS(Journal!$D$3:$D$143,Journal!$A$3:$A$143,$B17,Journal!$E$3:$E$143,O$3)=0,"",SUMIFS(Journal!$D$3:$D$143,Journal!$A$3:$A$143,$B17,Journal!$E$3:$E$143,O$3))</f>
        <v/>
      </c>
      <c r="P17" s="86" t="str">
        <f>IF(SUMIFS(Journal!$D$3:$D$143,Journal!$A$3:$A$143,$B17,Journal!$F$3:$F$143,O$3)=0,"",SUMIFS(Journal!$D$3:$D$143,Journal!$A$3:$A$143,$B17,Journal!$F$3:$F$143,O$3))</f>
        <v/>
      </c>
      <c r="Q17" s="86" t="str">
        <f>IF(SUMIFS(Journal!$D$3:$D$143,Journal!$A$3:$A$143,$B17,Journal!$E$3:$E$143,Q$3)=0,"",SUMIFS(Journal!$D$3:$D$143,Journal!$A$3:$A$143,$B17,Journal!$E$3:$E$143,Q$3))</f>
        <v/>
      </c>
      <c r="R17" s="86" t="str">
        <f>IF(SUMIFS(Journal!$D$3:$D$143,Journal!$A$3:$A$143,$B17,Journal!$F$3:$F$143,Q$3)=0,"",SUMIFS(Journal!$D$3:$D$143,Journal!$A$3:$A$143,$B17,Journal!$F$3:$F$143,Q$3))</f>
        <v/>
      </c>
      <c r="S17" s="86" t="str">
        <f>IF(SUMIFS(Journal!$D$3:$D$143,Journal!$A$3:$A$143,$B17,Journal!$E$3:$E$143,S$3)=0,"",SUMIFS(Journal!$D$3:$D$143,Journal!$A$3:$A$143,$B17,Journal!$E$3:$E$143,S$3))</f>
        <v/>
      </c>
      <c r="T17" s="86" t="str">
        <f>IF(SUMIFS(Journal!$D$3:$D$143,Journal!$A$3:$A$143,$B17,Journal!$F$3:$F$143,S$3)=0,"",SUMIFS(Journal!$D$3:$D$143,Journal!$A$3:$A$143,$B17,Journal!$F$3:$F$143,S$3))</f>
        <v/>
      </c>
      <c r="U17" s="86" t="str">
        <f>IF(SUMIFS(Journal!$D$3:$D$143,Journal!$A$3:$A$143,$B17,Journal!$E$3:$E$143,U$3)=0,"",SUMIFS(Journal!$D$3:$D$143,Journal!$A$3:$A$143,$B17,Journal!$E$3:$E$143,U$3))</f>
        <v/>
      </c>
      <c r="V17" s="86" t="str">
        <f>IF(SUMIFS(Journal!$D$3:$D$143,Journal!$A$3:$A$143,$B17,Journal!$F$3:$F$143,U$3)=0,"",SUMIFS(Journal!$D$3:$D$143,Journal!$A$3:$A$143,$B17,Journal!$F$3:$F$143,U$3))</f>
        <v/>
      </c>
      <c r="W17" s="86" t="str">
        <f>IF(SUMIFS(Journal!$D$3:$D$143,Journal!$A$3:$A$143,$B17,Journal!$E$3:$E$143,W$3)=0,"",SUMIFS(Journal!$D$3:$D$143,Journal!$A$3:$A$143,$B17,Journal!$E$3:$E$143,W$3))</f>
        <v/>
      </c>
      <c r="X17" s="86" t="str">
        <f>IF(SUMIFS(Journal!$D$3:$D$143,Journal!$A$3:$A$143,$B17,Journal!$F$3:$F$143,W$3)=0,"",SUMIFS(Journal!$D$3:$D$143,Journal!$A$3:$A$143,$B17,Journal!$F$3:$F$143,W$3))</f>
        <v/>
      </c>
      <c r="Y17" s="86" t="str">
        <f>IF(SUMIFS(Journal!$D$3:$D$143,Journal!$A$3:$A$143,$B17,Journal!$E$3:$E$143,Y$3)=0,"",SUMIFS(Journal!$D$3:$D$143,Journal!$A$3:$A$143,$B17,Journal!$E$3:$E$143,Y$3))</f>
        <v/>
      </c>
      <c r="Z17" s="86" t="str">
        <f>IF(SUMIFS(Journal!$D$3:$D$143,Journal!$A$3:$A$143,$B17,Journal!$F$3:$F$143,Y$3)=0,"",SUMIFS(Journal!$D$3:$D$143,Journal!$A$3:$A$143,$B17,Journal!$F$3:$F$143,Y$3))</f>
        <v/>
      </c>
      <c r="AA17" s="86" t="str">
        <f>IF(SUMIFS(Journal!$D$3:$D$143,Journal!$A$3:$A$143,$B17,Journal!$E$3:$E$143,AA$3)=0,"",SUMIFS(Journal!$D$3:$D$143,Journal!$A$3:$A$143,$B17,Journal!$E$3:$E$143,AA$3))</f>
        <v/>
      </c>
      <c r="AB17" s="86" t="str">
        <f>IF(SUMIFS(Journal!$D$3:$D$143,Journal!$A$3:$A$143,$B17,Journal!$F$3:$F$143,AA$3)=0,"",SUMIFS(Journal!$D$3:$D$143,Journal!$A$3:$A$143,$B17,Journal!$F$3:$F$143,AA$3))</f>
        <v/>
      </c>
      <c r="AC17" s="86" t="str">
        <f>IF(SUMIFS(Journal!$D$3:$D$143,Journal!$A$3:$A$143,$B17,Journal!$E$3:$E$143,AC$3)=0,"",SUMIFS(Journal!$D$3:$D$143,Journal!$A$3:$A$143,$B17,Journal!$E$3:$E$143,AC$3))</f>
        <v/>
      </c>
      <c r="AD17" s="86" t="str">
        <f>IF(SUMIFS(Journal!$D$3:$D$143,Journal!$A$3:$A$143,$B17,Journal!$F$3:$F$143,AC$3)=0,"",SUMIFS(Journal!$D$3:$D$143,Journal!$A$3:$A$143,$B17,Journal!$F$3:$F$143,AC$3))</f>
        <v/>
      </c>
      <c r="AE17" s="86" t="str">
        <f>IF(SUMIFS(Journal!$D$3:$D$143,Journal!$A$3:$A$143,$B17,Journal!$E$3:$E$143,AE$3)=0,"",SUMIFS(Journal!$D$3:$D$143,Journal!$A$3:$A$143,$B17,Journal!$E$3:$E$143,AE$3))</f>
        <v/>
      </c>
      <c r="AF17" s="86" t="str">
        <f>IF(SUMIFS(Journal!$D$3:$D$143,Journal!$A$3:$A$143,$B17,Journal!$F$3:$F$143,AE$3)=0,"",SUMIFS(Journal!$D$3:$D$143,Journal!$A$3:$A$143,$B17,Journal!$F$3:$F$143,AE$3))</f>
        <v/>
      </c>
      <c r="AG17" s="86" t="str">
        <f>IF(SUMIFS(Journal!$D$3:$D$143,Journal!$A$3:$A$143,$B17,Journal!$E$3:$E$143,AG$3)=0,"",SUMIFS(Journal!$D$3:$D$143,Journal!$A$3:$A$143,$B17,Journal!$E$3:$E$143,AG$3))</f>
        <v/>
      </c>
      <c r="AH17" s="86" t="str">
        <f>IF(SUMIFS(Journal!$D$3:$D$143,Journal!$A$3:$A$143,$B17,Journal!$F$3:$F$143,AG$3)=0,"",SUMIFS(Journal!$D$3:$D$143,Journal!$A$3:$A$143,$B17,Journal!$F$3:$F$143,AG$3))</f>
        <v/>
      </c>
      <c r="AI17" s="86" t="str">
        <f>IF(SUMIFS(Journal!$D$3:$D$143,Journal!$A$3:$A$143,$B17,Journal!$E$3:$E$143,AI$3)=0,"",SUMIFS(Journal!$D$3:$D$143,Journal!$A$3:$A$143,$B17,Journal!$E$3:$E$143,AI$3))</f>
        <v/>
      </c>
      <c r="AJ17" s="86" t="str">
        <f>IF(SUMIFS(Journal!$D$3:$D$143,Journal!$A$3:$A$143,$B17,Journal!$F$3:$F$143,AI$3)=0,"",SUMIFS(Journal!$D$3:$D$143,Journal!$A$3:$A$143,$B17,Journal!$F$3:$F$143,AI$3))</f>
        <v/>
      </c>
      <c r="AK17" s="86" t="str">
        <f>IF(SUMIFS(Journal!$D$3:$D$143,Journal!$A$3:$A$143,$B17,Journal!$E$3:$E$143,AK$3)=0,"",SUMIFS(Journal!$D$3:$D$143,Journal!$A$3:$A$143,$B17,Journal!$E$3:$E$143,AK$3))</f>
        <v/>
      </c>
      <c r="AL17" s="86" t="str">
        <f>IF(SUMIFS(Journal!$D$3:$D$143,Journal!$A$3:$A$143,$B17,Journal!$F$3:$F$143,AK$3)=0,"",SUMIFS(Journal!$D$3:$D$143,Journal!$A$3:$A$143,$B17,Journal!$F$3:$F$143,AK$3))</f>
        <v/>
      </c>
      <c r="AM17" s="86" t="str">
        <f>IF(SUMIFS(Journal!$D$3:$D$143,Journal!$A$3:$A$143,$B17,Journal!$E$3:$E$143,AM$3)=0,"",SUMIFS(Journal!$D$3:$D$143,Journal!$A$3:$A$143,$B17,Journal!$E$3:$E$143,AM$3))</f>
        <v/>
      </c>
      <c r="AN17" s="86" t="str">
        <f>IF(SUMIFS(Journal!$D$3:$D$143,Journal!$A$3:$A$143,$B17,Journal!$F$3:$F$143,AM$3)=0,"",SUMIFS(Journal!$D$3:$D$143,Journal!$A$3:$A$143,$B17,Journal!$F$3:$F$143,AM$3))</f>
        <v/>
      </c>
      <c r="AO17" s="86" t="str">
        <f>IF(SUMIFS(Journal!$D$3:$D$143,Journal!$A$3:$A$143,$B17,Journal!$E$3:$E$143,AO$3)=0,"",SUMIFS(Journal!$D$3:$D$143,Journal!$A$3:$A$143,$B17,Journal!$E$3:$E$143,AO$3))</f>
        <v/>
      </c>
      <c r="AP17" s="86" t="str">
        <f>IF(SUMIFS(Journal!$D$3:$D$143,Journal!$A$3:$A$143,$B17,Journal!$F$3:$F$143,AO$3)=0,"",SUMIFS(Journal!$D$3:$D$143,Journal!$A$3:$A$143,$B17,Journal!$F$3:$F$143,AO$3))</f>
        <v/>
      </c>
      <c r="AQ17" s="86" t="str">
        <f>IF(SUMIFS(Journal!$D$3:$D$143,Journal!$A$3:$A$143,$B17,Journal!$E$3:$E$143,AQ$3)=0,"",SUMIFS(Journal!$D$3:$D$143,Journal!$A$3:$A$143,$B17,Journal!$E$3:$E$143,AQ$3))</f>
        <v/>
      </c>
      <c r="AR17" s="86" t="str">
        <f>IF(SUMIFS(Journal!$D$3:$D$143,Journal!$A$3:$A$143,$B17,Journal!$F$3:$F$143,AQ$3)=0,"",SUMIFS(Journal!$D$3:$D$143,Journal!$A$3:$A$143,$B17,Journal!$F$3:$F$143,AQ$3))</f>
        <v/>
      </c>
      <c r="AS17" s="86">
        <f>IF(SUMIFS(Journal!$D$3:$D$143,Journal!$A$3:$A$143,$B17,Journal!$E$3:$E$143,AS$3)=0,"",SUMIFS(Journal!$D$3:$D$143,Journal!$A$3:$A$143,$B17,Journal!$E$3:$E$143,AS$3))</f>
        <v>2200</v>
      </c>
      <c r="AT17" s="86" t="str">
        <f>IF(SUMIFS(Journal!$D$3:$D$143,Journal!$A$3:$A$143,$B17,Journal!$F$3:$F$143,AS$3)=0,"",SUMIFS(Journal!$D$3:$D$143,Journal!$A$3:$A$143,$B17,Journal!$F$3:$F$143,AS$3))</f>
        <v/>
      </c>
      <c r="AU17" s="86" t="str">
        <f>IF(SUMIFS(Journal!$D$3:$D$143,Journal!$A$3:$A$143,$B17,Journal!$E$3:$E$143,AU$3)=0,"",SUMIFS(Journal!$D$3:$D$143,Journal!$A$3:$A$143,$B17,Journal!$E$3:$E$143,AU$3))</f>
        <v/>
      </c>
      <c r="AV17" s="86" t="str">
        <f>IF(SUMIFS(Journal!$D$3:$D$143,Journal!$A$3:$A$143,$B17,Journal!$F$3:$F$143,AU$3)=0,"",SUMIFS(Journal!$D$3:$D$143,Journal!$A$3:$A$143,$B17,Journal!$F$3:$F$143,AU$3))</f>
        <v/>
      </c>
      <c r="AW17" s="86" t="str">
        <f>IF(SUMIFS(Journal!$D$3:$D$143,Journal!$A$3:$A$143,$B17,Journal!$E$3:$E$143,AW$3)=0,"",SUMIFS(Journal!$D$3:$D$143,Journal!$A$3:$A$143,$B17,Journal!$E$3:$E$143,AW$3))</f>
        <v/>
      </c>
      <c r="AX17" s="86" t="str">
        <f>IF(SUMIFS(Journal!$D$3:$D$143,Journal!$A$3:$A$143,$B17,Journal!$F$3:$F$143,AW$3)=0,"",SUMIFS(Journal!$D$3:$D$143,Journal!$A$3:$A$143,$B17,Journal!$F$3:$F$143,AW$3))</f>
        <v/>
      </c>
      <c r="AY17" s="86" t="str">
        <f>IF(SUMIFS(Journal!$D$3:$D$143,Journal!$A$3:$A$143,$B17,Journal!$E$3:$E$143,AY$3)=0,"",SUMIFS(Journal!$D$3:$D$143,Journal!$A$3:$A$143,$B17,Journal!$E$3:$E$143,AY$3))</f>
        <v/>
      </c>
      <c r="AZ17" s="86" t="str">
        <f>IF(SUMIFS(Journal!$D$3:$D$143,Journal!$A$3:$A$143,$B17,Journal!$F$3:$F$143,AY$3)=0,"",SUMIFS(Journal!$D$3:$D$143,Journal!$A$3:$A$143,$B17,Journal!$F$3:$F$143,AY$3))</f>
        <v/>
      </c>
      <c r="BA17" s="86" t="str">
        <f>IF(SUMIFS(Journal!$D$3:$D$143,Journal!$A$3:$A$143,$B17,Journal!$E$3:$E$143,BA$3)=0,"",SUMIFS(Journal!$D$3:$D$143,Journal!$A$3:$A$143,$B17,Journal!$E$3:$E$143,BA$3))</f>
        <v/>
      </c>
      <c r="BB17" s="86" t="str">
        <f>IF(SUMIFS(Journal!$D$3:$D$143,Journal!$A$3:$A$143,$B17,Journal!$F$3:$F$143,BA$3)=0,"",SUMIFS(Journal!$D$3:$D$143,Journal!$A$3:$A$143,$B17,Journal!$F$3:$F$143,BA$3))</f>
        <v/>
      </c>
      <c r="BD17" s="67" t="s">
        <v>36</v>
      </c>
    </row>
    <row r="18">
      <c r="A18" s="84">
        <f>VLOOKUP(B18,Journal!$A$3:$C$143,2,FALSE)</f>
        <v>45310</v>
      </c>
      <c r="B18" s="85" t="s">
        <v>209</v>
      </c>
      <c r="C18" s="86" t="str">
        <f>VLOOKUP(B18,Journal!$A$3:$C$143,3,FALSE)</f>
        <v>Retail camping-supply sales</v>
      </c>
      <c r="D18" s="86">
        <f>SUMIF(Journal!$A$3:$A$143,B18,Journal!$D$3:$D$143)</f>
        <v>4800</v>
      </c>
      <c r="E18" s="86">
        <f>IF(SUMIFS(Journal!$D$3:$D$143,Journal!$A$3:$A$143,$B18,Journal!$E$3:$E$143,E$3)=0,"",SUMIFS(Journal!$D$3:$D$143,Journal!$A$3:$A$143,$B18,Journal!$E$3:$E$143,E$3))</f>
        <v>3000</v>
      </c>
      <c r="F18" s="86" t="str">
        <f>IF(SUMIFS(Journal!$D$3:$D$143,Journal!$A$3:$A$143,$B18,Journal!$F$3:$F$143,E$3)=0,"",SUMIFS(Journal!$D$3:$D$143,Journal!$A$3:$A$143,$B18,Journal!$F$3:$F$143,E$3))</f>
        <v/>
      </c>
      <c r="G18" s="86" t="str">
        <f>IF(SUMIFS(Journal!$D$3:$D$143,Journal!$A$3:$A$143,$B18,Journal!$E$3:$E$143,G$3)=0,"",SUMIFS(Journal!$D$3:$D$143,Journal!$A$3:$A$143,$B18,Journal!$E$3:$E$143,G$3))</f>
        <v/>
      </c>
      <c r="H18" s="86" t="str">
        <f>IF(SUMIFS(Journal!$D$3:$D$143,Journal!$A$3:$A$143,$B18,Journal!$F$3:$F$143,G$3)=0,"",SUMIFS(Journal!$D$3:$D$143,Journal!$A$3:$A$143,$B18,Journal!$F$3:$F$143,G$3))</f>
        <v/>
      </c>
      <c r="I18" s="86" t="str">
        <f>IF(SUMIFS(Journal!$D$3:$D$143,Journal!$A$3:$A$143,$B18,Journal!$E$3:$E$143,I$3)=0,"",SUMIFS(Journal!$D$3:$D$143,Journal!$A$3:$A$143,$B18,Journal!$E$3:$E$143,I$3))</f>
        <v/>
      </c>
      <c r="J18" s="86">
        <f>IF(SUMIFS(Journal!$D$3:$D$143,Journal!$A$3:$A$143,$B18,Journal!$F$3:$F$143,I$3)=0,"",SUMIFS(Journal!$D$3:$D$143,Journal!$A$3:$A$143,$B18,Journal!$F$3:$F$143,I$3))</f>
        <v>1800</v>
      </c>
      <c r="K18" s="86" t="str">
        <f>IF(SUMIFS(Journal!$D$3:$D$143,Journal!$A$3:$A$143,$B18,Journal!$E$3:$E$143,K$3)=0,"",SUMIFS(Journal!$D$3:$D$143,Journal!$A$3:$A$143,$B18,Journal!$E$3:$E$143,K$3))</f>
        <v/>
      </c>
      <c r="L18" s="86" t="str">
        <f>IF(SUMIFS(Journal!$D$3:$D$143,Journal!$A$3:$A$143,$B18,Journal!$F$3:$F$143,K$3)=0,"",SUMIFS(Journal!$D$3:$D$143,Journal!$A$3:$A$143,$B18,Journal!$F$3:$F$143,K$3))</f>
        <v/>
      </c>
      <c r="M18" s="86" t="str">
        <f>IF(SUMIFS(Journal!$D$3:$D$143,Journal!$A$3:$A$143,$B18,Journal!$E$3:$E$143,M$3)=0,"",SUMIFS(Journal!$D$3:$D$143,Journal!$A$3:$A$143,$B18,Journal!$E$3:$E$143,M$3))</f>
        <v/>
      </c>
      <c r="N18" s="86" t="str">
        <f>IF(SUMIFS(Journal!$D$3:$D$143,Journal!$A$3:$A$143,$B18,Journal!$F$3:$F$143,M$3)=0,"",SUMIFS(Journal!$D$3:$D$143,Journal!$A$3:$A$143,$B18,Journal!$F$3:$F$143,M$3))</f>
        <v/>
      </c>
      <c r="O18" s="86" t="str">
        <f>IF(SUMIFS(Journal!$D$3:$D$143,Journal!$A$3:$A$143,$B18,Journal!$E$3:$E$143,O$3)=0,"",SUMIFS(Journal!$D$3:$D$143,Journal!$A$3:$A$143,$B18,Journal!$E$3:$E$143,O$3))</f>
        <v/>
      </c>
      <c r="P18" s="86" t="str">
        <f>IF(SUMIFS(Journal!$D$3:$D$143,Journal!$A$3:$A$143,$B18,Journal!$F$3:$F$143,O$3)=0,"",SUMIFS(Journal!$D$3:$D$143,Journal!$A$3:$A$143,$B18,Journal!$F$3:$F$143,O$3))</f>
        <v/>
      </c>
      <c r="Q18" s="86" t="str">
        <f>IF(SUMIFS(Journal!$D$3:$D$143,Journal!$A$3:$A$143,$B18,Journal!$E$3:$E$143,Q$3)=0,"",SUMIFS(Journal!$D$3:$D$143,Journal!$A$3:$A$143,$B18,Journal!$E$3:$E$143,Q$3))</f>
        <v/>
      </c>
      <c r="R18" s="86" t="str">
        <f>IF(SUMIFS(Journal!$D$3:$D$143,Journal!$A$3:$A$143,$B18,Journal!$F$3:$F$143,Q$3)=0,"",SUMIFS(Journal!$D$3:$D$143,Journal!$A$3:$A$143,$B18,Journal!$F$3:$F$143,Q$3))</f>
        <v/>
      </c>
      <c r="S18" s="86" t="str">
        <f>IF(SUMIFS(Journal!$D$3:$D$143,Journal!$A$3:$A$143,$B18,Journal!$E$3:$E$143,S$3)=0,"",SUMIFS(Journal!$D$3:$D$143,Journal!$A$3:$A$143,$B18,Journal!$E$3:$E$143,S$3))</f>
        <v/>
      </c>
      <c r="T18" s="86" t="str">
        <f>IF(SUMIFS(Journal!$D$3:$D$143,Journal!$A$3:$A$143,$B18,Journal!$F$3:$F$143,S$3)=0,"",SUMIFS(Journal!$D$3:$D$143,Journal!$A$3:$A$143,$B18,Journal!$F$3:$F$143,S$3))</f>
        <v/>
      </c>
      <c r="U18" s="86" t="str">
        <f>IF(SUMIFS(Journal!$D$3:$D$143,Journal!$A$3:$A$143,$B18,Journal!$E$3:$E$143,U$3)=0,"",SUMIFS(Journal!$D$3:$D$143,Journal!$A$3:$A$143,$B18,Journal!$E$3:$E$143,U$3))</f>
        <v/>
      </c>
      <c r="V18" s="86" t="str">
        <f>IF(SUMIFS(Journal!$D$3:$D$143,Journal!$A$3:$A$143,$B18,Journal!$F$3:$F$143,U$3)=0,"",SUMIFS(Journal!$D$3:$D$143,Journal!$A$3:$A$143,$B18,Journal!$F$3:$F$143,U$3))</f>
        <v/>
      </c>
      <c r="W18" s="86" t="str">
        <f>IF(SUMIFS(Journal!$D$3:$D$143,Journal!$A$3:$A$143,$B18,Journal!$E$3:$E$143,W$3)=0,"",SUMIFS(Journal!$D$3:$D$143,Journal!$A$3:$A$143,$B18,Journal!$E$3:$E$143,W$3))</f>
        <v/>
      </c>
      <c r="X18" s="86" t="str">
        <f>IF(SUMIFS(Journal!$D$3:$D$143,Journal!$A$3:$A$143,$B18,Journal!$F$3:$F$143,W$3)=0,"",SUMIFS(Journal!$D$3:$D$143,Journal!$A$3:$A$143,$B18,Journal!$F$3:$F$143,W$3))</f>
        <v/>
      </c>
      <c r="Y18" s="86" t="str">
        <f>IF(SUMIFS(Journal!$D$3:$D$143,Journal!$A$3:$A$143,$B18,Journal!$E$3:$E$143,Y$3)=0,"",SUMIFS(Journal!$D$3:$D$143,Journal!$A$3:$A$143,$B18,Journal!$E$3:$E$143,Y$3))</f>
        <v/>
      </c>
      <c r="Z18" s="86" t="str">
        <f>IF(SUMIFS(Journal!$D$3:$D$143,Journal!$A$3:$A$143,$B18,Journal!$F$3:$F$143,Y$3)=0,"",SUMIFS(Journal!$D$3:$D$143,Journal!$A$3:$A$143,$B18,Journal!$F$3:$F$143,Y$3))</f>
        <v/>
      </c>
      <c r="AA18" s="86" t="str">
        <f>IF(SUMIFS(Journal!$D$3:$D$143,Journal!$A$3:$A$143,$B18,Journal!$E$3:$E$143,AA$3)=0,"",SUMIFS(Journal!$D$3:$D$143,Journal!$A$3:$A$143,$B18,Journal!$E$3:$E$143,AA$3))</f>
        <v/>
      </c>
      <c r="AB18" s="86">
        <f>IF(SUMIFS(Journal!$D$3:$D$143,Journal!$A$3:$A$143,$B18,Journal!$F$3:$F$143,AA$3)=0,"",SUMIFS(Journal!$D$3:$D$143,Journal!$A$3:$A$143,$B18,Journal!$F$3:$F$143,AA$3))</f>
        <v>3000</v>
      </c>
      <c r="AC18" s="86" t="str">
        <f>IF(SUMIFS(Journal!$D$3:$D$143,Journal!$A$3:$A$143,$B18,Journal!$E$3:$E$143,AC$3)=0,"",SUMIFS(Journal!$D$3:$D$143,Journal!$A$3:$A$143,$B18,Journal!$E$3:$E$143,AC$3))</f>
        <v/>
      </c>
      <c r="AD18" s="86" t="str">
        <f>IF(SUMIFS(Journal!$D$3:$D$143,Journal!$A$3:$A$143,$B18,Journal!$F$3:$F$143,AC$3)=0,"",SUMIFS(Journal!$D$3:$D$143,Journal!$A$3:$A$143,$B18,Journal!$F$3:$F$143,AC$3))</f>
        <v/>
      </c>
      <c r="AE18" s="86">
        <f>IF(SUMIFS(Journal!$D$3:$D$143,Journal!$A$3:$A$143,$B18,Journal!$E$3:$E$143,AE$3)=0,"",SUMIFS(Journal!$D$3:$D$143,Journal!$A$3:$A$143,$B18,Journal!$E$3:$E$143,AE$3))</f>
        <v>1800</v>
      </c>
      <c r="AF18" s="86" t="str">
        <f>IF(SUMIFS(Journal!$D$3:$D$143,Journal!$A$3:$A$143,$B18,Journal!$F$3:$F$143,AE$3)=0,"",SUMIFS(Journal!$D$3:$D$143,Journal!$A$3:$A$143,$B18,Journal!$F$3:$F$143,AE$3))</f>
        <v/>
      </c>
      <c r="AG18" s="86" t="str">
        <f>IF(SUMIFS(Journal!$D$3:$D$143,Journal!$A$3:$A$143,$B18,Journal!$E$3:$E$143,AG$3)=0,"",SUMIFS(Journal!$D$3:$D$143,Journal!$A$3:$A$143,$B18,Journal!$E$3:$E$143,AG$3))</f>
        <v/>
      </c>
      <c r="AH18" s="86" t="str">
        <f>IF(SUMIFS(Journal!$D$3:$D$143,Journal!$A$3:$A$143,$B18,Journal!$F$3:$F$143,AG$3)=0,"",SUMIFS(Journal!$D$3:$D$143,Journal!$A$3:$A$143,$B18,Journal!$F$3:$F$143,AG$3))</f>
        <v/>
      </c>
      <c r="AI18" s="86" t="str">
        <f>IF(SUMIFS(Journal!$D$3:$D$143,Journal!$A$3:$A$143,$B18,Journal!$E$3:$E$143,AI$3)=0,"",SUMIFS(Journal!$D$3:$D$143,Journal!$A$3:$A$143,$B18,Journal!$E$3:$E$143,AI$3))</f>
        <v/>
      </c>
      <c r="AJ18" s="86" t="str">
        <f>IF(SUMIFS(Journal!$D$3:$D$143,Journal!$A$3:$A$143,$B18,Journal!$F$3:$F$143,AI$3)=0,"",SUMIFS(Journal!$D$3:$D$143,Journal!$A$3:$A$143,$B18,Journal!$F$3:$F$143,AI$3))</f>
        <v/>
      </c>
      <c r="AK18" s="86" t="str">
        <f>IF(SUMIFS(Journal!$D$3:$D$143,Journal!$A$3:$A$143,$B18,Journal!$E$3:$E$143,AK$3)=0,"",SUMIFS(Journal!$D$3:$D$143,Journal!$A$3:$A$143,$B18,Journal!$E$3:$E$143,AK$3))</f>
        <v/>
      </c>
      <c r="AL18" s="86" t="str">
        <f>IF(SUMIFS(Journal!$D$3:$D$143,Journal!$A$3:$A$143,$B18,Journal!$F$3:$F$143,AK$3)=0,"",SUMIFS(Journal!$D$3:$D$143,Journal!$A$3:$A$143,$B18,Journal!$F$3:$F$143,AK$3))</f>
        <v/>
      </c>
      <c r="AM18" s="86" t="str">
        <f>IF(SUMIFS(Journal!$D$3:$D$143,Journal!$A$3:$A$143,$B18,Journal!$E$3:$E$143,AM$3)=0,"",SUMIFS(Journal!$D$3:$D$143,Journal!$A$3:$A$143,$B18,Journal!$E$3:$E$143,AM$3))</f>
        <v/>
      </c>
      <c r="AN18" s="86" t="str">
        <f>IF(SUMIFS(Journal!$D$3:$D$143,Journal!$A$3:$A$143,$B18,Journal!$F$3:$F$143,AM$3)=0,"",SUMIFS(Journal!$D$3:$D$143,Journal!$A$3:$A$143,$B18,Journal!$F$3:$F$143,AM$3))</f>
        <v/>
      </c>
      <c r="AO18" s="86" t="str">
        <f>IF(SUMIFS(Journal!$D$3:$D$143,Journal!$A$3:$A$143,$B18,Journal!$E$3:$E$143,AO$3)=0,"",SUMIFS(Journal!$D$3:$D$143,Journal!$A$3:$A$143,$B18,Journal!$E$3:$E$143,AO$3))</f>
        <v/>
      </c>
      <c r="AP18" s="86" t="str">
        <f>IF(SUMIFS(Journal!$D$3:$D$143,Journal!$A$3:$A$143,$B18,Journal!$F$3:$F$143,AO$3)=0,"",SUMIFS(Journal!$D$3:$D$143,Journal!$A$3:$A$143,$B18,Journal!$F$3:$F$143,AO$3))</f>
        <v/>
      </c>
      <c r="AQ18" s="86" t="str">
        <f>IF(SUMIFS(Journal!$D$3:$D$143,Journal!$A$3:$A$143,$B18,Journal!$E$3:$E$143,AQ$3)=0,"",SUMIFS(Journal!$D$3:$D$143,Journal!$A$3:$A$143,$B18,Journal!$E$3:$E$143,AQ$3))</f>
        <v/>
      </c>
      <c r="AR18" s="86" t="str">
        <f>IF(SUMIFS(Journal!$D$3:$D$143,Journal!$A$3:$A$143,$B18,Journal!$F$3:$F$143,AQ$3)=0,"",SUMIFS(Journal!$D$3:$D$143,Journal!$A$3:$A$143,$B18,Journal!$F$3:$F$143,AQ$3))</f>
        <v/>
      </c>
      <c r="AS18" s="86" t="str">
        <f>IF(SUMIFS(Journal!$D$3:$D$143,Journal!$A$3:$A$143,$B18,Journal!$E$3:$E$143,AS$3)=0,"",SUMIFS(Journal!$D$3:$D$143,Journal!$A$3:$A$143,$B18,Journal!$E$3:$E$143,AS$3))</f>
        <v/>
      </c>
      <c r="AT18" s="86" t="str">
        <f>IF(SUMIFS(Journal!$D$3:$D$143,Journal!$A$3:$A$143,$B18,Journal!$F$3:$F$143,AS$3)=0,"",SUMIFS(Journal!$D$3:$D$143,Journal!$A$3:$A$143,$B18,Journal!$F$3:$F$143,AS$3))</f>
        <v/>
      </c>
      <c r="AU18" s="86" t="str">
        <f>IF(SUMIFS(Journal!$D$3:$D$143,Journal!$A$3:$A$143,$B18,Journal!$E$3:$E$143,AU$3)=0,"",SUMIFS(Journal!$D$3:$D$143,Journal!$A$3:$A$143,$B18,Journal!$E$3:$E$143,AU$3))</f>
        <v/>
      </c>
      <c r="AV18" s="86" t="str">
        <f>IF(SUMIFS(Journal!$D$3:$D$143,Journal!$A$3:$A$143,$B18,Journal!$F$3:$F$143,AU$3)=0,"",SUMIFS(Journal!$D$3:$D$143,Journal!$A$3:$A$143,$B18,Journal!$F$3:$F$143,AU$3))</f>
        <v/>
      </c>
      <c r="AW18" s="86" t="str">
        <f>IF(SUMIFS(Journal!$D$3:$D$143,Journal!$A$3:$A$143,$B18,Journal!$E$3:$E$143,AW$3)=0,"",SUMIFS(Journal!$D$3:$D$143,Journal!$A$3:$A$143,$B18,Journal!$E$3:$E$143,AW$3))</f>
        <v/>
      </c>
      <c r="AX18" s="86" t="str">
        <f>IF(SUMIFS(Journal!$D$3:$D$143,Journal!$A$3:$A$143,$B18,Journal!$F$3:$F$143,AW$3)=0,"",SUMIFS(Journal!$D$3:$D$143,Journal!$A$3:$A$143,$B18,Journal!$F$3:$F$143,AW$3))</f>
        <v/>
      </c>
      <c r="AY18" s="86" t="str">
        <f>IF(SUMIFS(Journal!$D$3:$D$143,Journal!$A$3:$A$143,$B18,Journal!$E$3:$E$143,AY$3)=0,"",SUMIFS(Journal!$D$3:$D$143,Journal!$A$3:$A$143,$B18,Journal!$E$3:$E$143,AY$3))</f>
        <v/>
      </c>
      <c r="AZ18" s="86" t="str">
        <f>IF(SUMIFS(Journal!$D$3:$D$143,Journal!$A$3:$A$143,$B18,Journal!$F$3:$F$143,AY$3)=0,"",SUMIFS(Journal!$D$3:$D$143,Journal!$A$3:$A$143,$B18,Journal!$F$3:$F$143,AY$3))</f>
        <v/>
      </c>
      <c r="BA18" s="86" t="str">
        <f>IF(SUMIFS(Journal!$D$3:$D$143,Journal!$A$3:$A$143,$B18,Journal!$E$3:$E$143,BA$3)=0,"",SUMIFS(Journal!$D$3:$D$143,Journal!$A$3:$A$143,$B18,Journal!$E$3:$E$143,BA$3))</f>
        <v/>
      </c>
      <c r="BB18" s="86" t="str">
        <f>IF(SUMIFS(Journal!$D$3:$D$143,Journal!$A$3:$A$143,$B18,Journal!$F$3:$F$143,BA$3)=0,"",SUMIFS(Journal!$D$3:$D$143,Journal!$A$3:$A$143,$B18,Journal!$F$3:$F$143,BA$3))</f>
        <v/>
      </c>
      <c r="BD18" s="67" t="s">
        <v>38</v>
      </c>
    </row>
    <row r="19">
      <c r="A19" s="84">
        <f>VLOOKUP(B19,Journal!$A$3:$C$143,2,FALSE)</f>
        <v>45315</v>
      </c>
      <c r="B19" s="85" t="s">
        <v>214</v>
      </c>
      <c r="C19" s="86" t="str">
        <f>VLOOKUP(B19,Journal!$A$3:$C$143,3,FALSE)</f>
        <v>Employee payroll settlement</v>
      </c>
      <c r="D19" s="86">
        <f>SUMIF(Journal!$A$3:$A$143,B19,Journal!$D$3:$D$143)</f>
        <v>7200</v>
      </c>
      <c r="E19" s="86" t="str">
        <f>IF(SUMIFS(Journal!$D$3:$D$143,Journal!$A$3:$A$143,$B19,Journal!$E$3:$E$143,E$3)=0,"",SUMIFS(Journal!$D$3:$D$143,Journal!$A$3:$A$143,$B19,Journal!$E$3:$E$143,E$3))</f>
        <v/>
      </c>
      <c r="F19" s="86">
        <f>IF(SUMIFS(Journal!$D$3:$D$143,Journal!$A$3:$A$143,$B19,Journal!$F$3:$F$143,E$3)=0,"",SUMIFS(Journal!$D$3:$D$143,Journal!$A$3:$A$143,$B19,Journal!$F$3:$F$143,E$3))</f>
        <v>7200</v>
      </c>
      <c r="G19" s="86" t="str">
        <f>IF(SUMIFS(Journal!$D$3:$D$143,Journal!$A$3:$A$143,$B19,Journal!$E$3:$E$143,G$3)=0,"",SUMIFS(Journal!$D$3:$D$143,Journal!$A$3:$A$143,$B19,Journal!$E$3:$E$143,G$3))</f>
        <v/>
      </c>
      <c r="H19" s="86" t="str">
        <f>IF(SUMIFS(Journal!$D$3:$D$143,Journal!$A$3:$A$143,$B19,Journal!$F$3:$F$143,G$3)=0,"",SUMIFS(Journal!$D$3:$D$143,Journal!$A$3:$A$143,$B19,Journal!$F$3:$F$143,G$3))</f>
        <v/>
      </c>
      <c r="I19" s="86" t="str">
        <f>IF(SUMIFS(Journal!$D$3:$D$143,Journal!$A$3:$A$143,$B19,Journal!$E$3:$E$143,I$3)=0,"",SUMIFS(Journal!$D$3:$D$143,Journal!$A$3:$A$143,$B19,Journal!$E$3:$E$143,I$3))</f>
        <v/>
      </c>
      <c r="J19" s="86" t="str">
        <f>IF(SUMIFS(Journal!$D$3:$D$143,Journal!$A$3:$A$143,$B19,Journal!$F$3:$F$143,I$3)=0,"",SUMIFS(Journal!$D$3:$D$143,Journal!$A$3:$A$143,$B19,Journal!$F$3:$F$143,I$3))</f>
        <v/>
      </c>
      <c r="K19" s="86" t="str">
        <f>IF(SUMIFS(Journal!$D$3:$D$143,Journal!$A$3:$A$143,$B19,Journal!$E$3:$E$143,K$3)=0,"",SUMIFS(Journal!$D$3:$D$143,Journal!$A$3:$A$143,$B19,Journal!$E$3:$E$143,K$3))</f>
        <v/>
      </c>
      <c r="L19" s="86" t="str">
        <f>IF(SUMIFS(Journal!$D$3:$D$143,Journal!$A$3:$A$143,$B19,Journal!$F$3:$F$143,K$3)=0,"",SUMIFS(Journal!$D$3:$D$143,Journal!$A$3:$A$143,$B19,Journal!$F$3:$F$143,K$3))</f>
        <v/>
      </c>
      <c r="M19" s="86" t="str">
        <f>IF(SUMIFS(Journal!$D$3:$D$143,Journal!$A$3:$A$143,$B19,Journal!$E$3:$E$143,M$3)=0,"",SUMIFS(Journal!$D$3:$D$143,Journal!$A$3:$A$143,$B19,Journal!$E$3:$E$143,M$3))</f>
        <v/>
      </c>
      <c r="N19" s="86" t="str">
        <f>IF(SUMIFS(Journal!$D$3:$D$143,Journal!$A$3:$A$143,$B19,Journal!$F$3:$F$143,M$3)=0,"",SUMIFS(Journal!$D$3:$D$143,Journal!$A$3:$A$143,$B19,Journal!$F$3:$F$143,M$3))</f>
        <v/>
      </c>
      <c r="O19" s="86" t="str">
        <f>IF(SUMIFS(Journal!$D$3:$D$143,Journal!$A$3:$A$143,$B19,Journal!$E$3:$E$143,O$3)=0,"",SUMIFS(Journal!$D$3:$D$143,Journal!$A$3:$A$143,$B19,Journal!$E$3:$E$143,O$3))</f>
        <v/>
      </c>
      <c r="P19" s="86" t="str">
        <f>IF(SUMIFS(Journal!$D$3:$D$143,Journal!$A$3:$A$143,$B19,Journal!$F$3:$F$143,O$3)=0,"",SUMIFS(Journal!$D$3:$D$143,Journal!$A$3:$A$143,$B19,Journal!$F$3:$F$143,O$3))</f>
        <v/>
      </c>
      <c r="Q19" s="86" t="str">
        <f>IF(SUMIFS(Journal!$D$3:$D$143,Journal!$A$3:$A$143,$B19,Journal!$E$3:$E$143,Q$3)=0,"",SUMIFS(Journal!$D$3:$D$143,Journal!$A$3:$A$143,$B19,Journal!$E$3:$E$143,Q$3))</f>
        <v/>
      </c>
      <c r="R19" s="86" t="str">
        <f>IF(SUMIFS(Journal!$D$3:$D$143,Journal!$A$3:$A$143,$B19,Journal!$F$3:$F$143,Q$3)=0,"",SUMIFS(Journal!$D$3:$D$143,Journal!$A$3:$A$143,$B19,Journal!$F$3:$F$143,Q$3))</f>
        <v/>
      </c>
      <c r="S19" s="86" t="str">
        <f>IF(SUMIFS(Journal!$D$3:$D$143,Journal!$A$3:$A$143,$B19,Journal!$E$3:$E$143,S$3)=0,"",SUMIFS(Journal!$D$3:$D$143,Journal!$A$3:$A$143,$B19,Journal!$E$3:$E$143,S$3))</f>
        <v/>
      </c>
      <c r="T19" s="86" t="str">
        <f>IF(SUMIFS(Journal!$D$3:$D$143,Journal!$A$3:$A$143,$B19,Journal!$F$3:$F$143,S$3)=0,"",SUMIFS(Journal!$D$3:$D$143,Journal!$A$3:$A$143,$B19,Journal!$F$3:$F$143,S$3))</f>
        <v/>
      </c>
      <c r="U19" s="86" t="str">
        <f>IF(SUMIFS(Journal!$D$3:$D$143,Journal!$A$3:$A$143,$B19,Journal!$E$3:$E$143,U$3)=0,"",SUMIFS(Journal!$D$3:$D$143,Journal!$A$3:$A$143,$B19,Journal!$E$3:$E$143,U$3))</f>
        <v/>
      </c>
      <c r="V19" s="86" t="str">
        <f>IF(SUMIFS(Journal!$D$3:$D$143,Journal!$A$3:$A$143,$B19,Journal!$F$3:$F$143,U$3)=0,"",SUMIFS(Journal!$D$3:$D$143,Journal!$A$3:$A$143,$B19,Journal!$F$3:$F$143,U$3))</f>
        <v/>
      </c>
      <c r="W19" s="86" t="str">
        <f>IF(SUMIFS(Journal!$D$3:$D$143,Journal!$A$3:$A$143,$B19,Journal!$E$3:$E$143,W$3)=0,"",SUMIFS(Journal!$D$3:$D$143,Journal!$A$3:$A$143,$B19,Journal!$E$3:$E$143,W$3))</f>
        <v/>
      </c>
      <c r="X19" s="86" t="str">
        <f>IF(SUMIFS(Journal!$D$3:$D$143,Journal!$A$3:$A$143,$B19,Journal!$F$3:$F$143,W$3)=0,"",SUMIFS(Journal!$D$3:$D$143,Journal!$A$3:$A$143,$B19,Journal!$F$3:$F$143,W$3))</f>
        <v/>
      </c>
      <c r="Y19" s="86" t="str">
        <f>IF(SUMIFS(Journal!$D$3:$D$143,Journal!$A$3:$A$143,$B19,Journal!$E$3:$E$143,Y$3)=0,"",SUMIFS(Journal!$D$3:$D$143,Journal!$A$3:$A$143,$B19,Journal!$E$3:$E$143,Y$3))</f>
        <v/>
      </c>
      <c r="Z19" s="86" t="str">
        <f>IF(SUMIFS(Journal!$D$3:$D$143,Journal!$A$3:$A$143,$B19,Journal!$F$3:$F$143,Y$3)=0,"",SUMIFS(Journal!$D$3:$D$143,Journal!$A$3:$A$143,$B19,Journal!$F$3:$F$143,Y$3))</f>
        <v/>
      </c>
      <c r="AA19" s="86" t="str">
        <f>IF(SUMIFS(Journal!$D$3:$D$143,Journal!$A$3:$A$143,$B19,Journal!$E$3:$E$143,AA$3)=0,"",SUMIFS(Journal!$D$3:$D$143,Journal!$A$3:$A$143,$B19,Journal!$E$3:$E$143,AA$3))</f>
        <v/>
      </c>
      <c r="AB19" s="86" t="str">
        <f>IF(SUMIFS(Journal!$D$3:$D$143,Journal!$A$3:$A$143,$B19,Journal!$F$3:$F$143,AA$3)=0,"",SUMIFS(Journal!$D$3:$D$143,Journal!$A$3:$A$143,$B19,Journal!$F$3:$F$143,AA$3))</f>
        <v/>
      </c>
      <c r="AC19" s="86" t="str">
        <f>IF(SUMIFS(Journal!$D$3:$D$143,Journal!$A$3:$A$143,$B19,Journal!$E$3:$E$143,AC$3)=0,"",SUMIFS(Journal!$D$3:$D$143,Journal!$A$3:$A$143,$B19,Journal!$E$3:$E$143,AC$3))</f>
        <v/>
      </c>
      <c r="AD19" s="86" t="str">
        <f>IF(SUMIFS(Journal!$D$3:$D$143,Journal!$A$3:$A$143,$B19,Journal!$F$3:$F$143,AC$3)=0,"",SUMIFS(Journal!$D$3:$D$143,Journal!$A$3:$A$143,$B19,Journal!$F$3:$F$143,AC$3))</f>
        <v/>
      </c>
      <c r="AE19" s="86" t="str">
        <f>IF(SUMIFS(Journal!$D$3:$D$143,Journal!$A$3:$A$143,$B19,Journal!$E$3:$E$143,AE$3)=0,"",SUMIFS(Journal!$D$3:$D$143,Journal!$A$3:$A$143,$B19,Journal!$E$3:$E$143,AE$3))</f>
        <v/>
      </c>
      <c r="AF19" s="86" t="str">
        <f>IF(SUMIFS(Journal!$D$3:$D$143,Journal!$A$3:$A$143,$B19,Journal!$F$3:$F$143,AE$3)=0,"",SUMIFS(Journal!$D$3:$D$143,Journal!$A$3:$A$143,$B19,Journal!$F$3:$F$143,AE$3))</f>
        <v/>
      </c>
      <c r="AG19" s="86">
        <f>IF(SUMIFS(Journal!$D$3:$D$143,Journal!$A$3:$A$143,$B19,Journal!$E$3:$E$143,AG$3)=0,"",SUMIFS(Journal!$D$3:$D$143,Journal!$A$3:$A$143,$B19,Journal!$E$3:$E$143,AG$3))</f>
        <v>7200</v>
      </c>
      <c r="AH19" s="86" t="str">
        <f>IF(SUMIFS(Journal!$D$3:$D$143,Journal!$A$3:$A$143,$B19,Journal!$F$3:$F$143,AG$3)=0,"",SUMIFS(Journal!$D$3:$D$143,Journal!$A$3:$A$143,$B19,Journal!$F$3:$F$143,AG$3))</f>
        <v/>
      </c>
      <c r="AI19" s="86" t="str">
        <f>IF(SUMIFS(Journal!$D$3:$D$143,Journal!$A$3:$A$143,$B19,Journal!$E$3:$E$143,AI$3)=0,"",SUMIFS(Journal!$D$3:$D$143,Journal!$A$3:$A$143,$B19,Journal!$E$3:$E$143,AI$3))</f>
        <v/>
      </c>
      <c r="AJ19" s="86" t="str">
        <f>IF(SUMIFS(Journal!$D$3:$D$143,Journal!$A$3:$A$143,$B19,Journal!$F$3:$F$143,AI$3)=0,"",SUMIFS(Journal!$D$3:$D$143,Journal!$A$3:$A$143,$B19,Journal!$F$3:$F$143,AI$3))</f>
        <v/>
      </c>
      <c r="AK19" s="86" t="str">
        <f>IF(SUMIFS(Journal!$D$3:$D$143,Journal!$A$3:$A$143,$B19,Journal!$E$3:$E$143,AK$3)=0,"",SUMIFS(Journal!$D$3:$D$143,Journal!$A$3:$A$143,$B19,Journal!$E$3:$E$143,AK$3))</f>
        <v/>
      </c>
      <c r="AL19" s="86" t="str">
        <f>IF(SUMIFS(Journal!$D$3:$D$143,Journal!$A$3:$A$143,$B19,Journal!$F$3:$F$143,AK$3)=0,"",SUMIFS(Journal!$D$3:$D$143,Journal!$A$3:$A$143,$B19,Journal!$F$3:$F$143,AK$3))</f>
        <v/>
      </c>
      <c r="AM19" s="86" t="str">
        <f>IF(SUMIFS(Journal!$D$3:$D$143,Journal!$A$3:$A$143,$B19,Journal!$E$3:$E$143,AM$3)=0,"",SUMIFS(Journal!$D$3:$D$143,Journal!$A$3:$A$143,$B19,Journal!$E$3:$E$143,AM$3))</f>
        <v/>
      </c>
      <c r="AN19" s="86" t="str">
        <f>IF(SUMIFS(Journal!$D$3:$D$143,Journal!$A$3:$A$143,$B19,Journal!$F$3:$F$143,AM$3)=0,"",SUMIFS(Journal!$D$3:$D$143,Journal!$A$3:$A$143,$B19,Journal!$F$3:$F$143,AM$3))</f>
        <v/>
      </c>
      <c r="AO19" s="86" t="str">
        <f>IF(SUMIFS(Journal!$D$3:$D$143,Journal!$A$3:$A$143,$B19,Journal!$E$3:$E$143,AO$3)=0,"",SUMIFS(Journal!$D$3:$D$143,Journal!$A$3:$A$143,$B19,Journal!$E$3:$E$143,AO$3))</f>
        <v/>
      </c>
      <c r="AP19" s="86" t="str">
        <f>IF(SUMIFS(Journal!$D$3:$D$143,Journal!$A$3:$A$143,$B19,Journal!$F$3:$F$143,AO$3)=0,"",SUMIFS(Journal!$D$3:$D$143,Journal!$A$3:$A$143,$B19,Journal!$F$3:$F$143,AO$3))</f>
        <v/>
      </c>
      <c r="AQ19" s="86" t="str">
        <f>IF(SUMIFS(Journal!$D$3:$D$143,Journal!$A$3:$A$143,$B19,Journal!$E$3:$E$143,AQ$3)=0,"",SUMIFS(Journal!$D$3:$D$143,Journal!$A$3:$A$143,$B19,Journal!$E$3:$E$143,AQ$3))</f>
        <v/>
      </c>
      <c r="AR19" s="86" t="str">
        <f>IF(SUMIFS(Journal!$D$3:$D$143,Journal!$A$3:$A$143,$B19,Journal!$F$3:$F$143,AQ$3)=0,"",SUMIFS(Journal!$D$3:$D$143,Journal!$A$3:$A$143,$B19,Journal!$F$3:$F$143,AQ$3))</f>
        <v/>
      </c>
      <c r="AS19" s="86" t="str">
        <f>IF(SUMIFS(Journal!$D$3:$D$143,Journal!$A$3:$A$143,$B19,Journal!$E$3:$E$143,AS$3)=0,"",SUMIFS(Journal!$D$3:$D$143,Journal!$A$3:$A$143,$B19,Journal!$E$3:$E$143,AS$3))</f>
        <v/>
      </c>
      <c r="AT19" s="86" t="str">
        <f>IF(SUMIFS(Journal!$D$3:$D$143,Journal!$A$3:$A$143,$B19,Journal!$F$3:$F$143,AS$3)=0,"",SUMIFS(Journal!$D$3:$D$143,Journal!$A$3:$A$143,$B19,Journal!$F$3:$F$143,AS$3))</f>
        <v/>
      </c>
      <c r="AU19" s="86" t="str">
        <f>IF(SUMIFS(Journal!$D$3:$D$143,Journal!$A$3:$A$143,$B19,Journal!$E$3:$E$143,AU$3)=0,"",SUMIFS(Journal!$D$3:$D$143,Journal!$A$3:$A$143,$B19,Journal!$E$3:$E$143,AU$3))</f>
        <v/>
      </c>
      <c r="AV19" s="86" t="str">
        <f>IF(SUMIFS(Journal!$D$3:$D$143,Journal!$A$3:$A$143,$B19,Journal!$F$3:$F$143,AU$3)=0,"",SUMIFS(Journal!$D$3:$D$143,Journal!$A$3:$A$143,$B19,Journal!$F$3:$F$143,AU$3))</f>
        <v/>
      </c>
      <c r="AW19" s="86" t="str">
        <f>IF(SUMIFS(Journal!$D$3:$D$143,Journal!$A$3:$A$143,$B19,Journal!$E$3:$E$143,AW$3)=0,"",SUMIFS(Journal!$D$3:$D$143,Journal!$A$3:$A$143,$B19,Journal!$E$3:$E$143,AW$3))</f>
        <v/>
      </c>
      <c r="AX19" s="86" t="str">
        <f>IF(SUMIFS(Journal!$D$3:$D$143,Journal!$A$3:$A$143,$B19,Journal!$F$3:$F$143,AW$3)=0,"",SUMIFS(Journal!$D$3:$D$143,Journal!$A$3:$A$143,$B19,Journal!$F$3:$F$143,AW$3))</f>
        <v/>
      </c>
      <c r="AY19" s="86" t="str">
        <f>IF(SUMIFS(Journal!$D$3:$D$143,Journal!$A$3:$A$143,$B19,Journal!$E$3:$E$143,AY$3)=0,"",SUMIFS(Journal!$D$3:$D$143,Journal!$A$3:$A$143,$B19,Journal!$E$3:$E$143,AY$3))</f>
        <v/>
      </c>
      <c r="AZ19" s="86" t="str">
        <f>IF(SUMIFS(Journal!$D$3:$D$143,Journal!$A$3:$A$143,$B19,Journal!$F$3:$F$143,AY$3)=0,"",SUMIFS(Journal!$D$3:$D$143,Journal!$A$3:$A$143,$B19,Journal!$F$3:$F$143,AY$3))</f>
        <v/>
      </c>
      <c r="BA19" s="86" t="str">
        <f>IF(SUMIFS(Journal!$D$3:$D$143,Journal!$A$3:$A$143,$B19,Journal!$E$3:$E$143,BA$3)=0,"",SUMIFS(Journal!$D$3:$D$143,Journal!$A$3:$A$143,$B19,Journal!$E$3:$E$143,BA$3))</f>
        <v/>
      </c>
      <c r="BB19" s="86" t="str">
        <f>IF(SUMIFS(Journal!$D$3:$D$143,Journal!$A$3:$A$143,$B19,Journal!$F$3:$F$143,BA$3)=0,"",SUMIFS(Journal!$D$3:$D$143,Journal!$A$3:$A$143,$B19,Journal!$F$3:$F$143,BA$3))</f>
        <v/>
      </c>
      <c r="BD19" s="67" t="s">
        <v>153</v>
      </c>
    </row>
    <row r="20">
      <c r="A20" s="84">
        <f>VLOOKUP(B20,Journal!$A$3:$C$143,2,FALSE)</f>
        <v>45322</v>
      </c>
      <c r="B20" s="85" t="s">
        <v>220</v>
      </c>
      <c r="C20" s="86" t="str">
        <f>VLOOKUP(B20,Journal!$A$3:$C$143,3,FALSE)</f>
        <v>Monthly utility settlement</v>
      </c>
      <c r="D20" s="86">
        <f>SUMIF(Journal!$A$3:$A$143,B20,Journal!$D$3:$D$143)</f>
        <v>694</v>
      </c>
      <c r="E20" s="86" t="str">
        <f>IF(SUMIFS(Journal!$D$3:$D$143,Journal!$A$3:$A$143,$B20,Journal!$E$3:$E$143,E$3)=0,"",SUMIFS(Journal!$D$3:$D$143,Journal!$A$3:$A$143,$B20,Journal!$E$3:$E$143,E$3))</f>
        <v/>
      </c>
      <c r="F20" s="86">
        <f>IF(SUMIFS(Journal!$D$3:$D$143,Journal!$A$3:$A$143,$B20,Journal!$F$3:$F$143,E$3)=0,"",SUMIFS(Journal!$D$3:$D$143,Journal!$A$3:$A$143,$B20,Journal!$F$3:$F$143,E$3))</f>
        <v>694</v>
      </c>
      <c r="G20" s="86" t="str">
        <f>IF(SUMIFS(Journal!$D$3:$D$143,Journal!$A$3:$A$143,$B20,Journal!$E$3:$E$143,G$3)=0,"",SUMIFS(Journal!$D$3:$D$143,Journal!$A$3:$A$143,$B20,Journal!$E$3:$E$143,G$3))</f>
        <v/>
      </c>
      <c r="H20" s="86" t="str">
        <f>IF(SUMIFS(Journal!$D$3:$D$143,Journal!$A$3:$A$143,$B20,Journal!$F$3:$F$143,G$3)=0,"",SUMIFS(Journal!$D$3:$D$143,Journal!$A$3:$A$143,$B20,Journal!$F$3:$F$143,G$3))</f>
        <v/>
      </c>
      <c r="I20" s="86" t="str">
        <f>IF(SUMIFS(Journal!$D$3:$D$143,Journal!$A$3:$A$143,$B20,Journal!$E$3:$E$143,I$3)=0,"",SUMIFS(Journal!$D$3:$D$143,Journal!$A$3:$A$143,$B20,Journal!$E$3:$E$143,I$3))</f>
        <v/>
      </c>
      <c r="J20" s="86" t="str">
        <f>IF(SUMIFS(Journal!$D$3:$D$143,Journal!$A$3:$A$143,$B20,Journal!$F$3:$F$143,I$3)=0,"",SUMIFS(Journal!$D$3:$D$143,Journal!$A$3:$A$143,$B20,Journal!$F$3:$F$143,I$3))</f>
        <v/>
      </c>
      <c r="K20" s="86" t="str">
        <f>IF(SUMIFS(Journal!$D$3:$D$143,Journal!$A$3:$A$143,$B20,Journal!$E$3:$E$143,K$3)=0,"",SUMIFS(Journal!$D$3:$D$143,Journal!$A$3:$A$143,$B20,Journal!$E$3:$E$143,K$3))</f>
        <v/>
      </c>
      <c r="L20" s="86" t="str">
        <f>IF(SUMIFS(Journal!$D$3:$D$143,Journal!$A$3:$A$143,$B20,Journal!$F$3:$F$143,K$3)=0,"",SUMIFS(Journal!$D$3:$D$143,Journal!$A$3:$A$143,$B20,Journal!$F$3:$F$143,K$3))</f>
        <v/>
      </c>
      <c r="M20" s="86" t="str">
        <f>IF(SUMIFS(Journal!$D$3:$D$143,Journal!$A$3:$A$143,$B20,Journal!$E$3:$E$143,M$3)=0,"",SUMIFS(Journal!$D$3:$D$143,Journal!$A$3:$A$143,$B20,Journal!$E$3:$E$143,M$3))</f>
        <v/>
      </c>
      <c r="N20" s="86" t="str">
        <f>IF(SUMIFS(Journal!$D$3:$D$143,Journal!$A$3:$A$143,$B20,Journal!$F$3:$F$143,M$3)=0,"",SUMIFS(Journal!$D$3:$D$143,Journal!$A$3:$A$143,$B20,Journal!$F$3:$F$143,M$3))</f>
        <v/>
      </c>
      <c r="O20" s="86" t="str">
        <f>IF(SUMIFS(Journal!$D$3:$D$143,Journal!$A$3:$A$143,$B20,Journal!$E$3:$E$143,O$3)=0,"",SUMIFS(Journal!$D$3:$D$143,Journal!$A$3:$A$143,$B20,Journal!$E$3:$E$143,O$3))</f>
        <v/>
      </c>
      <c r="P20" s="86" t="str">
        <f>IF(SUMIFS(Journal!$D$3:$D$143,Journal!$A$3:$A$143,$B20,Journal!$F$3:$F$143,O$3)=0,"",SUMIFS(Journal!$D$3:$D$143,Journal!$A$3:$A$143,$B20,Journal!$F$3:$F$143,O$3))</f>
        <v/>
      </c>
      <c r="Q20" s="86" t="str">
        <f>IF(SUMIFS(Journal!$D$3:$D$143,Journal!$A$3:$A$143,$B20,Journal!$E$3:$E$143,Q$3)=0,"",SUMIFS(Journal!$D$3:$D$143,Journal!$A$3:$A$143,$B20,Journal!$E$3:$E$143,Q$3))</f>
        <v/>
      </c>
      <c r="R20" s="86" t="str">
        <f>IF(SUMIFS(Journal!$D$3:$D$143,Journal!$A$3:$A$143,$B20,Journal!$F$3:$F$143,Q$3)=0,"",SUMIFS(Journal!$D$3:$D$143,Journal!$A$3:$A$143,$B20,Journal!$F$3:$F$143,Q$3))</f>
        <v/>
      </c>
      <c r="S20" s="86" t="str">
        <f>IF(SUMIFS(Journal!$D$3:$D$143,Journal!$A$3:$A$143,$B20,Journal!$E$3:$E$143,S$3)=0,"",SUMIFS(Journal!$D$3:$D$143,Journal!$A$3:$A$143,$B20,Journal!$E$3:$E$143,S$3))</f>
        <v/>
      </c>
      <c r="T20" s="86" t="str">
        <f>IF(SUMIFS(Journal!$D$3:$D$143,Journal!$A$3:$A$143,$B20,Journal!$F$3:$F$143,S$3)=0,"",SUMIFS(Journal!$D$3:$D$143,Journal!$A$3:$A$143,$B20,Journal!$F$3:$F$143,S$3))</f>
        <v/>
      </c>
      <c r="U20" s="86" t="str">
        <f>IF(SUMIFS(Journal!$D$3:$D$143,Journal!$A$3:$A$143,$B20,Journal!$E$3:$E$143,U$3)=0,"",SUMIFS(Journal!$D$3:$D$143,Journal!$A$3:$A$143,$B20,Journal!$E$3:$E$143,U$3))</f>
        <v/>
      </c>
      <c r="V20" s="86" t="str">
        <f>IF(SUMIFS(Journal!$D$3:$D$143,Journal!$A$3:$A$143,$B20,Journal!$F$3:$F$143,U$3)=0,"",SUMIFS(Journal!$D$3:$D$143,Journal!$A$3:$A$143,$B20,Journal!$F$3:$F$143,U$3))</f>
        <v/>
      </c>
      <c r="W20" s="86" t="str">
        <f>IF(SUMIFS(Journal!$D$3:$D$143,Journal!$A$3:$A$143,$B20,Journal!$E$3:$E$143,W$3)=0,"",SUMIFS(Journal!$D$3:$D$143,Journal!$A$3:$A$143,$B20,Journal!$E$3:$E$143,W$3))</f>
        <v/>
      </c>
      <c r="X20" s="86" t="str">
        <f>IF(SUMIFS(Journal!$D$3:$D$143,Journal!$A$3:$A$143,$B20,Journal!$F$3:$F$143,W$3)=0,"",SUMIFS(Journal!$D$3:$D$143,Journal!$A$3:$A$143,$B20,Journal!$F$3:$F$143,W$3))</f>
        <v/>
      </c>
      <c r="Y20" s="86" t="str">
        <f>IF(SUMIFS(Journal!$D$3:$D$143,Journal!$A$3:$A$143,$B20,Journal!$E$3:$E$143,Y$3)=0,"",SUMIFS(Journal!$D$3:$D$143,Journal!$A$3:$A$143,$B20,Journal!$E$3:$E$143,Y$3))</f>
        <v/>
      </c>
      <c r="Z20" s="86" t="str">
        <f>IF(SUMIFS(Journal!$D$3:$D$143,Journal!$A$3:$A$143,$B20,Journal!$F$3:$F$143,Y$3)=0,"",SUMIFS(Journal!$D$3:$D$143,Journal!$A$3:$A$143,$B20,Journal!$F$3:$F$143,Y$3))</f>
        <v/>
      </c>
      <c r="AA20" s="86" t="str">
        <f>IF(SUMIFS(Journal!$D$3:$D$143,Journal!$A$3:$A$143,$B20,Journal!$E$3:$E$143,AA$3)=0,"",SUMIFS(Journal!$D$3:$D$143,Journal!$A$3:$A$143,$B20,Journal!$E$3:$E$143,AA$3))</f>
        <v/>
      </c>
      <c r="AB20" s="86" t="str">
        <f>IF(SUMIFS(Journal!$D$3:$D$143,Journal!$A$3:$A$143,$B20,Journal!$F$3:$F$143,AA$3)=0,"",SUMIFS(Journal!$D$3:$D$143,Journal!$A$3:$A$143,$B20,Journal!$F$3:$F$143,AA$3))</f>
        <v/>
      </c>
      <c r="AC20" s="86" t="str">
        <f>IF(SUMIFS(Journal!$D$3:$D$143,Journal!$A$3:$A$143,$B20,Journal!$E$3:$E$143,AC$3)=0,"",SUMIFS(Journal!$D$3:$D$143,Journal!$A$3:$A$143,$B20,Journal!$E$3:$E$143,AC$3))</f>
        <v/>
      </c>
      <c r="AD20" s="86" t="str">
        <f>IF(SUMIFS(Journal!$D$3:$D$143,Journal!$A$3:$A$143,$B20,Journal!$F$3:$F$143,AC$3)=0,"",SUMIFS(Journal!$D$3:$D$143,Journal!$A$3:$A$143,$B20,Journal!$F$3:$F$143,AC$3))</f>
        <v/>
      </c>
      <c r="AE20" s="86" t="str">
        <f>IF(SUMIFS(Journal!$D$3:$D$143,Journal!$A$3:$A$143,$B20,Journal!$E$3:$E$143,AE$3)=0,"",SUMIFS(Journal!$D$3:$D$143,Journal!$A$3:$A$143,$B20,Journal!$E$3:$E$143,AE$3))</f>
        <v/>
      </c>
      <c r="AF20" s="86" t="str">
        <f>IF(SUMIFS(Journal!$D$3:$D$143,Journal!$A$3:$A$143,$B20,Journal!$F$3:$F$143,AE$3)=0,"",SUMIFS(Journal!$D$3:$D$143,Journal!$A$3:$A$143,$B20,Journal!$F$3:$F$143,AE$3))</f>
        <v/>
      </c>
      <c r="AG20" s="86" t="str">
        <f>IF(SUMIFS(Journal!$D$3:$D$143,Journal!$A$3:$A$143,$B20,Journal!$E$3:$E$143,AG$3)=0,"",SUMIFS(Journal!$D$3:$D$143,Journal!$A$3:$A$143,$B20,Journal!$E$3:$E$143,AG$3))</f>
        <v/>
      </c>
      <c r="AH20" s="86" t="str">
        <f>IF(SUMIFS(Journal!$D$3:$D$143,Journal!$A$3:$A$143,$B20,Journal!$F$3:$F$143,AG$3)=0,"",SUMIFS(Journal!$D$3:$D$143,Journal!$A$3:$A$143,$B20,Journal!$F$3:$F$143,AG$3))</f>
        <v/>
      </c>
      <c r="AI20" s="86" t="str">
        <f>IF(SUMIFS(Journal!$D$3:$D$143,Journal!$A$3:$A$143,$B20,Journal!$E$3:$E$143,AI$3)=0,"",SUMIFS(Journal!$D$3:$D$143,Journal!$A$3:$A$143,$B20,Journal!$E$3:$E$143,AI$3))</f>
        <v/>
      </c>
      <c r="AJ20" s="86" t="str">
        <f>IF(SUMIFS(Journal!$D$3:$D$143,Journal!$A$3:$A$143,$B20,Journal!$F$3:$F$143,AI$3)=0,"",SUMIFS(Journal!$D$3:$D$143,Journal!$A$3:$A$143,$B20,Journal!$F$3:$F$143,AI$3))</f>
        <v/>
      </c>
      <c r="AK20" s="86" t="str">
        <f>IF(SUMIFS(Journal!$D$3:$D$143,Journal!$A$3:$A$143,$B20,Journal!$E$3:$E$143,AK$3)=0,"",SUMIFS(Journal!$D$3:$D$143,Journal!$A$3:$A$143,$B20,Journal!$E$3:$E$143,AK$3))</f>
        <v/>
      </c>
      <c r="AL20" s="86" t="str">
        <f>IF(SUMIFS(Journal!$D$3:$D$143,Journal!$A$3:$A$143,$B20,Journal!$F$3:$F$143,AK$3)=0,"",SUMIFS(Journal!$D$3:$D$143,Journal!$A$3:$A$143,$B20,Journal!$F$3:$F$143,AK$3))</f>
        <v/>
      </c>
      <c r="AM20" s="86">
        <f>IF(SUMIFS(Journal!$D$3:$D$143,Journal!$A$3:$A$143,$B20,Journal!$E$3:$E$143,AM$3)=0,"",SUMIFS(Journal!$D$3:$D$143,Journal!$A$3:$A$143,$B20,Journal!$E$3:$E$143,AM$3))</f>
        <v>694</v>
      </c>
      <c r="AN20" s="86" t="str">
        <f>IF(SUMIFS(Journal!$D$3:$D$143,Journal!$A$3:$A$143,$B20,Journal!$F$3:$F$143,AM$3)=0,"",SUMIFS(Journal!$D$3:$D$143,Journal!$A$3:$A$143,$B20,Journal!$F$3:$F$143,AM$3))</f>
        <v/>
      </c>
      <c r="AO20" s="86" t="str">
        <f>IF(SUMIFS(Journal!$D$3:$D$143,Journal!$A$3:$A$143,$B20,Journal!$E$3:$E$143,AO$3)=0,"",SUMIFS(Journal!$D$3:$D$143,Journal!$A$3:$A$143,$B20,Journal!$E$3:$E$143,AO$3))</f>
        <v/>
      </c>
      <c r="AP20" s="86" t="str">
        <f>IF(SUMIFS(Journal!$D$3:$D$143,Journal!$A$3:$A$143,$B20,Journal!$F$3:$F$143,AO$3)=0,"",SUMIFS(Journal!$D$3:$D$143,Journal!$A$3:$A$143,$B20,Journal!$F$3:$F$143,AO$3))</f>
        <v/>
      </c>
      <c r="AQ20" s="86" t="str">
        <f>IF(SUMIFS(Journal!$D$3:$D$143,Journal!$A$3:$A$143,$B20,Journal!$E$3:$E$143,AQ$3)=0,"",SUMIFS(Journal!$D$3:$D$143,Journal!$A$3:$A$143,$B20,Journal!$E$3:$E$143,AQ$3))</f>
        <v/>
      </c>
      <c r="AR20" s="86" t="str">
        <f>IF(SUMIFS(Journal!$D$3:$D$143,Journal!$A$3:$A$143,$B20,Journal!$F$3:$F$143,AQ$3)=0,"",SUMIFS(Journal!$D$3:$D$143,Journal!$A$3:$A$143,$B20,Journal!$F$3:$F$143,AQ$3))</f>
        <v/>
      </c>
      <c r="AS20" s="86" t="str">
        <f>IF(SUMIFS(Journal!$D$3:$D$143,Journal!$A$3:$A$143,$B20,Journal!$E$3:$E$143,AS$3)=0,"",SUMIFS(Journal!$D$3:$D$143,Journal!$A$3:$A$143,$B20,Journal!$E$3:$E$143,AS$3))</f>
        <v/>
      </c>
      <c r="AT20" s="86" t="str">
        <f>IF(SUMIFS(Journal!$D$3:$D$143,Journal!$A$3:$A$143,$B20,Journal!$F$3:$F$143,AS$3)=0,"",SUMIFS(Journal!$D$3:$D$143,Journal!$A$3:$A$143,$B20,Journal!$F$3:$F$143,AS$3))</f>
        <v/>
      </c>
      <c r="AU20" s="86" t="str">
        <f>IF(SUMIFS(Journal!$D$3:$D$143,Journal!$A$3:$A$143,$B20,Journal!$E$3:$E$143,AU$3)=0,"",SUMIFS(Journal!$D$3:$D$143,Journal!$A$3:$A$143,$B20,Journal!$E$3:$E$143,AU$3))</f>
        <v/>
      </c>
      <c r="AV20" s="86" t="str">
        <f>IF(SUMIFS(Journal!$D$3:$D$143,Journal!$A$3:$A$143,$B20,Journal!$F$3:$F$143,AU$3)=0,"",SUMIFS(Journal!$D$3:$D$143,Journal!$A$3:$A$143,$B20,Journal!$F$3:$F$143,AU$3))</f>
        <v/>
      </c>
      <c r="AW20" s="86" t="str">
        <f>IF(SUMIFS(Journal!$D$3:$D$143,Journal!$A$3:$A$143,$B20,Journal!$E$3:$E$143,AW$3)=0,"",SUMIFS(Journal!$D$3:$D$143,Journal!$A$3:$A$143,$B20,Journal!$E$3:$E$143,AW$3))</f>
        <v/>
      </c>
      <c r="AX20" s="86" t="str">
        <f>IF(SUMIFS(Journal!$D$3:$D$143,Journal!$A$3:$A$143,$B20,Journal!$F$3:$F$143,AW$3)=0,"",SUMIFS(Journal!$D$3:$D$143,Journal!$A$3:$A$143,$B20,Journal!$F$3:$F$143,AW$3))</f>
        <v/>
      </c>
      <c r="AY20" s="86" t="str">
        <f>IF(SUMIFS(Journal!$D$3:$D$143,Journal!$A$3:$A$143,$B20,Journal!$E$3:$E$143,AY$3)=0,"",SUMIFS(Journal!$D$3:$D$143,Journal!$A$3:$A$143,$B20,Journal!$E$3:$E$143,AY$3))</f>
        <v/>
      </c>
      <c r="AZ20" s="86" t="str">
        <f>IF(SUMIFS(Journal!$D$3:$D$143,Journal!$A$3:$A$143,$B20,Journal!$F$3:$F$143,AY$3)=0,"",SUMIFS(Journal!$D$3:$D$143,Journal!$A$3:$A$143,$B20,Journal!$F$3:$F$143,AY$3))</f>
        <v/>
      </c>
      <c r="BA20" s="86" t="str">
        <f>IF(SUMIFS(Journal!$D$3:$D$143,Journal!$A$3:$A$143,$B20,Journal!$E$3:$E$143,BA$3)=0,"",SUMIFS(Journal!$D$3:$D$143,Journal!$A$3:$A$143,$B20,Journal!$E$3:$E$143,BA$3))</f>
        <v/>
      </c>
      <c r="BB20" s="86" t="str">
        <f>IF(SUMIFS(Journal!$D$3:$D$143,Journal!$A$3:$A$143,$B20,Journal!$F$3:$F$143,BA$3)=0,"",SUMIFS(Journal!$D$3:$D$143,Journal!$A$3:$A$143,$B20,Journal!$F$3:$F$143,BA$3))</f>
        <v/>
      </c>
      <c r="BD20" s="67" t="s">
        <v>139</v>
      </c>
    </row>
    <row r="21">
      <c r="A21" s="84">
        <f>VLOOKUP(B21,Journal!$A$3:$C$143,2,FALSE)</f>
        <v>45323</v>
      </c>
      <c r="B21" s="85" t="s">
        <v>227</v>
      </c>
      <c r="C21" s="86" t="str">
        <f>VLOOKUP(B21,Journal!$A$3:$C$143,3,FALSE)</f>
        <v>Monthly facility rent</v>
      </c>
      <c r="D21" s="86">
        <f>SUMIF(Journal!$A$3:$A$143,B21,Journal!$D$3:$D$143)</f>
        <v>5400</v>
      </c>
      <c r="E21" s="86" t="str">
        <f>IF(SUMIFS(Journal!$D$3:$D$143,Journal!$A$3:$A$143,$B21,Journal!$E$3:$E$143,E$3)=0,"",SUMIFS(Journal!$D$3:$D$143,Journal!$A$3:$A$143,$B21,Journal!$E$3:$E$143,E$3))</f>
        <v/>
      </c>
      <c r="F21" s="86">
        <f>IF(SUMIFS(Journal!$D$3:$D$143,Journal!$A$3:$A$143,$B21,Journal!$F$3:$F$143,E$3)=0,"",SUMIFS(Journal!$D$3:$D$143,Journal!$A$3:$A$143,$B21,Journal!$F$3:$F$143,E$3))</f>
        <v>5400</v>
      </c>
      <c r="G21" s="86" t="str">
        <f>IF(SUMIFS(Journal!$D$3:$D$143,Journal!$A$3:$A$143,$B21,Journal!$E$3:$E$143,G$3)=0,"",SUMIFS(Journal!$D$3:$D$143,Journal!$A$3:$A$143,$B21,Journal!$E$3:$E$143,G$3))</f>
        <v/>
      </c>
      <c r="H21" s="86" t="str">
        <f>IF(SUMIFS(Journal!$D$3:$D$143,Journal!$A$3:$A$143,$B21,Journal!$F$3:$F$143,G$3)=0,"",SUMIFS(Journal!$D$3:$D$143,Journal!$A$3:$A$143,$B21,Journal!$F$3:$F$143,G$3))</f>
        <v/>
      </c>
      <c r="I21" s="86" t="str">
        <f>IF(SUMIFS(Journal!$D$3:$D$143,Journal!$A$3:$A$143,$B21,Journal!$E$3:$E$143,I$3)=0,"",SUMIFS(Journal!$D$3:$D$143,Journal!$A$3:$A$143,$B21,Journal!$E$3:$E$143,I$3))</f>
        <v/>
      </c>
      <c r="J21" s="86" t="str">
        <f>IF(SUMIFS(Journal!$D$3:$D$143,Journal!$A$3:$A$143,$B21,Journal!$F$3:$F$143,I$3)=0,"",SUMIFS(Journal!$D$3:$D$143,Journal!$A$3:$A$143,$B21,Journal!$F$3:$F$143,I$3))</f>
        <v/>
      </c>
      <c r="K21" s="86" t="str">
        <f>IF(SUMIFS(Journal!$D$3:$D$143,Journal!$A$3:$A$143,$B21,Journal!$E$3:$E$143,K$3)=0,"",SUMIFS(Journal!$D$3:$D$143,Journal!$A$3:$A$143,$B21,Journal!$E$3:$E$143,K$3))</f>
        <v/>
      </c>
      <c r="L21" s="86" t="str">
        <f>IF(SUMIFS(Journal!$D$3:$D$143,Journal!$A$3:$A$143,$B21,Journal!$F$3:$F$143,K$3)=0,"",SUMIFS(Journal!$D$3:$D$143,Journal!$A$3:$A$143,$B21,Journal!$F$3:$F$143,K$3))</f>
        <v/>
      </c>
      <c r="M21" s="86" t="str">
        <f>IF(SUMIFS(Journal!$D$3:$D$143,Journal!$A$3:$A$143,$B21,Journal!$E$3:$E$143,M$3)=0,"",SUMIFS(Journal!$D$3:$D$143,Journal!$A$3:$A$143,$B21,Journal!$E$3:$E$143,M$3))</f>
        <v/>
      </c>
      <c r="N21" s="86" t="str">
        <f>IF(SUMIFS(Journal!$D$3:$D$143,Journal!$A$3:$A$143,$B21,Journal!$F$3:$F$143,M$3)=0,"",SUMIFS(Journal!$D$3:$D$143,Journal!$A$3:$A$143,$B21,Journal!$F$3:$F$143,M$3))</f>
        <v/>
      </c>
      <c r="O21" s="86" t="str">
        <f>IF(SUMIFS(Journal!$D$3:$D$143,Journal!$A$3:$A$143,$B21,Journal!$E$3:$E$143,O$3)=0,"",SUMIFS(Journal!$D$3:$D$143,Journal!$A$3:$A$143,$B21,Journal!$E$3:$E$143,O$3))</f>
        <v/>
      </c>
      <c r="P21" s="86" t="str">
        <f>IF(SUMIFS(Journal!$D$3:$D$143,Journal!$A$3:$A$143,$B21,Journal!$F$3:$F$143,O$3)=0,"",SUMIFS(Journal!$D$3:$D$143,Journal!$A$3:$A$143,$B21,Journal!$F$3:$F$143,O$3))</f>
        <v/>
      </c>
      <c r="Q21" s="86" t="str">
        <f>IF(SUMIFS(Journal!$D$3:$D$143,Journal!$A$3:$A$143,$B21,Journal!$E$3:$E$143,Q$3)=0,"",SUMIFS(Journal!$D$3:$D$143,Journal!$A$3:$A$143,$B21,Journal!$E$3:$E$143,Q$3))</f>
        <v/>
      </c>
      <c r="R21" s="86" t="str">
        <f>IF(SUMIFS(Journal!$D$3:$D$143,Journal!$A$3:$A$143,$B21,Journal!$F$3:$F$143,Q$3)=0,"",SUMIFS(Journal!$D$3:$D$143,Journal!$A$3:$A$143,$B21,Journal!$F$3:$F$143,Q$3))</f>
        <v/>
      </c>
      <c r="S21" s="86" t="str">
        <f>IF(SUMIFS(Journal!$D$3:$D$143,Journal!$A$3:$A$143,$B21,Journal!$E$3:$E$143,S$3)=0,"",SUMIFS(Journal!$D$3:$D$143,Journal!$A$3:$A$143,$B21,Journal!$E$3:$E$143,S$3))</f>
        <v/>
      </c>
      <c r="T21" s="86" t="str">
        <f>IF(SUMIFS(Journal!$D$3:$D$143,Journal!$A$3:$A$143,$B21,Journal!$F$3:$F$143,S$3)=0,"",SUMIFS(Journal!$D$3:$D$143,Journal!$A$3:$A$143,$B21,Journal!$F$3:$F$143,S$3))</f>
        <v/>
      </c>
      <c r="U21" s="86" t="str">
        <f>IF(SUMIFS(Journal!$D$3:$D$143,Journal!$A$3:$A$143,$B21,Journal!$E$3:$E$143,U$3)=0,"",SUMIFS(Journal!$D$3:$D$143,Journal!$A$3:$A$143,$B21,Journal!$E$3:$E$143,U$3))</f>
        <v/>
      </c>
      <c r="V21" s="86" t="str">
        <f>IF(SUMIFS(Journal!$D$3:$D$143,Journal!$A$3:$A$143,$B21,Journal!$F$3:$F$143,U$3)=0,"",SUMIFS(Journal!$D$3:$D$143,Journal!$A$3:$A$143,$B21,Journal!$F$3:$F$143,U$3))</f>
        <v/>
      </c>
      <c r="W21" s="86" t="str">
        <f>IF(SUMIFS(Journal!$D$3:$D$143,Journal!$A$3:$A$143,$B21,Journal!$E$3:$E$143,W$3)=0,"",SUMIFS(Journal!$D$3:$D$143,Journal!$A$3:$A$143,$B21,Journal!$E$3:$E$143,W$3))</f>
        <v/>
      </c>
      <c r="X21" s="86" t="str">
        <f>IF(SUMIFS(Journal!$D$3:$D$143,Journal!$A$3:$A$143,$B21,Journal!$F$3:$F$143,W$3)=0,"",SUMIFS(Journal!$D$3:$D$143,Journal!$A$3:$A$143,$B21,Journal!$F$3:$F$143,W$3))</f>
        <v/>
      </c>
      <c r="Y21" s="86" t="str">
        <f>IF(SUMIFS(Journal!$D$3:$D$143,Journal!$A$3:$A$143,$B21,Journal!$E$3:$E$143,Y$3)=0,"",SUMIFS(Journal!$D$3:$D$143,Journal!$A$3:$A$143,$B21,Journal!$E$3:$E$143,Y$3))</f>
        <v/>
      </c>
      <c r="Z21" s="86" t="str">
        <f>IF(SUMIFS(Journal!$D$3:$D$143,Journal!$A$3:$A$143,$B21,Journal!$F$3:$F$143,Y$3)=0,"",SUMIFS(Journal!$D$3:$D$143,Journal!$A$3:$A$143,$B21,Journal!$F$3:$F$143,Y$3))</f>
        <v/>
      </c>
      <c r="AA21" s="86" t="str">
        <f>IF(SUMIFS(Journal!$D$3:$D$143,Journal!$A$3:$A$143,$B21,Journal!$E$3:$E$143,AA$3)=0,"",SUMIFS(Journal!$D$3:$D$143,Journal!$A$3:$A$143,$B21,Journal!$E$3:$E$143,AA$3))</f>
        <v/>
      </c>
      <c r="AB21" s="86" t="str">
        <f>IF(SUMIFS(Journal!$D$3:$D$143,Journal!$A$3:$A$143,$B21,Journal!$F$3:$F$143,AA$3)=0,"",SUMIFS(Journal!$D$3:$D$143,Journal!$A$3:$A$143,$B21,Journal!$F$3:$F$143,AA$3))</f>
        <v/>
      </c>
      <c r="AC21" s="86" t="str">
        <f>IF(SUMIFS(Journal!$D$3:$D$143,Journal!$A$3:$A$143,$B21,Journal!$E$3:$E$143,AC$3)=0,"",SUMIFS(Journal!$D$3:$D$143,Journal!$A$3:$A$143,$B21,Journal!$E$3:$E$143,AC$3))</f>
        <v/>
      </c>
      <c r="AD21" s="86" t="str">
        <f>IF(SUMIFS(Journal!$D$3:$D$143,Journal!$A$3:$A$143,$B21,Journal!$F$3:$F$143,AC$3)=0,"",SUMIFS(Journal!$D$3:$D$143,Journal!$A$3:$A$143,$B21,Journal!$F$3:$F$143,AC$3))</f>
        <v/>
      </c>
      <c r="AE21" s="86" t="str">
        <f>IF(SUMIFS(Journal!$D$3:$D$143,Journal!$A$3:$A$143,$B21,Journal!$E$3:$E$143,AE$3)=0,"",SUMIFS(Journal!$D$3:$D$143,Journal!$A$3:$A$143,$B21,Journal!$E$3:$E$143,AE$3))</f>
        <v/>
      </c>
      <c r="AF21" s="86" t="str">
        <f>IF(SUMIFS(Journal!$D$3:$D$143,Journal!$A$3:$A$143,$B21,Journal!$F$3:$F$143,AE$3)=0,"",SUMIFS(Journal!$D$3:$D$143,Journal!$A$3:$A$143,$B21,Journal!$F$3:$F$143,AE$3))</f>
        <v/>
      </c>
      <c r="AG21" s="86" t="str">
        <f>IF(SUMIFS(Journal!$D$3:$D$143,Journal!$A$3:$A$143,$B21,Journal!$E$3:$E$143,AG$3)=0,"",SUMIFS(Journal!$D$3:$D$143,Journal!$A$3:$A$143,$B21,Journal!$E$3:$E$143,AG$3))</f>
        <v/>
      </c>
      <c r="AH21" s="86" t="str">
        <f>IF(SUMIFS(Journal!$D$3:$D$143,Journal!$A$3:$A$143,$B21,Journal!$F$3:$F$143,AG$3)=0,"",SUMIFS(Journal!$D$3:$D$143,Journal!$A$3:$A$143,$B21,Journal!$F$3:$F$143,AG$3))</f>
        <v/>
      </c>
      <c r="AI21" s="86">
        <f>IF(SUMIFS(Journal!$D$3:$D$143,Journal!$A$3:$A$143,$B21,Journal!$E$3:$E$143,AI$3)=0,"",SUMIFS(Journal!$D$3:$D$143,Journal!$A$3:$A$143,$B21,Journal!$E$3:$E$143,AI$3))</f>
        <v>5400</v>
      </c>
      <c r="AJ21" s="86" t="str">
        <f>IF(SUMIFS(Journal!$D$3:$D$143,Journal!$A$3:$A$143,$B21,Journal!$F$3:$F$143,AI$3)=0,"",SUMIFS(Journal!$D$3:$D$143,Journal!$A$3:$A$143,$B21,Journal!$F$3:$F$143,AI$3))</f>
        <v/>
      </c>
      <c r="AK21" s="86" t="str">
        <f>IF(SUMIFS(Journal!$D$3:$D$143,Journal!$A$3:$A$143,$B21,Journal!$E$3:$E$143,AK$3)=0,"",SUMIFS(Journal!$D$3:$D$143,Journal!$A$3:$A$143,$B21,Journal!$E$3:$E$143,AK$3))</f>
        <v/>
      </c>
      <c r="AL21" s="86" t="str">
        <f>IF(SUMIFS(Journal!$D$3:$D$143,Journal!$A$3:$A$143,$B21,Journal!$F$3:$F$143,AK$3)=0,"",SUMIFS(Journal!$D$3:$D$143,Journal!$A$3:$A$143,$B21,Journal!$F$3:$F$143,AK$3))</f>
        <v/>
      </c>
      <c r="AM21" s="86" t="str">
        <f>IF(SUMIFS(Journal!$D$3:$D$143,Journal!$A$3:$A$143,$B21,Journal!$E$3:$E$143,AM$3)=0,"",SUMIFS(Journal!$D$3:$D$143,Journal!$A$3:$A$143,$B21,Journal!$E$3:$E$143,AM$3))</f>
        <v/>
      </c>
      <c r="AN21" s="86" t="str">
        <f>IF(SUMIFS(Journal!$D$3:$D$143,Journal!$A$3:$A$143,$B21,Journal!$F$3:$F$143,AM$3)=0,"",SUMIFS(Journal!$D$3:$D$143,Journal!$A$3:$A$143,$B21,Journal!$F$3:$F$143,AM$3))</f>
        <v/>
      </c>
      <c r="AO21" s="86" t="str">
        <f>IF(SUMIFS(Journal!$D$3:$D$143,Journal!$A$3:$A$143,$B21,Journal!$E$3:$E$143,AO$3)=0,"",SUMIFS(Journal!$D$3:$D$143,Journal!$A$3:$A$143,$B21,Journal!$E$3:$E$143,AO$3))</f>
        <v/>
      </c>
      <c r="AP21" s="86" t="str">
        <f>IF(SUMIFS(Journal!$D$3:$D$143,Journal!$A$3:$A$143,$B21,Journal!$F$3:$F$143,AO$3)=0,"",SUMIFS(Journal!$D$3:$D$143,Journal!$A$3:$A$143,$B21,Journal!$F$3:$F$143,AO$3))</f>
        <v/>
      </c>
      <c r="AQ21" s="86" t="str">
        <f>IF(SUMIFS(Journal!$D$3:$D$143,Journal!$A$3:$A$143,$B21,Journal!$E$3:$E$143,AQ$3)=0,"",SUMIFS(Journal!$D$3:$D$143,Journal!$A$3:$A$143,$B21,Journal!$E$3:$E$143,AQ$3))</f>
        <v/>
      </c>
      <c r="AR21" s="86" t="str">
        <f>IF(SUMIFS(Journal!$D$3:$D$143,Journal!$A$3:$A$143,$B21,Journal!$F$3:$F$143,AQ$3)=0,"",SUMIFS(Journal!$D$3:$D$143,Journal!$A$3:$A$143,$B21,Journal!$F$3:$F$143,AQ$3))</f>
        <v/>
      </c>
      <c r="AS21" s="86" t="str">
        <f>IF(SUMIFS(Journal!$D$3:$D$143,Journal!$A$3:$A$143,$B21,Journal!$E$3:$E$143,AS$3)=0,"",SUMIFS(Journal!$D$3:$D$143,Journal!$A$3:$A$143,$B21,Journal!$E$3:$E$143,AS$3))</f>
        <v/>
      </c>
      <c r="AT21" s="86" t="str">
        <f>IF(SUMIFS(Journal!$D$3:$D$143,Journal!$A$3:$A$143,$B21,Journal!$F$3:$F$143,AS$3)=0,"",SUMIFS(Journal!$D$3:$D$143,Journal!$A$3:$A$143,$B21,Journal!$F$3:$F$143,AS$3))</f>
        <v/>
      </c>
      <c r="AU21" s="86" t="str">
        <f>IF(SUMIFS(Journal!$D$3:$D$143,Journal!$A$3:$A$143,$B21,Journal!$E$3:$E$143,AU$3)=0,"",SUMIFS(Journal!$D$3:$D$143,Journal!$A$3:$A$143,$B21,Journal!$E$3:$E$143,AU$3))</f>
        <v/>
      </c>
      <c r="AV21" s="86" t="str">
        <f>IF(SUMIFS(Journal!$D$3:$D$143,Journal!$A$3:$A$143,$B21,Journal!$F$3:$F$143,AU$3)=0,"",SUMIFS(Journal!$D$3:$D$143,Journal!$A$3:$A$143,$B21,Journal!$F$3:$F$143,AU$3))</f>
        <v/>
      </c>
      <c r="AW21" s="86" t="str">
        <f>IF(SUMIFS(Journal!$D$3:$D$143,Journal!$A$3:$A$143,$B21,Journal!$E$3:$E$143,AW$3)=0,"",SUMIFS(Journal!$D$3:$D$143,Journal!$A$3:$A$143,$B21,Journal!$E$3:$E$143,AW$3))</f>
        <v/>
      </c>
      <c r="AX21" s="86" t="str">
        <f>IF(SUMIFS(Journal!$D$3:$D$143,Journal!$A$3:$A$143,$B21,Journal!$F$3:$F$143,AW$3)=0,"",SUMIFS(Journal!$D$3:$D$143,Journal!$A$3:$A$143,$B21,Journal!$F$3:$F$143,AW$3))</f>
        <v/>
      </c>
      <c r="AY21" s="86" t="str">
        <f>IF(SUMIFS(Journal!$D$3:$D$143,Journal!$A$3:$A$143,$B21,Journal!$E$3:$E$143,AY$3)=0,"",SUMIFS(Journal!$D$3:$D$143,Journal!$A$3:$A$143,$B21,Journal!$E$3:$E$143,AY$3))</f>
        <v/>
      </c>
      <c r="AZ21" s="86" t="str">
        <f>IF(SUMIFS(Journal!$D$3:$D$143,Journal!$A$3:$A$143,$B21,Journal!$F$3:$F$143,AY$3)=0,"",SUMIFS(Journal!$D$3:$D$143,Journal!$A$3:$A$143,$B21,Journal!$F$3:$F$143,AY$3))</f>
        <v/>
      </c>
      <c r="BA21" s="86" t="str">
        <f>IF(SUMIFS(Journal!$D$3:$D$143,Journal!$A$3:$A$143,$B21,Journal!$E$3:$E$143,BA$3)=0,"",SUMIFS(Journal!$D$3:$D$143,Journal!$A$3:$A$143,$B21,Journal!$E$3:$E$143,BA$3))</f>
        <v/>
      </c>
      <c r="BB21" s="86" t="str">
        <f>IF(SUMIFS(Journal!$D$3:$D$143,Journal!$A$3:$A$143,$B21,Journal!$F$3:$F$143,BA$3)=0,"",SUMIFS(Journal!$D$3:$D$143,Journal!$A$3:$A$143,$B21,Journal!$F$3:$F$143,BA$3))</f>
        <v/>
      </c>
      <c r="BD21" s="67" t="s">
        <v>149</v>
      </c>
    </row>
    <row r="22">
      <c r="A22" s="84">
        <f>VLOOKUP(B22,Journal!$A$3:$C$143,2,FALSE)</f>
        <v>45327</v>
      </c>
      <c r="B22" s="85" t="s">
        <v>231</v>
      </c>
      <c r="C22" s="86" t="str">
        <f>VLOOKUP(B22,Journal!$A$3:$C$143,3,FALSE)</f>
        <v>Paid business card balance for computer/POS purchase</v>
      </c>
      <c r="D22" s="86">
        <f>SUMIF(Journal!$A$3:$A$143,B22,Journal!$D$3:$D$143)</f>
        <v>5000</v>
      </c>
      <c r="E22" s="86" t="str">
        <f>IF(SUMIFS(Journal!$D$3:$D$143,Journal!$A$3:$A$143,$B22,Journal!$E$3:$E$143,E$3)=0,"",SUMIFS(Journal!$D$3:$D$143,Journal!$A$3:$A$143,$B22,Journal!$E$3:$E$143,E$3))</f>
        <v/>
      </c>
      <c r="F22" s="86">
        <f>IF(SUMIFS(Journal!$D$3:$D$143,Journal!$A$3:$A$143,$B22,Journal!$F$3:$F$143,E$3)=0,"",SUMIFS(Journal!$D$3:$D$143,Journal!$A$3:$A$143,$B22,Journal!$F$3:$F$143,E$3))</f>
        <v>5000</v>
      </c>
      <c r="G22" s="86" t="str">
        <f>IF(SUMIFS(Journal!$D$3:$D$143,Journal!$A$3:$A$143,$B22,Journal!$E$3:$E$143,G$3)=0,"",SUMIFS(Journal!$D$3:$D$143,Journal!$A$3:$A$143,$B22,Journal!$E$3:$E$143,G$3))</f>
        <v/>
      </c>
      <c r="H22" s="86" t="str">
        <f>IF(SUMIFS(Journal!$D$3:$D$143,Journal!$A$3:$A$143,$B22,Journal!$F$3:$F$143,G$3)=0,"",SUMIFS(Journal!$D$3:$D$143,Journal!$A$3:$A$143,$B22,Journal!$F$3:$F$143,G$3))</f>
        <v/>
      </c>
      <c r="I22" s="86" t="str">
        <f>IF(SUMIFS(Journal!$D$3:$D$143,Journal!$A$3:$A$143,$B22,Journal!$E$3:$E$143,I$3)=0,"",SUMIFS(Journal!$D$3:$D$143,Journal!$A$3:$A$143,$B22,Journal!$E$3:$E$143,I$3))</f>
        <v/>
      </c>
      <c r="J22" s="86" t="str">
        <f>IF(SUMIFS(Journal!$D$3:$D$143,Journal!$A$3:$A$143,$B22,Journal!$F$3:$F$143,I$3)=0,"",SUMIFS(Journal!$D$3:$D$143,Journal!$A$3:$A$143,$B22,Journal!$F$3:$F$143,I$3))</f>
        <v/>
      </c>
      <c r="K22" s="86" t="str">
        <f>IF(SUMIFS(Journal!$D$3:$D$143,Journal!$A$3:$A$143,$B22,Journal!$E$3:$E$143,K$3)=0,"",SUMIFS(Journal!$D$3:$D$143,Journal!$A$3:$A$143,$B22,Journal!$E$3:$E$143,K$3))</f>
        <v/>
      </c>
      <c r="L22" s="86" t="str">
        <f>IF(SUMIFS(Journal!$D$3:$D$143,Journal!$A$3:$A$143,$B22,Journal!$F$3:$F$143,K$3)=0,"",SUMIFS(Journal!$D$3:$D$143,Journal!$A$3:$A$143,$B22,Journal!$F$3:$F$143,K$3))</f>
        <v/>
      </c>
      <c r="M22" s="86" t="str">
        <f>IF(SUMIFS(Journal!$D$3:$D$143,Journal!$A$3:$A$143,$B22,Journal!$E$3:$E$143,M$3)=0,"",SUMIFS(Journal!$D$3:$D$143,Journal!$A$3:$A$143,$B22,Journal!$E$3:$E$143,M$3))</f>
        <v/>
      </c>
      <c r="N22" s="86" t="str">
        <f>IF(SUMIFS(Journal!$D$3:$D$143,Journal!$A$3:$A$143,$B22,Journal!$F$3:$F$143,M$3)=0,"",SUMIFS(Journal!$D$3:$D$143,Journal!$A$3:$A$143,$B22,Journal!$F$3:$F$143,M$3))</f>
        <v/>
      </c>
      <c r="O22" s="86">
        <f>IF(SUMIFS(Journal!$D$3:$D$143,Journal!$A$3:$A$143,$B22,Journal!$E$3:$E$143,O$3)=0,"",SUMIFS(Journal!$D$3:$D$143,Journal!$A$3:$A$143,$B22,Journal!$E$3:$E$143,O$3))</f>
        <v>5000</v>
      </c>
      <c r="P22" s="86" t="str">
        <f>IF(SUMIFS(Journal!$D$3:$D$143,Journal!$A$3:$A$143,$B22,Journal!$F$3:$F$143,O$3)=0,"",SUMIFS(Journal!$D$3:$D$143,Journal!$A$3:$A$143,$B22,Journal!$F$3:$F$143,O$3))</f>
        <v/>
      </c>
      <c r="Q22" s="86" t="str">
        <f>IF(SUMIFS(Journal!$D$3:$D$143,Journal!$A$3:$A$143,$B22,Journal!$E$3:$E$143,Q$3)=0,"",SUMIFS(Journal!$D$3:$D$143,Journal!$A$3:$A$143,$B22,Journal!$E$3:$E$143,Q$3))</f>
        <v/>
      </c>
      <c r="R22" s="86" t="str">
        <f>IF(SUMIFS(Journal!$D$3:$D$143,Journal!$A$3:$A$143,$B22,Journal!$F$3:$F$143,Q$3)=0,"",SUMIFS(Journal!$D$3:$D$143,Journal!$A$3:$A$143,$B22,Journal!$F$3:$F$143,Q$3))</f>
        <v/>
      </c>
      <c r="S22" s="86" t="str">
        <f>IF(SUMIFS(Journal!$D$3:$D$143,Journal!$A$3:$A$143,$B22,Journal!$E$3:$E$143,S$3)=0,"",SUMIFS(Journal!$D$3:$D$143,Journal!$A$3:$A$143,$B22,Journal!$E$3:$E$143,S$3))</f>
        <v/>
      </c>
      <c r="T22" s="86" t="str">
        <f>IF(SUMIFS(Journal!$D$3:$D$143,Journal!$A$3:$A$143,$B22,Journal!$F$3:$F$143,S$3)=0,"",SUMIFS(Journal!$D$3:$D$143,Journal!$A$3:$A$143,$B22,Journal!$F$3:$F$143,S$3))</f>
        <v/>
      </c>
      <c r="U22" s="86" t="str">
        <f>IF(SUMIFS(Journal!$D$3:$D$143,Journal!$A$3:$A$143,$B22,Journal!$E$3:$E$143,U$3)=0,"",SUMIFS(Journal!$D$3:$D$143,Journal!$A$3:$A$143,$B22,Journal!$E$3:$E$143,U$3))</f>
        <v/>
      </c>
      <c r="V22" s="86" t="str">
        <f>IF(SUMIFS(Journal!$D$3:$D$143,Journal!$A$3:$A$143,$B22,Journal!$F$3:$F$143,U$3)=0,"",SUMIFS(Journal!$D$3:$D$143,Journal!$A$3:$A$143,$B22,Journal!$F$3:$F$143,U$3))</f>
        <v/>
      </c>
      <c r="W22" s="86" t="str">
        <f>IF(SUMIFS(Journal!$D$3:$D$143,Journal!$A$3:$A$143,$B22,Journal!$E$3:$E$143,W$3)=0,"",SUMIFS(Journal!$D$3:$D$143,Journal!$A$3:$A$143,$B22,Journal!$E$3:$E$143,W$3))</f>
        <v/>
      </c>
      <c r="X22" s="86" t="str">
        <f>IF(SUMIFS(Journal!$D$3:$D$143,Journal!$A$3:$A$143,$B22,Journal!$F$3:$F$143,W$3)=0,"",SUMIFS(Journal!$D$3:$D$143,Journal!$A$3:$A$143,$B22,Journal!$F$3:$F$143,W$3))</f>
        <v/>
      </c>
      <c r="Y22" s="86" t="str">
        <f>IF(SUMIFS(Journal!$D$3:$D$143,Journal!$A$3:$A$143,$B22,Journal!$E$3:$E$143,Y$3)=0,"",SUMIFS(Journal!$D$3:$D$143,Journal!$A$3:$A$143,$B22,Journal!$E$3:$E$143,Y$3))</f>
        <v/>
      </c>
      <c r="Z22" s="86" t="str">
        <f>IF(SUMIFS(Journal!$D$3:$D$143,Journal!$A$3:$A$143,$B22,Journal!$F$3:$F$143,Y$3)=0,"",SUMIFS(Journal!$D$3:$D$143,Journal!$A$3:$A$143,$B22,Journal!$F$3:$F$143,Y$3))</f>
        <v/>
      </c>
      <c r="AA22" s="86" t="str">
        <f>IF(SUMIFS(Journal!$D$3:$D$143,Journal!$A$3:$A$143,$B22,Journal!$E$3:$E$143,AA$3)=0,"",SUMIFS(Journal!$D$3:$D$143,Journal!$A$3:$A$143,$B22,Journal!$E$3:$E$143,AA$3))</f>
        <v/>
      </c>
      <c r="AB22" s="86" t="str">
        <f>IF(SUMIFS(Journal!$D$3:$D$143,Journal!$A$3:$A$143,$B22,Journal!$F$3:$F$143,AA$3)=0,"",SUMIFS(Journal!$D$3:$D$143,Journal!$A$3:$A$143,$B22,Journal!$F$3:$F$143,AA$3))</f>
        <v/>
      </c>
      <c r="AC22" s="86" t="str">
        <f>IF(SUMIFS(Journal!$D$3:$D$143,Journal!$A$3:$A$143,$B22,Journal!$E$3:$E$143,AC$3)=0,"",SUMIFS(Journal!$D$3:$D$143,Journal!$A$3:$A$143,$B22,Journal!$E$3:$E$143,AC$3))</f>
        <v/>
      </c>
      <c r="AD22" s="86" t="str">
        <f>IF(SUMIFS(Journal!$D$3:$D$143,Journal!$A$3:$A$143,$B22,Journal!$F$3:$F$143,AC$3)=0,"",SUMIFS(Journal!$D$3:$D$143,Journal!$A$3:$A$143,$B22,Journal!$F$3:$F$143,AC$3))</f>
        <v/>
      </c>
      <c r="AE22" s="86" t="str">
        <f>IF(SUMIFS(Journal!$D$3:$D$143,Journal!$A$3:$A$143,$B22,Journal!$E$3:$E$143,AE$3)=0,"",SUMIFS(Journal!$D$3:$D$143,Journal!$A$3:$A$143,$B22,Journal!$E$3:$E$143,AE$3))</f>
        <v/>
      </c>
      <c r="AF22" s="86" t="str">
        <f>IF(SUMIFS(Journal!$D$3:$D$143,Journal!$A$3:$A$143,$B22,Journal!$F$3:$F$143,AE$3)=0,"",SUMIFS(Journal!$D$3:$D$143,Journal!$A$3:$A$143,$B22,Journal!$F$3:$F$143,AE$3))</f>
        <v/>
      </c>
      <c r="AG22" s="86" t="str">
        <f>IF(SUMIFS(Journal!$D$3:$D$143,Journal!$A$3:$A$143,$B22,Journal!$E$3:$E$143,AG$3)=0,"",SUMIFS(Journal!$D$3:$D$143,Journal!$A$3:$A$143,$B22,Journal!$E$3:$E$143,AG$3))</f>
        <v/>
      </c>
      <c r="AH22" s="86" t="str">
        <f>IF(SUMIFS(Journal!$D$3:$D$143,Journal!$A$3:$A$143,$B22,Journal!$F$3:$F$143,AG$3)=0,"",SUMIFS(Journal!$D$3:$D$143,Journal!$A$3:$A$143,$B22,Journal!$F$3:$F$143,AG$3))</f>
        <v/>
      </c>
      <c r="AI22" s="86" t="str">
        <f>IF(SUMIFS(Journal!$D$3:$D$143,Journal!$A$3:$A$143,$B22,Journal!$E$3:$E$143,AI$3)=0,"",SUMIFS(Journal!$D$3:$D$143,Journal!$A$3:$A$143,$B22,Journal!$E$3:$E$143,AI$3))</f>
        <v/>
      </c>
      <c r="AJ22" s="86" t="str">
        <f>IF(SUMIFS(Journal!$D$3:$D$143,Journal!$A$3:$A$143,$B22,Journal!$F$3:$F$143,AI$3)=0,"",SUMIFS(Journal!$D$3:$D$143,Journal!$A$3:$A$143,$B22,Journal!$F$3:$F$143,AI$3))</f>
        <v/>
      </c>
      <c r="AK22" s="86" t="str">
        <f>IF(SUMIFS(Journal!$D$3:$D$143,Journal!$A$3:$A$143,$B22,Journal!$E$3:$E$143,AK$3)=0,"",SUMIFS(Journal!$D$3:$D$143,Journal!$A$3:$A$143,$B22,Journal!$E$3:$E$143,AK$3))</f>
        <v/>
      </c>
      <c r="AL22" s="86" t="str">
        <f>IF(SUMIFS(Journal!$D$3:$D$143,Journal!$A$3:$A$143,$B22,Journal!$F$3:$F$143,AK$3)=0,"",SUMIFS(Journal!$D$3:$D$143,Journal!$A$3:$A$143,$B22,Journal!$F$3:$F$143,AK$3))</f>
        <v/>
      </c>
      <c r="AM22" s="86" t="str">
        <f>IF(SUMIFS(Journal!$D$3:$D$143,Journal!$A$3:$A$143,$B22,Journal!$E$3:$E$143,AM$3)=0,"",SUMIFS(Journal!$D$3:$D$143,Journal!$A$3:$A$143,$B22,Journal!$E$3:$E$143,AM$3))</f>
        <v/>
      </c>
      <c r="AN22" s="86" t="str">
        <f>IF(SUMIFS(Journal!$D$3:$D$143,Journal!$A$3:$A$143,$B22,Journal!$F$3:$F$143,AM$3)=0,"",SUMIFS(Journal!$D$3:$D$143,Journal!$A$3:$A$143,$B22,Journal!$F$3:$F$143,AM$3))</f>
        <v/>
      </c>
      <c r="AO22" s="86" t="str">
        <f>IF(SUMIFS(Journal!$D$3:$D$143,Journal!$A$3:$A$143,$B22,Journal!$E$3:$E$143,AO$3)=0,"",SUMIFS(Journal!$D$3:$D$143,Journal!$A$3:$A$143,$B22,Journal!$E$3:$E$143,AO$3))</f>
        <v/>
      </c>
      <c r="AP22" s="86" t="str">
        <f>IF(SUMIFS(Journal!$D$3:$D$143,Journal!$A$3:$A$143,$B22,Journal!$F$3:$F$143,AO$3)=0,"",SUMIFS(Journal!$D$3:$D$143,Journal!$A$3:$A$143,$B22,Journal!$F$3:$F$143,AO$3))</f>
        <v/>
      </c>
      <c r="AQ22" s="86" t="str">
        <f>IF(SUMIFS(Journal!$D$3:$D$143,Journal!$A$3:$A$143,$B22,Journal!$E$3:$E$143,AQ$3)=0,"",SUMIFS(Journal!$D$3:$D$143,Journal!$A$3:$A$143,$B22,Journal!$E$3:$E$143,AQ$3))</f>
        <v/>
      </c>
      <c r="AR22" s="86" t="str">
        <f>IF(SUMIFS(Journal!$D$3:$D$143,Journal!$A$3:$A$143,$B22,Journal!$F$3:$F$143,AQ$3)=0,"",SUMIFS(Journal!$D$3:$D$143,Journal!$A$3:$A$143,$B22,Journal!$F$3:$F$143,AQ$3))</f>
        <v/>
      </c>
      <c r="AS22" s="86" t="str">
        <f>IF(SUMIFS(Journal!$D$3:$D$143,Journal!$A$3:$A$143,$B22,Journal!$E$3:$E$143,AS$3)=0,"",SUMIFS(Journal!$D$3:$D$143,Journal!$A$3:$A$143,$B22,Journal!$E$3:$E$143,AS$3))</f>
        <v/>
      </c>
      <c r="AT22" s="86" t="str">
        <f>IF(SUMIFS(Journal!$D$3:$D$143,Journal!$A$3:$A$143,$B22,Journal!$F$3:$F$143,AS$3)=0,"",SUMIFS(Journal!$D$3:$D$143,Journal!$A$3:$A$143,$B22,Journal!$F$3:$F$143,AS$3))</f>
        <v/>
      </c>
      <c r="AU22" s="86" t="str">
        <f>IF(SUMIFS(Journal!$D$3:$D$143,Journal!$A$3:$A$143,$B22,Journal!$E$3:$E$143,AU$3)=0,"",SUMIFS(Journal!$D$3:$D$143,Journal!$A$3:$A$143,$B22,Journal!$E$3:$E$143,AU$3))</f>
        <v/>
      </c>
      <c r="AV22" s="86" t="str">
        <f>IF(SUMIFS(Journal!$D$3:$D$143,Journal!$A$3:$A$143,$B22,Journal!$F$3:$F$143,AU$3)=0,"",SUMIFS(Journal!$D$3:$D$143,Journal!$A$3:$A$143,$B22,Journal!$F$3:$F$143,AU$3))</f>
        <v/>
      </c>
      <c r="AW22" s="86" t="str">
        <f>IF(SUMIFS(Journal!$D$3:$D$143,Journal!$A$3:$A$143,$B22,Journal!$E$3:$E$143,AW$3)=0,"",SUMIFS(Journal!$D$3:$D$143,Journal!$A$3:$A$143,$B22,Journal!$E$3:$E$143,AW$3))</f>
        <v/>
      </c>
      <c r="AX22" s="86" t="str">
        <f>IF(SUMIFS(Journal!$D$3:$D$143,Journal!$A$3:$A$143,$B22,Journal!$F$3:$F$143,AW$3)=0,"",SUMIFS(Journal!$D$3:$D$143,Journal!$A$3:$A$143,$B22,Journal!$F$3:$F$143,AW$3))</f>
        <v/>
      </c>
      <c r="AY22" s="86" t="str">
        <f>IF(SUMIFS(Journal!$D$3:$D$143,Journal!$A$3:$A$143,$B22,Journal!$E$3:$E$143,AY$3)=0,"",SUMIFS(Journal!$D$3:$D$143,Journal!$A$3:$A$143,$B22,Journal!$E$3:$E$143,AY$3))</f>
        <v/>
      </c>
      <c r="AZ22" s="86" t="str">
        <f>IF(SUMIFS(Journal!$D$3:$D$143,Journal!$A$3:$A$143,$B22,Journal!$F$3:$F$143,AY$3)=0,"",SUMIFS(Journal!$D$3:$D$143,Journal!$A$3:$A$143,$B22,Journal!$F$3:$F$143,AY$3))</f>
        <v/>
      </c>
      <c r="BA22" s="86" t="str">
        <f>IF(SUMIFS(Journal!$D$3:$D$143,Journal!$A$3:$A$143,$B22,Journal!$E$3:$E$143,BA$3)=0,"",SUMIFS(Journal!$D$3:$D$143,Journal!$A$3:$A$143,$B22,Journal!$E$3:$E$143,BA$3))</f>
        <v/>
      </c>
      <c r="BB22" s="86" t="str">
        <f>IF(SUMIFS(Journal!$D$3:$D$143,Journal!$A$3:$A$143,$B22,Journal!$F$3:$F$143,BA$3)=0,"",SUMIFS(Journal!$D$3:$D$143,Journal!$A$3:$A$143,$B22,Journal!$F$3:$F$143,BA$3))</f>
        <v/>
      </c>
      <c r="BD22" s="67" t="s">
        <v>25</v>
      </c>
    </row>
    <row r="23">
      <c r="A23" s="84">
        <f>VLOOKUP(B23,Journal!$A$3:$C$143,2,FALSE)</f>
        <v>45328</v>
      </c>
      <c r="B23" s="85" t="s">
        <v>239</v>
      </c>
      <c r="C23" s="86" t="str">
        <f>VLOOKUP(B23,Journal!$A$3:$C$143,3,FALSE)</f>
        <v>Monthly business insurance premium</v>
      </c>
      <c r="D23" s="86">
        <f>SUMIF(Journal!$A$3:$A$143,B23,Journal!$D$3:$D$143)</f>
        <v>600</v>
      </c>
      <c r="E23" s="86" t="str">
        <f>IF(SUMIFS(Journal!$D$3:$D$143,Journal!$A$3:$A$143,$B23,Journal!$E$3:$E$143,E$3)=0,"",SUMIFS(Journal!$D$3:$D$143,Journal!$A$3:$A$143,$B23,Journal!$E$3:$E$143,E$3))</f>
        <v/>
      </c>
      <c r="F23" s="86">
        <f>IF(SUMIFS(Journal!$D$3:$D$143,Journal!$A$3:$A$143,$B23,Journal!$F$3:$F$143,E$3)=0,"",SUMIFS(Journal!$D$3:$D$143,Journal!$A$3:$A$143,$B23,Journal!$F$3:$F$143,E$3))</f>
        <v>600</v>
      </c>
      <c r="G23" s="86" t="str">
        <f>IF(SUMIFS(Journal!$D$3:$D$143,Journal!$A$3:$A$143,$B23,Journal!$E$3:$E$143,G$3)=0,"",SUMIFS(Journal!$D$3:$D$143,Journal!$A$3:$A$143,$B23,Journal!$E$3:$E$143,G$3))</f>
        <v/>
      </c>
      <c r="H23" s="86" t="str">
        <f>IF(SUMIFS(Journal!$D$3:$D$143,Journal!$A$3:$A$143,$B23,Journal!$F$3:$F$143,G$3)=0,"",SUMIFS(Journal!$D$3:$D$143,Journal!$A$3:$A$143,$B23,Journal!$F$3:$F$143,G$3))</f>
        <v/>
      </c>
      <c r="I23" s="86" t="str">
        <f>IF(SUMIFS(Journal!$D$3:$D$143,Journal!$A$3:$A$143,$B23,Journal!$E$3:$E$143,I$3)=0,"",SUMIFS(Journal!$D$3:$D$143,Journal!$A$3:$A$143,$B23,Journal!$E$3:$E$143,I$3))</f>
        <v/>
      </c>
      <c r="J23" s="86" t="str">
        <f>IF(SUMIFS(Journal!$D$3:$D$143,Journal!$A$3:$A$143,$B23,Journal!$F$3:$F$143,I$3)=0,"",SUMIFS(Journal!$D$3:$D$143,Journal!$A$3:$A$143,$B23,Journal!$F$3:$F$143,I$3))</f>
        <v/>
      </c>
      <c r="K23" s="86" t="str">
        <f>IF(SUMIFS(Journal!$D$3:$D$143,Journal!$A$3:$A$143,$B23,Journal!$E$3:$E$143,K$3)=0,"",SUMIFS(Journal!$D$3:$D$143,Journal!$A$3:$A$143,$B23,Journal!$E$3:$E$143,K$3))</f>
        <v/>
      </c>
      <c r="L23" s="86" t="str">
        <f>IF(SUMIFS(Journal!$D$3:$D$143,Journal!$A$3:$A$143,$B23,Journal!$F$3:$F$143,K$3)=0,"",SUMIFS(Journal!$D$3:$D$143,Journal!$A$3:$A$143,$B23,Journal!$F$3:$F$143,K$3))</f>
        <v/>
      </c>
      <c r="M23" s="86" t="str">
        <f>IF(SUMIFS(Journal!$D$3:$D$143,Journal!$A$3:$A$143,$B23,Journal!$E$3:$E$143,M$3)=0,"",SUMIFS(Journal!$D$3:$D$143,Journal!$A$3:$A$143,$B23,Journal!$E$3:$E$143,M$3))</f>
        <v/>
      </c>
      <c r="N23" s="86" t="str">
        <f>IF(SUMIFS(Journal!$D$3:$D$143,Journal!$A$3:$A$143,$B23,Journal!$F$3:$F$143,M$3)=0,"",SUMIFS(Journal!$D$3:$D$143,Journal!$A$3:$A$143,$B23,Journal!$F$3:$F$143,M$3))</f>
        <v/>
      </c>
      <c r="O23" s="86" t="str">
        <f>IF(SUMIFS(Journal!$D$3:$D$143,Journal!$A$3:$A$143,$B23,Journal!$E$3:$E$143,O$3)=0,"",SUMIFS(Journal!$D$3:$D$143,Journal!$A$3:$A$143,$B23,Journal!$E$3:$E$143,O$3))</f>
        <v/>
      </c>
      <c r="P23" s="86" t="str">
        <f>IF(SUMIFS(Journal!$D$3:$D$143,Journal!$A$3:$A$143,$B23,Journal!$F$3:$F$143,O$3)=0,"",SUMIFS(Journal!$D$3:$D$143,Journal!$A$3:$A$143,$B23,Journal!$F$3:$F$143,O$3))</f>
        <v/>
      </c>
      <c r="Q23" s="86" t="str">
        <f>IF(SUMIFS(Journal!$D$3:$D$143,Journal!$A$3:$A$143,$B23,Journal!$E$3:$E$143,Q$3)=0,"",SUMIFS(Journal!$D$3:$D$143,Journal!$A$3:$A$143,$B23,Journal!$E$3:$E$143,Q$3))</f>
        <v/>
      </c>
      <c r="R23" s="86" t="str">
        <f>IF(SUMIFS(Journal!$D$3:$D$143,Journal!$A$3:$A$143,$B23,Journal!$F$3:$F$143,Q$3)=0,"",SUMIFS(Journal!$D$3:$D$143,Journal!$A$3:$A$143,$B23,Journal!$F$3:$F$143,Q$3))</f>
        <v/>
      </c>
      <c r="S23" s="86" t="str">
        <f>IF(SUMIFS(Journal!$D$3:$D$143,Journal!$A$3:$A$143,$B23,Journal!$E$3:$E$143,S$3)=0,"",SUMIFS(Journal!$D$3:$D$143,Journal!$A$3:$A$143,$B23,Journal!$E$3:$E$143,S$3))</f>
        <v/>
      </c>
      <c r="T23" s="86" t="str">
        <f>IF(SUMIFS(Journal!$D$3:$D$143,Journal!$A$3:$A$143,$B23,Journal!$F$3:$F$143,S$3)=0,"",SUMIFS(Journal!$D$3:$D$143,Journal!$A$3:$A$143,$B23,Journal!$F$3:$F$143,S$3))</f>
        <v/>
      </c>
      <c r="U23" s="86" t="str">
        <f>IF(SUMIFS(Journal!$D$3:$D$143,Journal!$A$3:$A$143,$B23,Journal!$E$3:$E$143,U$3)=0,"",SUMIFS(Journal!$D$3:$D$143,Journal!$A$3:$A$143,$B23,Journal!$E$3:$E$143,U$3))</f>
        <v/>
      </c>
      <c r="V23" s="86" t="str">
        <f>IF(SUMIFS(Journal!$D$3:$D$143,Journal!$A$3:$A$143,$B23,Journal!$F$3:$F$143,U$3)=0,"",SUMIFS(Journal!$D$3:$D$143,Journal!$A$3:$A$143,$B23,Journal!$F$3:$F$143,U$3))</f>
        <v/>
      </c>
      <c r="W23" s="86" t="str">
        <f>IF(SUMIFS(Journal!$D$3:$D$143,Journal!$A$3:$A$143,$B23,Journal!$E$3:$E$143,W$3)=0,"",SUMIFS(Journal!$D$3:$D$143,Journal!$A$3:$A$143,$B23,Journal!$E$3:$E$143,W$3))</f>
        <v/>
      </c>
      <c r="X23" s="86" t="str">
        <f>IF(SUMIFS(Journal!$D$3:$D$143,Journal!$A$3:$A$143,$B23,Journal!$F$3:$F$143,W$3)=0,"",SUMIFS(Journal!$D$3:$D$143,Journal!$A$3:$A$143,$B23,Journal!$F$3:$F$143,W$3))</f>
        <v/>
      </c>
      <c r="Y23" s="86" t="str">
        <f>IF(SUMIFS(Journal!$D$3:$D$143,Journal!$A$3:$A$143,$B23,Journal!$E$3:$E$143,Y$3)=0,"",SUMIFS(Journal!$D$3:$D$143,Journal!$A$3:$A$143,$B23,Journal!$E$3:$E$143,Y$3))</f>
        <v/>
      </c>
      <c r="Z23" s="86" t="str">
        <f>IF(SUMIFS(Journal!$D$3:$D$143,Journal!$A$3:$A$143,$B23,Journal!$F$3:$F$143,Y$3)=0,"",SUMIFS(Journal!$D$3:$D$143,Journal!$A$3:$A$143,$B23,Journal!$F$3:$F$143,Y$3))</f>
        <v/>
      </c>
      <c r="AA23" s="86" t="str">
        <f>IF(SUMIFS(Journal!$D$3:$D$143,Journal!$A$3:$A$143,$B23,Journal!$E$3:$E$143,AA$3)=0,"",SUMIFS(Journal!$D$3:$D$143,Journal!$A$3:$A$143,$B23,Journal!$E$3:$E$143,AA$3))</f>
        <v/>
      </c>
      <c r="AB23" s="86" t="str">
        <f>IF(SUMIFS(Journal!$D$3:$D$143,Journal!$A$3:$A$143,$B23,Journal!$F$3:$F$143,AA$3)=0,"",SUMIFS(Journal!$D$3:$D$143,Journal!$A$3:$A$143,$B23,Journal!$F$3:$F$143,AA$3))</f>
        <v/>
      </c>
      <c r="AC23" s="86" t="str">
        <f>IF(SUMIFS(Journal!$D$3:$D$143,Journal!$A$3:$A$143,$B23,Journal!$E$3:$E$143,AC$3)=0,"",SUMIFS(Journal!$D$3:$D$143,Journal!$A$3:$A$143,$B23,Journal!$E$3:$E$143,AC$3))</f>
        <v/>
      </c>
      <c r="AD23" s="86" t="str">
        <f>IF(SUMIFS(Journal!$D$3:$D$143,Journal!$A$3:$A$143,$B23,Journal!$F$3:$F$143,AC$3)=0,"",SUMIFS(Journal!$D$3:$D$143,Journal!$A$3:$A$143,$B23,Journal!$F$3:$F$143,AC$3))</f>
        <v/>
      </c>
      <c r="AE23" s="86" t="str">
        <f>IF(SUMIFS(Journal!$D$3:$D$143,Journal!$A$3:$A$143,$B23,Journal!$E$3:$E$143,AE$3)=0,"",SUMIFS(Journal!$D$3:$D$143,Journal!$A$3:$A$143,$B23,Journal!$E$3:$E$143,AE$3))</f>
        <v/>
      </c>
      <c r="AF23" s="86" t="str">
        <f>IF(SUMIFS(Journal!$D$3:$D$143,Journal!$A$3:$A$143,$B23,Journal!$F$3:$F$143,AE$3)=0,"",SUMIFS(Journal!$D$3:$D$143,Journal!$A$3:$A$143,$B23,Journal!$F$3:$F$143,AE$3))</f>
        <v/>
      </c>
      <c r="AG23" s="86" t="str">
        <f>IF(SUMIFS(Journal!$D$3:$D$143,Journal!$A$3:$A$143,$B23,Journal!$E$3:$E$143,AG$3)=0,"",SUMIFS(Journal!$D$3:$D$143,Journal!$A$3:$A$143,$B23,Journal!$E$3:$E$143,AG$3))</f>
        <v/>
      </c>
      <c r="AH23" s="86" t="str">
        <f>IF(SUMIFS(Journal!$D$3:$D$143,Journal!$A$3:$A$143,$B23,Journal!$F$3:$F$143,AG$3)=0,"",SUMIFS(Journal!$D$3:$D$143,Journal!$A$3:$A$143,$B23,Journal!$F$3:$F$143,AG$3))</f>
        <v/>
      </c>
      <c r="AI23" s="86" t="str">
        <f>IF(SUMIFS(Journal!$D$3:$D$143,Journal!$A$3:$A$143,$B23,Journal!$E$3:$E$143,AI$3)=0,"",SUMIFS(Journal!$D$3:$D$143,Journal!$A$3:$A$143,$B23,Journal!$E$3:$E$143,AI$3))</f>
        <v/>
      </c>
      <c r="AJ23" s="86" t="str">
        <f>IF(SUMIFS(Journal!$D$3:$D$143,Journal!$A$3:$A$143,$B23,Journal!$F$3:$F$143,AI$3)=0,"",SUMIFS(Journal!$D$3:$D$143,Journal!$A$3:$A$143,$B23,Journal!$F$3:$F$143,AI$3))</f>
        <v/>
      </c>
      <c r="AK23" s="86">
        <f>IF(SUMIFS(Journal!$D$3:$D$143,Journal!$A$3:$A$143,$B23,Journal!$E$3:$E$143,AK$3)=0,"",SUMIFS(Journal!$D$3:$D$143,Journal!$A$3:$A$143,$B23,Journal!$E$3:$E$143,AK$3))</f>
        <v>600</v>
      </c>
      <c r="AL23" s="86" t="str">
        <f>IF(SUMIFS(Journal!$D$3:$D$143,Journal!$A$3:$A$143,$B23,Journal!$F$3:$F$143,AK$3)=0,"",SUMIFS(Journal!$D$3:$D$143,Journal!$A$3:$A$143,$B23,Journal!$F$3:$F$143,AK$3))</f>
        <v/>
      </c>
      <c r="AM23" s="86" t="str">
        <f>IF(SUMIFS(Journal!$D$3:$D$143,Journal!$A$3:$A$143,$B23,Journal!$E$3:$E$143,AM$3)=0,"",SUMIFS(Journal!$D$3:$D$143,Journal!$A$3:$A$143,$B23,Journal!$E$3:$E$143,AM$3))</f>
        <v/>
      </c>
      <c r="AN23" s="86" t="str">
        <f>IF(SUMIFS(Journal!$D$3:$D$143,Journal!$A$3:$A$143,$B23,Journal!$F$3:$F$143,AM$3)=0,"",SUMIFS(Journal!$D$3:$D$143,Journal!$A$3:$A$143,$B23,Journal!$F$3:$F$143,AM$3))</f>
        <v/>
      </c>
      <c r="AO23" s="86" t="str">
        <f>IF(SUMIFS(Journal!$D$3:$D$143,Journal!$A$3:$A$143,$B23,Journal!$E$3:$E$143,AO$3)=0,"",SUMIFS(Journal!$D$3:$D$143,Journal!$A$3:$A$143,$B23,Journal!$E$3:$E$143,AO$3))</f>
        <v/>
      </c>
      <c r="AP23" s="86" t="str">
        <f>IF(SUMIFS(Journal!$D$3:$D$143,Journal!$A$3:$A$143,$B23,Journal!$F$3:$F$143,AO$3)=0,"",SUMIFS(Journal!$D$3:$D$143,Journal!$A$3:$A$143,$B23,Journal!$F$3:$F$143,AO$3))</f>
        <v/>
      </c>
      <c r="AQ23" s="86" t="str">
        <f>IF(SUMIFS(Journal!$D$3:$D$143,Journal!$A$3:$A$143,$B23,Journal!$E$3:$E$143,AQ$3)=0,"",SUMIFS(Journal!$D$3:$D$143,Journal!$A$3:$A$143,$B23,Journal!$E$3:$E$143,AQ$3))</f>
        <v/>
      </c>
      <c r="AR23" s="86" t="str">
        <f>IF(SUMIFS(Journal!$D$3:$D$143,Journal!$A$3:$A$143,$B23,Journal!$F$3:$F$143,AQ$3)=0,"",SUMIFS(Journal!$D$3:$D$143,Journal!$A$3:$A$143,$B23,Journal!$F$3:$F$143,AQ$3))</f>
        <v/>
      </c>
      <c r="AS23" s="86" t="str">
        <f>IF(SUMIFS(Journal!$D$3:$D$143,Journal!$A$3:$A$143,$B23,Journal!$E$3:$E$143,AS$3)=0,"",SUMIFS(Journal!$D$3:$D$143,Journal!$A$3:$A$143,$B23,Journal!$E$3:$E$143,AS$3))</f>
        <v/>
      </c>
      <c r="AT23" s="86" t="str">
        <f>IF(SUMIFS(Journal!$D$3:$D$143,Journal!$A$3:$A$143,$B23,Journal!$F$3:$F$143,AS$3)=0,"",SUMIFS(Journal!$D$3:$D$143,Journal!$A$3:$A$143,$B23,Journal!$F$3:$F$143,AS$3))</f>
        <v/>
      </c>
      <c r="AU23" s="86" t="str">
        <f>IF(SUMIFS(Journal!$D$3:$D$143,Journal!$A$3:$A$143,$B23,Journal!$E$3:$E$143,AU$3)=0,"",SUMIFS(Journal!$D$3:$D$143,Journal!$A$3:$A$143,$B23,Journal!$E$3:$E$143,AU$3))</f>
        <v/>
      </c>
      <c r="AV23" s="86" t="str">
        <f>IF(SUMIFS(Journal!$D$3:$D$143,Journal!$A$3:$A$143,$B23,Journal!$F$3:$F$143,AU$3)=0,"",SUMIFS(Journal!$D$3:$D$143,Journal!$A$3:$A$143,$B23,Journal!$F$3:$F$143,AU$3))</f>
        <v/>
      </c>
      <c r="AW23" s="86" t="str">
        <f>IF(SUMIFS(Journal!$D$3:$D$143,Journal!$A$3:$A$143,$B23,Journal!$E$3:$E$143,AW$3)=0,"",SUMIFS(Journal!$D$3:$D$143,Journal!$A$3:$A$143,$B23,Journal!$E$3:$E$143,AW$3))</f>
        <v/>
      </c>
      <c r="AX23" s="86" t="str">
        <f>IF(SUMIFS(Journal!$D$3:$D$143,Journal!$A$3:$A$143,$B23,Journal!$F$3:$F$143,AW$3)=0,"",SUMIFS(Journal!$D$3:$D$143,Journal!$A$3:$A$143,$B23,Journal!$F$3:$F$143,AW$3))</f>
        <v/>
      </c>
      <c r="AY23" s="86" t="str">
        <f>IF(SUMIFS(Journal!$D$3:$D$143,Journal!$A$3:$A$143,$B23,Journal!$E$3:$E$143,AY$3)=0,"",SUMIFS(Journal!$D$3:$D$143,Journal!$A$3:$A$143,$B23,Journal!$E$3:$E$143,AY$3))</f>
        <v/>
      </c>
      <c r="AZ23" s="86" t="str">
        <f>IF(SUMIFS(Journal!$D$3:$D$143,Journal!$A$3:$A$143,$B23,Journal!$F$3:$F$143,AY$3)=0,"",SUMIFS(Journal!$D$3:$D$143,Journal!$A$3:$A$143,$B23,Journal!$F$3:$F$143,AY$3))</f>
        <v/>
      </c>
      <c r="BA23" s="86" t="str">
        <f>IF(SUMIFS(Journal!$D$3:$D$143,Journal!$A$3:$A$143,$B23,Journal!$E$3:$E$143,BA$3)=0,"",SUMIFS(Journal!$D$3:$D$143,Journal!$A$3:$A$143,$B23,Journal!$E$3:$E$143,BA$3))</f>
        <v/>
      </c>
      <c r="BB23" s="86" t="str">
        <f>IF(SUMIFS(Journal!$D$3:$D$143,Journal!$A$3:$A$143,$B23,Journal!$F$3:$F$143,BA$3)=0,"",SUMIFS(Journal!$D$3:$D$143,Journal!$A$3:$A$143,$B23,Journal!$F$3:$F$143,BA$3))</f>
        <v/>
      </c>
      <c r="BD23" s="67" t="s">
        <v>109</v>
      </c>
    </row>
    <row r="24">
      <c r="A24" s="84">
        <f>VLOOKUP(B24,Journal!$A$3:$C$143,2,FALSE)</f>
        <v>45334</v>
      </c>
      <c r="B24" s="85" t="s">
        <v>242</v>
      </c>
      <c r="C24" s="86" t="str">
        <f>VLOOKUP(B24,Journal!$A$3:$C$143,3,FALSE)</f>
        <v>Equipment rental receipts batch</v>
      </c>
      <c r="D24" s="86">
        <f>SUMIF(Journal!$A$3:$A$143,B24,Journal!$D$3:$D$143)</f>
        <v>5500</v>
      </c>
      <c r="E24" s="86">
        <f>IF(SUMIFS(Journal!$D$3:$D$143,Journal!$A$3:$A$143,$B24,Journal!$E$3:$E$143,E$3)=0,"",SUMIFS(Journal!$D$3:$D$143,Journal!$A$3:$A$143,$B24,Journal!$E$3:$E$143,E$3))</f>
        <v>5500</v>
      </c>
      <c r="F24" s="86" t="str">
        <f>IF(SUMIFS(Journal!$D$3:$D$143,Journal!$A$3:$A$143,$B24,Journal!$F$3:$F$143,E$3)=0,"",SUMIFS(Journal!$D$3:$D$143,Journal!$A$3:$A$143,$B24,Journal!$F$3:$F$143,E$3))</f>
        <v/>
      </c>
      <c r="G24" s="86" t="str">
        <f>IF(SUMIFS(Journal!$D$3:$D$143,Journal!$A$3:$A$143,$B24,Journal!$E$3:$E$143,G$3)=0,"",SUMIFS(Journal!$D$3:$D$143,Journal!$A$3:$A$143,$B24,Journal!$E$3:$E$143,G$3))</f>
        <v/>
      </c>
      <c r="H24" s="86" t="str">
        <f>IF(SUMIFS(Journal!$D$3:$D$143,Journal!$A$3:$A$143,$B24,Journal!$F$3:$F$143,G$3)=0,"",SUMIFS(Journal!$D$3:$D$143,Journal!$A$3:$A$143,$B24,Journal!$F$3:$F$143,G$3))</f>
        <v/>
      </c>
      <c r="I24" s="86" t="str">
        <f>IF(SUMIFS(Journal!$D$3:$D$143,Journal!$A$3:$A$143,$B24,Journal!$E$3:$E$143,I$3)=0,"",SUMIFS(Journal!$D$3:$D$143,Journal!$A$3:$A$143,$B24,Journal!$E$3:$E$143,I$3))</f>
        <v/>
      </c>
      <c r="J24" s="86" t="str">
        <f>IF(SUMIFS(Journal!$D$3:$D$143,Journal!$A$3:$A$143,$B24,Journal!$F$3:$F$143,I$3)=0,"",SUMIFS(Journal!$D$3:$D$143,Journal!$A$3:$A$143,$B24,Journal!$F$3:$F$143,I$3))</f>
        <v/>
      </c>
      <c r="K24" s="86" t="str">
        <f>IF(SUMIFS(Journal!$D$3:$D$143,Journal!$A$3:$A$143,$B24,Journal!$E$3:$E$143,K$3)=0,"",SUMIFS(Journal!$D$3:$D$143,Journal!$A$3:$A$143,$B24,Journal!$E$3:$E$143,K$3))</f>
        <v/>
      </c>
      <c r="L24" s="86" t="str">
        <f>IF(SUMIFS(Journal!$D$3:$D$143,Journal!$A$3:$A$143,$B24,Journal!$F$3:$F$143,K$3)=0,"",SUMIFS(Journal!$D$3:$D$143,Journal!$A$3:$A$143,$B24,Journal!$F$3:$F$143,K$3))</f>
        <v/>
      </c>
      <c r="M24" s="86" t="str">
        <f>IF(SUMIFS(Journal!$D$3:$D$143,Journal!$A$3:$A$143,$B24,Journal!$E$3:$E$143,M$3)=0,"",SUMIFS(Journal!$D$3:$D$143,Journal!$A$3:$A$143,$B24,Journal!$E$3:$E$143,M$3))</f>
        <v/>
      </c>
      <c r="N24" s="86" t="str">
        <f>IF(SUMIFS(Journal!$D$3:$D$143,Journal!$A$3:$A$143,$B24,Journal!$F$3:$F$143,M$3)=0,"",SUMIFS(Journal!$D$3:$D$143,Journal!$A$3:$A$143,$B24,Journal!$F$3:$F$143,M$3))</f>
        <v/>
      </c>
      <c r="O24" s="86" t="str">
        <f>IF(SUMIFS(Journal!$D$3:$D$143,Journal!$A$3:$A$143,$B24,Journal!$E$3:$E$143,O$3)=0,"",SUMIFS(Journal!$D$3:$D$143,Journal!$A$3:$A$143,$B24,Journal!$E$3:$E$143,O$3))</f>
        <v/>
      </c>
      <c r="P24" s="86" t="str">
        <f>IF(SUMIFS(Journal!$D$3:$D$143,Journal!$A$3:$A$143,$B24,Journal!$F$3:$F$143,O$3)=0,"",SUMIFS(Journal!$D$3:$D$143,Journal!$A$3:$A$143,$B24,Journal!$F$3:$F$143,O$3))</f>
        <v/>
      </c>
      <c r="Q24" s="86" t="str">
        <f>IF(SUMIFS(Journal!$D$3:$D$143,Journal!$A$3:$A$143,$B24,Journal!$E$3:$E$143,Q$3)=0,"",SUMIFS(Journal!$D$3:$D$143,Journal!$A$3:$A$143,$B24,Journal!$E$3:$E$143,Q$3))</f>
        <v/>
      </c>
      <c r="R24" s="86" t="str">
        <f>IF(SUMIFS(Journal!$D$3:$D$143,Journal!$A$3:$A$143,$B24,Journal!$F$3:$F$143,Q$3)=0,"",SUMIFS(Journal!$D$3:$D$143,Journal!$A$3:$A$143,$B24,Journal!$F$3:$F$143,Q$3))</f>
        <v/>
      </c>
      <c r="S24" s="86" t="str">
        <f>IF(SUMIFS(Journal!$D$3:$D$143,Journal!$A$3:$A$143,$B24,Journal!$E$3:$E$143,S$3)=0,"",SUMIFS(Journal!$D$3:$D$143,Journal!$A$3:$A$143,$B24,Journal!$E$3:$E$143,S$3))</f>
        <v/>
      </c>
      <c r="T24" s="86" t="str">
        <f>IF(SUMIFS(Journal!$D$3:$D$143,Journal!$A$3:$A$143,$B24,Journal!$F$3:$F$143,S$3)=0,"",SUMIFS(Journal!$D$3:$D$143,Journal!$A$3:$A$143,$B24,Journal!$F$3:$F$143,S$3))</f>
        <v/>
      </c>
      <c r="U24" s="86" t="str">
        <f>IF(SUMIFS(Journal!$D$3:$D$143,Journal!$A$3:$A$143,$B24,Journal!$E$3:$E$143,U$3)=0,"",SUMIFS(Journal!$D$3:$D$143,Journal!$A$3:$A$143,$B24,Journal!$E$3:$E$143,U$3))</f>
        <v/>
      </c>
      <c r="V24" s="86" t="str">
        <f>IF(SUMIFS(Journal!$D$3:$D$143,Journal!$A$3:$A$143,$B24,Journal!$F$3:$F$143,U$3)=0,"",SUMIFS(Journal!$D$3:$D$143,Journal!$A$3:$A$143,$B24,Journal!$F$3:$F$143,U$3))</f>
        <v/>
      </c>
      <c r="W24" s="86" t="str">
        <f>IF(SUMIFS(Journal!$D$3:$D$143,Journal!$A$3:$A$143,$B24,Journal!$E$3:$E$143,W$3)=0,"",SUMIFS(Journal!$D$3:$D$143,Journal!$A$3:$A$143,$B24,Journal!$E$3:$E$143,W$3))</f>
        <v/>
      </c>
      <c r="X24" s="86">
        <f>IF(SUMIFS(Journal!$D$3:$D$143,Journal!$A$3:$A$143,$B24,Journal!$F$3:$F$143,W$3)=0,"",SUMIFS(Journal!$D$3:$D$143,Journal!$A$3:$A$143,$B24,Journal!$F$3:$F$143,W$3))</f>
        <v>5500</v>
      </c>
      <c r="Y24" s="86" t="str">
        <f>IF(SUMIFS(Journal!$D$3:$D$143,Journal!$A$3:$A$143,$B24,Journal!$E$3:$E$143,Y$3)=0,"",SUMIFS(Journal!$D$3:$D$143,Journal!$A$3:$A$143,$B24,Journal!$E$3:$E$143,Y$3))</f>
        <v/>
      </c>
      <c r="Z24" s="86" t="str">
        <f>IF(SUMIFS(Journal!$D$3:$D$143,Journal!$A$3:$A$143,$B24,Journal!$F$3:$F$143,Y$3)=0,"",SUMIFS(Journal!$D$3:$D$143,Journal!$A$3:$A$143,$B24,Journal!$F$3:$F$143,Y$3))</f>
        <v/>
      </c>
      <c r="AA24" s="86" t="str">
        <f>IF(SUMIFS(Journal!$D$3:$D$143,Journal!$A$3:$A$143,$B24,Journal!$E$3:$E$143,AA$3)=0,"",SUMIFS(Journal!$D$3:$D$143,Journal!$A$3:$A$143,$B24,Journal!$E$3:$E$143,AA$3))</f>
        <v/>
      </c>
      <c r="AB24" s="86" t="str">
        <f>IF(SUMIFS(Journal!$D$3:$D$143,Journal!$A$3:$A$143,$B24,Journal!$F$3:$F$143,AA$3)=0,"",SUMIFS(Journal!$D$3:$D$143,Journal!$A$3:$A$143,$B24,Journal!$F$3:$F$143,AA$3))</f>
        <v/>
      </c>
      <c r="AC24" s="86" t="str">
        <f>IF(SUMIFS(Journal!$D$3:$D$143,Journal!$A$3:$A$143,$B24,Journal!$E$3:$E$143,AC$3)=0,"",SUMIFS(Journal!$D$3:$D$143,Journal!$A$3:$A$143,$B24,Journal!$E$3:$E$143,AC$3))</f>
        <v/>
      </c>
      <c r="AD24" s="86" t="str">
        <f>IF(SUMIFS(Journal!$D$3:$D$143,Journal!$A$3:$A$143,$B24,Journal!$F$3:$F$143,AC$3)=0,"",SUMIFS(Journal!$D$3:$D$143,Journal!$A$3:$A$143,$B24,Journal!$F$3:$F$143,AC$3))</f>
        <v/>
      </c>
      <c r="AE24" s="86" t="str">
        <f>IF(SUMIFS(Journal!$D$3:$D$143,Journal!$A$3:$A$143,$B24,Journal!$E$3:$E$143,AE$3)=0,"",SUMIFS(Journal!$D$3:$D$143,Journal!$A$3:$A$143,$B24,Journal!$E$3:$E$143,AE$3))</f>
        <v/>
      </c>
      <c r="AF24" s="86" t="str">
        <f>IF(SUMIFS(Journal!$D$3:$D$143,Journal!$A$3:$A$143,$B24,Journal!$F$3:$F$143,AE$3)=0,"",SUMIFS(Journal!$D$3:$D$143,Journal!$A$3:$A$143,$B24,Journal!$F$3:$F$143,AE$3))</f>
        <v/>
      </c>
      <c r="AG24" s="86" t="str">
        <f>IF(SUMIFS(Journal!$D$3:$D$143,Journal!$A$3:$A$143,$B24,Journal!$E$3:$E$143,AG$3)=0,"",SUMIFS(Journal!$D$3:$D$143,Journal!$A$3:$A$143,$B24,Journal!$E$3:$E$143,AG$3))</f>
        <v/>
      </c>
      <c r="AH24" s="86" t="str">
        <f>IF(SUMIFS(Journal!$D$3:$D$143,Journal!$A$3:$A$143,$B24,Journal!$F$3:$F$143,AG$3)=0,"",SUMIFS(Journal!$D$3:$D$143,Journal!$A$3:$A$143,$B24,Journal!$F$3:$F$143,AG$3))</f>
        <v/>
      </c>
      <c r="AI24" s="86" t="str">
        <f>IF(SUMIFS(Journal!$D$3:$D$143,Journal!$A$3:$A$143,$B24,Journal!$E$3:$E$143,AI$3)=0,"",SUMIFS(Journal!$D$3:$D$143,Journal!$A$3:$A$143,$B24,Journal!$E$3:$E$143,AI$3))</f>
        <v/>
      </c>
      <c r="AJ24" s="86" t="str">
        <f>IF(SUMIFS(Journal!$D$3:$D$143,Journal!$A$3:$A$143,$B24,Journal!$F$3:$F$143,AI$3)=0,"",SUMIFS(Journal!$D$3:$D$143,Journal!$A$3:$A$143,$B24,Journal!$F$3:$F$143,AI$3))</f>
        <v/>
      </c>
      <c r="AK24" s="86" t="str">
        <f>IF(SUMIFS(Journal!$D$3:$D$143,Journal!$A$3:$A$143,$B24,Journal!$E$3:$E$143,AK$3)=0,"",SUMIFS(Journal!$D$3:$D$143,Journal!$A$3:$A$143,$B24,Journal!$E$3:$E$143,AK$3))</f>
        <v/>
      </c>
      <c r="AL24" s="86" t="str">
        <f>IF(SUMIFS(Journal!$D$3:$D$143,Journal!$A$3:$A$143,$B24,Journal!$F$3:$F$143,AK$3)=0,"",SUMIFS(Journal!$D$3:$D$143,Journal!$A$3:$A$143,$B24,Journal!$F$3:$F$143,AK$3))</f>
        <v/>
      </c>
      <c r="AM24" s="86" t="str">
        <f>IF(SUMIFS(Journal!$D$3:$D$143,Journal!$A$3:$A$143,$B24,Journal!$E$3:$E$143,AM$3)=0,"",SUMIFS(Journal!$D$3:$D$143,Journal!$A$3:$A$143,$B24,Journal!$E$3:$E$143,AM$3))</f>
        <v/>
      </c>
      <c r="AN24" s="86" t="str">
        <f>IF(SUMIFS(Journal!$D$3:$D$143,Journal!$A$3:$A$143,$B24,Journal!$F$3:$F$143,AM$3)=0,"",SUMIFS(Journal!$D$3:$D$143,Journal!$A$3:$A$143,$B24,Journal!$F$3:$F$143,AM$3))</f>
        <v/>
      </c>
      <c r="AO24" s="86" t="str">
        <f>IF(SUMIFS(Journal!$D$3:$D$143,Journal!$A$3:$A$143,$B24,Journal!$E$3:$E$143,AO$3)=0,"",SUMIFS(Journal!$D$3:$D$143,Journal!$A$3:$A$143,$B24,Journal!$E$3:$E$143,AO$3))</f>
        <v/>
      </c>
      <c r="AP24" s="86" t="str">
        <f>IF(SUMIFS(Journal!$D$3:$D$143,Journal!$A$3:$A$143,$B24,Journal!$F$3:$F$143,AO$3)=0,"",SUMIFS(Journal!$D$3:$D$143,Journal!$A$3:$A$143,$B24,Journal!$F$3:$F$143,AO$3))</f>
        <v/>
      </c>
      <c r="AQ24" s="86" t="str">
        <f>IF(SUMIFS(Journal!$D$3:$D$143,Journal!$A$3:$A$143,$B24,Journal!$E$3:$E$143,AQ$3)=0,"",SUMIFS(Journal!$D$3:$D$143,Journal!$A$3:$A$143,$B24,Journal!$E$3:$E$143,AQ$3))</f>
        <v/>
      </c>
      <c r="AR24" s="86" t="str">
        <f>IF(SUMIFS(Journal!$D$3:$D$143,Journal!$A$3:$A$143,$B24,Journal!$F$3:$F$143,AQ$3)=0,"",SUMIFS(Journal!$D$3:$D$143,Journal!$A$3:$A$143,$B24,Journal!$F$3:$F$143,AQ$3))</f>
        <v/>
      </c>
      <c r="AS24" s="86" t="str">
        <f>IF(SUMIFS(Journal!$D$3:$D$143,Journal!$A$3:$A$143,$B24,Journal!$E$3:$E$143,AS$3)=0,"",SUMIFS(Journal!$D$3:$D$143,Journal!$A$3:$A$143,$B24,Journal!$E$3:$E$143,AS$3))</f>
        <v/>
      </c>
      <c r="AT24" s="86" t="str">
        <f>IF(SUMIFS(Journal!$D$3:$D$143,Journal!$A$3:$A$143,$B24,Journal!$F$3:$F$143,AS$3)=0,"",SUMIFS(Journal!$D$3:$D$143,Journal!$A$3:$A$143,$B24,Journal!$F$3:$F$143,AS$3))</f>
        <v/>
      </c>
      <c r="AU24" s="86" t="str">
        <f>IF(SUMIFS(Journal!$D$3:$D$143,Journal!$A$3:$A$143,$B24,Journal!$E$3:$E$143,AU$3)=0,"",SUMIFS(Journal!$D$3:$D$143,Journal!$A$3:$A$143,$B24,Journal!$E$3:$E$143,AU$3))</f>
        <v/>
      </c>
      <c r="AV24" s="86" t="str">
        <f>IF(SUMIFS(Journal!$D$3:$D$143,Journal!$A$3:$A$143,$B24,Journal!$F$3:$F$143,AU$3)=0,"",SUMIFS(Journal!$D$3:$D$143,Journal!$A$3:$A$143,$B24,Journal!$F$3:$F$143,AU$3))</f>
        <v/>
      </c>
      <c r="AW24" s="86" t="str">
        <f>IF(SUMIFS(Journal!$D$3:$D$143,Journal!$A$3:$A$143,$B24,Journal!$E$3:$E$143,AW$3)=0,"",SUMIFS(Journal!$D$3:$D$143,Journal!$A$3:$A$143,$B24,Journal!$E$3:$E$143,AW$3))</f>
        <v/>
      </c>
      <c r="AX24" s="86" t="str">
        <f>IF(SUMIFS(Journal!$D$3:$D$143,Journal!$A$3:$A$143,$B24,Journal!$F$3:$F$143,AW$3)=0,"",SUMIFS(Journal!$D$3:$D$143,Journal!$A$3:$A$143,$B24,Journal!$F$3:$F$143,AW$3))</f>
        <v/>
      </c>
      <c r="AY24" s="86" t="str">
        <f>IF(SUMIFS(Journal!$D$3:$D$143,Journal!$A$3:$A$143,$B24,Journal!$E$3:$E$143,AY$3)=0,"",SUMIFS(Journal!$D$3:$D$143,Journal!$A$3:$A$143,$B24,Journal!$E$3:$E$143,AY$3))</f>
        <v/>
      </c>
      <c r="AZ24" s="86" t="str">
        <f>IF(SUMIFS(Journal!$D$3:$D$143,Journal!$A$3:$A$143,$B24,Journal!$F$3:$F$143,AY$3)=0,"",SUMIFS(Journal!$D$3:$D$143,Journal!$A$3:$A$143,$B24,Journal!$F$3:$F$143,AY$3))</f>
        <v/>
      </c>
      <c r="BA24" s="86" t="str">
        <f>IF(SUMIFS(Journal!$D$3:$D$143,Journal!$A$3:$A$143,$B24,Journal!$E$3:$E$143,BA$3)=0,"",SUMIFS(Journal!$D$3:$D$143,Journal!$A$3:$A$143,$B24,Journal!$E$3:$E$143,BA$3))</f>
        <v/>
      </c>
      <c r="BB24" s="86" t="str">
        <f>IF(SUMIFS(Journal!$D$3:$D$143,Journal!$A$3:$A$143,$B24,Journal!$F$3:$F$143,BA$3)=0,"",SUMIFS(Journal!$D$3:$D$143,Journal!$A$3:$A$143,$B24,Journal!$F$3:$F$143,BA$3))</f>
        <v/>
      </c>
      <c r="BD24" s="67" t="s">
        <v>45</v>
      </c>
    </row>
    <row r="25">
      <c r="A25" s="84">
        <f>VLOOKUP(B25,Journal!$A$3:$C$143,2,FALSE)</f>
        <v>45335</v>
      </c>
      <c r="B25" s="85" t="s">
        <v>245</v>
      </c>
      <c r="C25" s="86" t="str">
        <f>VLOOKUP(B25,Journal!$A$3:$C$143,3,FALSE)</f>
        <v>Customer deposit for May corporate tour</v>
      </c>
      <c r="D25" s="86">
        <f>SUMIF(Journal!$A$3:$A$143,B25,Journal!$D$3:$D$143)</f>
        <v>4000</v>
      </c>
      <c r="E25" s="86">
        <f>IF(SUMIFS(Journal!$D$3:$D$143,Journal!$A$3:$A$143,$B25,Journal!$E$3:$E$143,E$3)=0,"",SUMIFS(Journal!$D$3:$D$143,Journal!$A$3:$A$143,$B25,Journal!$E$3:$E$143,E$3))</f>
        <v>4000</v>
      </c>
      <c r="F25" s="86" t="str">
        <f>IF(SUMIFS(Journal!$D$3:$D$143,Journal!$A$3:$A$143,$B25,Journal!$F$3:$F$143,E$3)=0,"",SUMIFS(Journal!$D$3:$D$143,Journal!$A$3:$A$143,$B25,Journal!$F$3:$F$143,E$3))</f>
        <v/>
      </c>
      <c r="G25" s="86" t="str">
        <f>IF(SUMIFS(Journal!$D$3:$D$143,Journal!$A$3:$A$143,$B25,Journal!$E$3:$E$143,G$3)=0,"",SUMIFS(Journal!$D$3:$D$143,Journal!$A$3:$A$143,$B25,Journal!$E$3:$E$143,G$3))</f>
        <v/>
      </c>
      <c r="H25" s="86" t="str">
        <f>IF(SUMIFS(Journal!$D$3:$D$143,Journal!$A$3:$A$143,$B25,Journal!$F$3:$F$143,G$3)=0,"",SUMIFS(Journal!$D$3:$D$143,Journal!$A$3:$A$143,$B25,Journal!$F$3:$F$143,G$3))</f>
        <v/>
      </c>
      <c r="I25" s="86" t="str">
        <f>IF(SUMIFS(Journal!$D$3:$D$143,Journal!$A$3:$A$143,$B25,Journal!$E$3:$E$143,I$3)=0,"",SUMIFS(Journal!$D$3:$D$143,Journal!$A$3:$A$143,$B25,Journal!$E$3:$E$143,I$3))</f>
        <v/>
      </c>
      <c r="J25" s="86" t="str">
        <f>IF(SUMIFS(Journal!$D$3:$D$143,Journal!$A$3:$A$143,$B25,Journal!$F$3:$F$143,I$3)=0,"",SUMIFS(Journal!$D$3:$D$143,Journal!$A$3:$A$143,$B25,Journal!$F$3:$F$143,I$3))</f>
        <v/>
      </c>
      <c r="K25" s="86" t="str">
        <f>IF(SUMIFS(Journal!$D$3:$D$143,Journal!$A$3:$A$143,$B25,Journal!$E$3:$E$143,K$3)=0,"",SUMIFS(Journal!$D$3:$D$143,Journal!$A$3:$A$143,$B25,Journal!$E$3:$E$143,K$3))</f>
        <v/>
      </c>
      <c r="L25" s="86" t="str">
        <f>IF(SUMIFS(Journal!$D$3:$D$143,Journal!$A$3:$A$143,$B25,Journal!$F$3:$F$143,K$3)=0,"",SUMIFS(Journal!$D$3:$D$143,Journal!$A$3:$A$143,$B25,Journal!$F$3:$F$143,K$3))</f>
        <v/>
      </c>
      <c r="M25" s="86" t="str">
        <f>IF(SUMIFS(Journal!$D$3:$D$143,Journal!$A$3:$A$143,$B25,Journal!$E$3:$E$143,M$3)=0,"",SUMIFS(Journal!$D$3:$D$143,Journal!$A$3:$A$143,$B25,Journal!$E$3:$E$143,M$3))</f>
        <v/>
      </c>
      <c r="N25" s="86" t="str">
        <f>IF(SUMIFS(Journal!$D$3:$D$143,Journal!$A$3:$A$143,$B25,Journal!$F$3:$F$143,M$3)=0,"",SUMIFS(Journal!$D$3:$D$143,Journal!$A$3:$A$143,$B25,Journal!$F$3:$F$143,M$3))</f>
        <v/>
      </c>
      <c r="O25" s="86" t="str">
        <f>IF(SUMIFS(Journal!$D$3:$D$143,Journal!$A$3:$A$143,$B25,Journal!$E$3:$E$143,O$3)=0,"",SUMIFS(Journal!$D$3:$D$143,Journal!$A$3:$A$143,$B25,Journal!$E$3:$E$143,O$3))</f>
        <v/>
      </c>
      <c r="P25" s="86" t="str">
        <f>IF(SUMIFS(Journal!$D$3:$D$143,Journal!$A$3:$A$143,$B25,Journal!$F$3:$F$143,O$3)=0,"",SUMIFS(Journal!$D$3:$D$143,Journal!$A$3:$A$143,$B25,Journal!$F$3:$F$143,O$3))</f>
        <v/>
      </c>
      <c r="Q25" s="86" t="str">
        <f>IF(SUMIFS(Journal!$D$3:$D$143,Journal!$A$3:$A$143,$B25,Journal!$E$3:$E$143,Q$3)=0,"",SUMIFS(Journal!$D$3:$D$143,Journal!$A$3:$A$143,$B25,Journal!$E$3:$E$143,Q$3))</f>
        <v/>
      </c>
      <c r="R25" s="86">
        <f>IF(SUMIFS(Journal!$D$3:$D$143,Journal!$A$3:$A$143,$B25,Journal!$F$3:$F$143,Q$3)=0,"",SUMIFS(Journal!$D$3:$D$143,Journal!$A$3:$A$143,$B25,Journal!$F$3:$F$143,Q$3))</f>
        <v>4000</v>
      </c>
      <c r="S25" s="86" t="str">
        <f>IF(SUMIFS(Journal!$D$3:$D$143,Journal!$A$3:$A$143,$B25,Journal!$E$3:$E$143,S$3)=0,"",SUMIFS(Journal!$D$3:$D$143,Journal!$A$3:$A$143,$B25,Journal!$E$3:$E$143,S$3))</f>
        <v/>
      </c>
      <c r="T25" s="86" t="str">
        <f>IF(SUMIFS(Journal!$D$3:$D$143,Journal!$A$3:$A$143,$B25,Journal!$F$3:$F$143,S$3)=0,"",SUMIFS(Journal!$D$3:$D$143,Journal!$A$3:$A$143,$B25,Journal!$F$3:$F$143,S$3))</f>
        <v/>
      </c>
      <c r="U25" s="86" t="str">
        <f>IF(SUMIFS(Journal!$D$3:$D$143,Journal!$A$3:$A$143,$B25,Journal!$E$3:$E$143,U$3)=0,"",SUMIFS(Journal!$D$3:$D$143,Journal!$A$3:$A$143,$B25,Journal!$E$3:$E$143,U$3))</f>
        <v/>
      </c>
      <c r="V25" s="86" t="str">
        <f>IF(SUMIFS(Journal!$D$3:$D$143,Journal!$A$3:$A$143,$B25,Journal!$F$3:$F$143,U$3)=0,"",SUMIFS(Journal!$D$3:$D$143,Journal!$A$3:$A$143,$B25,Journal!$F$3:$F$143,U$3))</f>
        <v/>
      </c>
      <c r="W25" s="86" t="str">
        <f>IF(SUMIFS(Journal!$D$3:$D$143,Journal!$A$3:$A$143,$B25,Journal!$E$3:$E$143,W$3)=0,"",SUMIFS(Journal!$D$3:$D$143,Journal!$A$3:$A$143,$B25,Journal!$E$3:$E$143,W$3))</f>
        <v/>
      </c>
      <c r="X25" s="86" t="str">
        <f>IF(SUMIFS(Journal!$D$3:$D$143,Journal!$A$3:$A$143,$B25,Journal!$F$3:$F$143,W$3)=0,"",SUMIFS(Journal!$D$3:$D$143,Journal!$A$3:$A$143,$B25,Journal!$F$3:$F$143,W$3))</f>
        <v/>
      </c>
      <c r="Y25" s="86" t="str">
        <f>IF(SUMIFS(Journal!$D$3:$D$143,Journal!$A$3:$A$143,$B25,Journal!$E$3:$E$143,Y$3)=0,"",SUMIFS(Journal!$D$3:$D$143,Journal!$A$3:$A$143,$B25,Journal!$E$3:$E$143,Y$3))</f>
        <v/>
      </c>
      <c r="Z25" s="86" t="str">
        <f>IF(SUMIFS(Journal!$D$3:$D$143,Journal!$A$3:$A$143,$B25,Journal!$F$3:$F$143,Y$3)=0,"",SUMIFS(Journal!$D$3:$D$143,Journal!$A$3:$A$143,$B25,Journal!$F$3:$F$143,Y$3))</f>
        <v/>
      </c>
      <c r="AA25" s="86" t="str">
        <f>IF(SUMIFS(Journal!$D$3:$D$143,Journal!$A$3:$A$143,$B25,Journal!$E$3:$E$143,AA$3)=0,"",SUMIFS(Journal!$D$3:$D$143,Journal!$A$3:$A$143,$B25,Journal!$E$3:$E$143,AA$3))</f>
        <v/>
      </c>
      <c r="AB25" s="86" t="str">
        <f>IF(SUMIFS(Journal!$D$3:$D$143,Journal!$A$3:$A$143,$B25,Journal!$F$3:$F$143,AA$3)=0,"",SUMIFS(Journal!$D$3:$D$143,Journal!$A$3:$A$143,$B25,Journal!$F$3:$F$143,AA$3))</f>
        <v/>
      </c>
      <c r="AC25" s="86" t="str">
        <f>IF(SUMIFS(Journal!$D$3:$D$143,Journal!$A$3:$A$143,$B25,Journal!$E$3:$E$143,AC$3)=0,"",SUMIFS(Journal!$D$3:$D$143,Journal!$A$3:$A$143,$B25,Journal!$E$3:$E$143,AC$3))</f>
        <v/>
      </c>
      <c r="AD25" s="86" t="str">
        <f>IF(SUMIFS(Journal!$D$3:$D$143,Journal!$A$3:$A$143,$B25,Journal!$F$3:$F$143,AC$3)=0,"",SUMIFS(Journal!$D$3:$D$143,Journal!$A$3:$A$143,$B25,Journal!$F$3:$F$143,AC$3))</f>
        <v/>
      </c>
      <c r="AE25" s="86" t="str">
        <f>IF(SUMIFS(Journal!$D$3:$D$143,Journal!$A$3:$A$143,$B25,Journal!$E$3:$E$143,AE$3)=0,"",SUMIFS(Journal!$D$3:$D$143,Journal!$A$3:$A$143,$B25,Journal!$E$3:$E$143,AE$3))</f>
        <v/>
      </c>
      <c r="AF25" s="86" t="str">
        <f>IF(SUMIFS(Journal!$D$3:$D$143,Journal!$A$3:$A$143,$B25,Journal!$F$3:$F$143,AE$3)=0,"",SUMIFS(Journal!$D$3:$D$143,Journal!$A$3:$A$143,$B25,Journal!$F$3:$F$143,AE$3))</f>
        <v/>
      </c>
      <c r="AG25" s="86" t="str">
        <f>IF(SUMIFS(Journal!$D$3:$D$143,Journal!$A$3:$A$143,$B25,Journal!$E$3:$E$143,AG$3)=0,"",SUMIFS(Journal!$D$3:$D$143,Journal!$A$3:$A$143,$B25,Journal!$E$3:$E$143,AG$3))</f>
        <v/>
      </c>
      <c r="AH25" s="86" t="str">
        <f>IF(SUMIFS(Journal!$D$3:$D$143,Journal!$A$3:$A$143,$B25,Journal!$F$3:$F$143,AG$3)=0,"",SUMIFS(Journal!$D$3:$D$143,Journal!$A$3:$A$143,$B25,Journal!$F$3:$F$143,AG$3))</f>
        <v/>
      </c>
      <c r="AI25" s="86" t="str">
        <f>IF(SUMIFS(Journal!$D$3:$D$143,Journal!$A$3:$A$143,$B25,Journal!$E$3:$E$143,AI$3)=0,"",SUMIFS(Journal!$D$3:$D$143,Journal!$A$3:$A$143,$B25,Journal!$E$3:$E$143,AI$3))</f>
        <v/>
      </c>
      <c r="AJ25" s="86" t="str">
        <f>IF(SUMIFS(Journal!$D$3:$D$143,Journal!$A$3:$A$143,$B25,Journal!$F$3:$F$143,AI$3)=0,"",SUMIFS(Journal!$D$3:$D$143,Journal!$A$3:$A$143,$B25,Journal!$F$3:$F$143,AI$3))</f>
        <v/>
      </c>
      <c r="AK25" s="86" t="str">
        <f>IF(SUMIFS(Journal!$D$3:$D$143,Journal!$A$3:$A$143,$B25,Journal!$E$3:$E$143,AK$3)=0,"",SUMIFS(Journal!$D$3:$D$143,Journal!$A$3:$A$143,$B25,Journal!$E$3:$E$143,AK$3))</f>
        <v/>
      </c>
      <c r="AL25" s="86" t="str">
        <f>IF(SUMIFS(Journal!$D$3:$D$143,Journal!$A$3:$A$143,$B25,Journal!$F$3:$F$143,AK$3)=0,"",SUMIFS(Journal!$D$3:$D$143,Journal!$A$3:$A$143,$B25,Journal!$F$3:$F$143,AK$3))</f>
        <v/>
      </c>
      <c r="AM25" s="86" t="str">
        <f>IF(SUMIFS(Journal!$D$3:$D$143,Journal!$A$3:$A$143,$B25,Journal!$E$3:$E$143,AM$3)=0,"",SUMIFS(Journal!$D$3:$D$143,Journal!$A$3:$A$143,$B25,Journal!$E$3:$E$143,AM$3))</f>
        <v/>
      </c>
      <c r="AN25" s="86" t="str">
        <f>IF(SUMIFS(Journal!$D$3:$D$143,Journal!$A$3:$A$143,$B25,Journal!$F$3:$F$143,AM$3)=0,"",SUMIFS(Journal!$D$3:$D$143,Journal!$A$3:$A$143,$B25,Journal!$F$3:$F$143,AM$3))</f>
        <v/>
      </c>
      <c r="AO25" s="86" t="str">
        <f>IF(SUMIFS(Journal!$D$3:$D$143,Journal!$A$3:$A$143,$B25,Journal!$E$3:$E$143,AO$3)=0,"",SUMIFS(Journal!$D$3:$D$143,Journal!$A$3:$A$143,$B25,Journal!$E$3:$E$143,AO$3))</f>
        <v/>
      </c>
      <c r="AP25" s="86" t="str">
        <f>IF(SUMIFS(Journal!$D$3:$D$143,Journal!$A$3:$A$143,$B25,Journal!$F$3:$F$143,AO$3)=0,"",SUMIFS(Journal!$D$3:$D$143,Journal!$A$3:$A$143,$B25,Journal!$F$3:$F$143,AO$3))</f>
        <v/>
      </c>
      <c r="AQ25" s="86" t="str">
        <f>IF(SUMIFS(Journal!$D$3:$D$143,Journal!$A$3:$A$143,$B25,Journal!$E$3:$E$143,AQ$3)=0,"",SUMIFS(Journal!$D$3:$D$143,Journal!$A$3:$A$143,$B25,Journal!$E$3:$E$143,AQ$3))</f>
        <v/>
      </c>
      <c r="AR25" s="86" t="str">
        <f>IF(SUMIFS(Journal!$D$3:$D$143,Journal!$A$3:$A$143,$B25,Journal!$F$3:$F$143,AQ$3)=0,"",SUMIFS(Journal!$D$3:$D$143,Journal!$A$3:$A$143,$B25,Journal!$F$3:$F$143,AQ$3))</f>
        <v/>
      </c>
      <c r="AS25" s="86" t="str">
        <f>IF(SUMIFS(Journal!$D$3:$D$143,Journal!$A$3:$A$143,$B25,Journal!$E$3:$E$143,AS$3)=0,"",SUMIFS(Journal!$D$3:$D$143,Journal!$A$3:$A$143,$B25,Journal!$E$3:$E$143,AS$3))</f>
        <v/>
      </c>
      <c r="AT25" s="86" t="str">
        <f>IF(SUMIFS(Journal!$D$3:$D$143,Journal!$A$3:$A$143,$B25,Journal!$F$3:$F$143,AS$3)=0,"",SUMIFS(Journal!$D$3:$D$143,Journal!$A$3:$A$143,$B25,Journal!$F$3:$F$143,AS$3))</f>
        <v/>
      </c>
      <c r="AU25" s="86" t="str">
        <f>IF(SUMIFS(Journal!$D$3:$D$143,Journal!$A$3:$A$143,$B25,Journal!$E$3:$E$143,AU$3)=0,"",SUMIFS(Journal!$D$3:$D$143,Journal!$A$3:$A$143,$B25,Journal!$E$3:$E$143,AU$3))</f>
        <v/>
      </c>
      <c r="AV25" s="86" t="str">
        <f>IF(SUMIFS(Journal!$D$3:$D$143,Journal!$A$3:$A$143,$B25,Journal!$F$3:$F$143,AU$3)=0,"",SUMIFS(Journal!$D$3:$D$143,Journal!$A$3:$A$143,$B25,Journal!$F$3:$F$143,AU$3))</f>
        <v/>
      </c>
      <c r="AW25" s="86" t="str">
        <f>IF(SUMIFS(Journal!$D$3:$D$143,Journal!$A$3:$A$143,$B25,Journal!$E$3:$E$143,AW$3)=0,"",SUMIFS(Journal!$D$3:$D$143,Journal!$A$3:$A$143,$B25,Journal!$E$3:$E$143,AW$3))</f>
        <v/>
      </c>
      <c r="AX25" s="86" t="str">
        <f>IF(SUMIFS(Journal!$D$3:$D$143,Journal!$A$3:$A$143,$B25,Journal!$F$3:$F$143,AW$3)=0,"",SUMIFS(Journal!$D$3:$D$143,Journal!$A$3:$A$143,$B25,Journal!$F$3:$F$143,AW$3))</f>
        <v/>
      </c>
      <c r="AY25" s="86" t="str">
        <f>IF(SUMIFS(Journal!$D$3:$D$143,Journal!$A$3:$A$143,$B25,Journal!$E$3:$E$143,AY$3)=0,"",SUMIFS(Journal!$D$3:$D$143,Journal!$A$3:$A$143,$B25,Journal!$E$3:$E$143,AY$3))</f>
        <v/>
      </c>
      <c r="AZ25" s="86" t="str">
        <f>IF(SUMIFS(Journal!$D$3:$D$143,Journal!$A$3:$A$143,$B25,Journal!$F$3:$F$143,AY$3)=0,"",SUMIFS(Journal!$D$3:$D$143,Journal!$A$3:$A$143,$B25,Journal!$F$3:$F$143,AY$3))</f>
        <v/>
      </c>
      <c r="BA25" s="86" t="str">
        <f>IF(SUMIFS(Journal!$D$3:$D$143,Journal!$A$3:$A$143,$B25,Journal!$E$3:$E$143,BA$3)=0,"",SUMIFS(Journal!$D$3:$D$143,Journal!$A$3:$A$143,$B25,Journal!$E$3:$E$143,BA$3))</f>
        <v/>
      </c>
      <c r="BB25" s="86" t="str">
        <f>IF(SUMIFS(Journal!$D$3:$D$143,Journal!$A$3:$A$143,$B25,Journal!$F$3:$F$143,BA$3)=0,"",SUMIFS(Journal!$D$3:$D$143,Journal!$A$3:$A$143,$B25,Journal!$F$3:$F$143,BA$3))</f>
        <v/>
      </c>
      <c r="BD25" s="67" t="s">
        <v>145</v>
      </c>
    </row>
    <row r="26">
      <c r="A26" s="84">
        <f>VLOOKUP(B26,Journal!$A$3:$C$143,2,FALSE)</f>
        <v>45337</v>
      </c>
      <c r="B26" s="85" t="s">
        <v>251</v>
      </c>
      <c r="C26" s="86" t="str">
        <f>VLOOKUP(B26,Journal!$A$3:$C$143,3,FALSE)</f>
        <v>Purchased retail inventory on account</v>
      </c>
      <c r="D26" s="86">
        <f>SUMIF(Journal!$A$3:$A$143,B26,Journal!$D$3:$D$143)</f>
        <v>6000</v>
      </c>
      <c r="E26" s="86" t="str">
        <f>IF(SUMIFS(Journal!$D$3:$D$143,Journal!$A$3:$A$143,$B26,Journal!$E$3:$E$143,E$3)=0,"",SUMIFS(Journal!$D$3:$D$143,Journal!$A$3:$A$143,$B26,Journal!$E$3:$E$143,E$3))</f>
        <v/>
      </c>
      <c r="F26" s="86" t="str">
        <f>IF(SUMIFS(Journal!$D$3:$D$143,Journal!$A$3:$A$143,$B26,Journal!$F$3:$F$143,E$3)=0,"",SUMIFS(Journal!$D$3:$D$143,Journal!$A$3:$A$143,$B26,Journal!$F$3:$F$143,E$3))</f>
        <v/>
      </c>
      <c r="G26" s="86" t="str">
        <f>IF(SUMIFS(Journal!$D$3:$D$143,Journal!$A$3:$A$143,$B26,Journal!$E$3:$E$143,G$3)=0,"",SUMIFS(Journal!$D$3:$D$143,Journal!$A$3:$A$143,$B26,Journal!$E$3:$E$143,G$3))</f>
        <v/>
      </c>
      <c r="H26" s="86" t="str">
        <f>IF(SUMIFS(Journal!$D$3:$D$143,Journal!$A$3:$A$143,$B26,Journal!$F$3:$F$143,G$3)=0,"",SUMIFS(Journal!$D$3:$D$143,Journal!$A$3:$A$143,$B26,Journal!$F$3:$F$143,G$3))</f>
        <v/>
      </c>
      <c r="I26" s="86">
        <f>IF(SUMIFS(Journal!$D$3:$D$143,Journal!$A$3:$A$143,$B26,Journal!$E$3:$E$143,I$3)=0,"",SUMIFS(Journal!$D$3:$D$143,Journal!$A$3:$A$143,$B26,Journal!$E$3:$E$143,I$3))</f>
        <v>6000</v>
      </c>
      <c r="J26" s="86" t="str">
        <f>IF(SUMIFS(Journal!$D$3:$D$143,Journal!$A$3:$A$143,$B26,Journal!$F$3:$F$143,I$3)=0,"",SUMIFS(Journal!$D$3:$D$143,Journal!$A$3:$A$143,$B26,Journal!$F$3:$F$143,I$3))</f>
        <v/>
      </c>
      <c r="K26" s="86" t="str">
        <f>IF(SUMIFS(Journal!$D$3:$D$143,Journal!$A$3:$A$143,$B26,Journal!$E$3:$E$143,K$3)=0,"",SUMIFS(Journal!$D$3:$D$143,Journal!$A$3:$A$143,$B26,Journal!$E$3:$E$143,K$3))</f>
        <v/>
      </c>
      <c r="L26" s="86" t="str">
        <f>IF(SUMIFS(Journal!$D$3:$D$143,Journal!$A$3:$A$143,$B26,Journal!$F$3:$F$143,K$3)=0,"",SUMIFS(Journal!$D$3:$D$143,Journal!$A$3:$A$143,$B26,Journal!$F$3:$F$143,K$3))</f>
        <v/>
      </c>
      <c r="M26" s="86" t="str">
        <f>IF(SUMIFS(Journal!$D$3:$D$143,Journal!$A$3:$A$143,$B26,Journal!$E$3:$E$143,M$3)=0,"",SUMIFS(Journal!$D$3:$D$143,Journal!$A$3:$A$143,$B26,Journal!$E$3:$E$143,M$3))</f>
        <v/>
      </c>
      <c r="N26" s="86" t="str">
        <f>IF(SUMIFS(Journal!$D$3:$D$143,Journal!$A$3:$A$143,$B26,Journal!$F$3:$F$143,M$3)=0,"",SUMIFS(Journal!$D$3:$D$143,Journal!$A$3:$A$143,$B26,Journal!$F$3:$F$143,M$3))</f>
        <v/>
      </c>
      <c r="O26" s="86" t="str">
        <f>IF(SUMIFS(Journal!$D$3:$D$143,Journal!$A$3:$A$143,$B26,Journal!$E$3:$E$143,O$3)=0,"",SUMIFS(Journal!$D$3:$D$143,Journal!$A$3:$A$143,$B26,Journal!$E$3:$E$143,O$3))</f>
        <v/>
      </c>
      <c r="P26" s="86">
        <f>IF(SUMIFS(Journal!$D$3:$D$143,Journal!$A$3:$A$143,$B26,Journal!$F$3:$F$143,O$3)=0,"",SUMIFS(Journal!$D$3:$D$143,Journal!$A$3:$A$143,$B26,Journal!$F$3:$F$143,O$3))</f>
        <v>6000</v>
      </c>
      <c r="Q26" s="86" t="str">
        <f>IF(SUMIFS(Journal!$D$3:$D$143,Journal!$A$3:$A$143,$B26,Journal!$E$3:$E$143,Q$3)=0,"",SUMIFS(Journal!$D$3:$D$143,Journal!$A$3:$A$143,$B26,Journal!$E$3:$E$143,Q$3))</f>
        <v/>
      </c>
      <c r="R26" s="86" t="str">
        <f>IF(SUMIFS(Journal!$D$3:$D$143,Journal!$A$3:$A$143,$B26,Journal!$F$3:$F$143,Q$3)=0,"",SUMIFS(Journal!$D$3:$D$143,Journal!$A$3:$A$143,$B26,Journal!$F$3:$F$143,Q$3))</f>
        <v/>
      </c>
      <c r="S26" s="86" t="str">
        <f>IF(SUMIFS(Journal!$D$3:$D$143,Journal!$A$3:$A$143,$B26,Journal!$E$3:$E$143,S$3)=0,"",SUMIFS(Journal!$D$3:$D$143,Journal!$A$3:$A$143,$B26,Journal!$E$3:$E$143,S$3))</f>
        <v/>
      </c>
      <c r="T26" s="86" t="str">
        <f>IF(SUMIFS(Journal!$D$3:$D$143,Journal!$A$3:$A$143,$B26,Journal!$F$3:$F$143,S$3)=0,"",SUMIFS(Journal!$D$3:$D$143,Journal!$A$3:$A$143,$B26,Journal!$F$3:$F$143,S$3))</f>
        <v/>
      </c>
      <c r="U26" s="86" t="str">
        <f>IF(SUMIFS(Journal!$D$3:$D$143,Journal!$A$3:$A$143,$B26,Journal!$E$3:$E$143,U$3)=0,"",SUMIFS(Journal!$D$3:$D$143,Journal!$A$3:$A$143,$B26,Journal!$E$3:$E$143,U$3))</f>
        <v/>
      </c>
      <c r="V26" s="86" t="str">
        <f>IF(SUMIFS(Journal!$D$3:$D$143,Journal!$A$3:$A$143,$B26,Journal!$F$3:$F$143,U$3)=0,"",SUMIFS(Journal!$D$3:$D$143,Journal!$A$3:$A$143,$B26,Journal!$F$3:$F$143,U$3))</f>
        <v/>
      </c>
      <c r="W26" s="86" t="str">
        <f>IF(SUMIFS(Journal!$D$3:$D$143,Journal!$A$3:$A$143,$B26,Journal!$E$3:$E$143,W$3)=0,"",SUMIFS(Journal!$D$3:$D$143,Journal!$A$3:$A$143,$B26,Journal!$E$3:$E$143,W$3))</f>
        <v/>
      </c>
      <c r="X26" s="86" t="str">
        <f>IF(SUMIFS(Journal!$D$3:$D$143,Journal!$A$3:$A$143,$B26,Journal!$F$3:$F$143,W$3)=0,"",SUMIFS(Journal!$D$3:$D$143,Journal!$A$3:$A$143,$B26,Journal!$F$3:$F$143,W$3))</f>
        <v/>
      </c>
      <c r="Y26" s="86" t="str">
        <f>IF(SUMIFS(Journal!$D$3:$D$143,Journal!$A$3:$A$143,$B26,Journal!$E$3:$E$143,Y$3)=0,"",SUMIFS(Journal!$D$3:$D$143,Journal!$A$3:$A$143,$B26,Journal!$E$3:$E$143,Y$3))</f>
        <v/>
      </c>
      <c r="Z26" s="86" t="str">
        <f>IF(SUMIFS(Journal!$D$3:$D$143,Journal!$A$3:$A$143,$B26,Journal!$F$3:$F$143,Y$3)=0,"",SUMIFS(Journal!$D$3:$D$143,Journal!$A$3:$A$143,$B26,Journal!$F$3:$F$143,Y$3))</f>
        <v/>
      </c>
      <c r="AA26" s="86" t="str">
        <f>IF(SUMIFS(Journal!$D$3:$D$143,Journal!$A$3:$A$143,$B26,Journal!$E$3:$E$143,AA$3)=0,"",SUMIFS(Journal!$D$3:$D$143,Journal!$A$3:$A$143,$B26,Journal!$E$3:$E$143,AA$3))</f>
        <v/>
      </c>
      <c r="AB26" s="86" t="str">
        <f>IF(SUMIFS(Journal!$D$3:$D$143,Journal!$A$3:$A$143,$B26,Journal!$F$3:$F$143,AA$3)=0,"",SUMIFS(Journal!$D$3:$D$143,Journal!$A$3:$A$143,$B26,Journal!$F$3:$F$143,AA$3))</f>
        <v/>
      </c>
      <c r="AC26" s="86" t="str">
        <f>IF(SUMIFS(Journal!$D$3:$D$143,Journal!$A$3:$A$143,$B26,Journal!$E$3:$E$143,AC$3)=0,"",SUMIFS(Journal!$D$3:$D$143,Journal!$A$3:$A$143,$B26,Journal!$E$3:$E$143,AC$3))</f>
        <v/>
      </c>
      <c r="AD26" s="86" t="str">
        <f>IF(SUMIFS(Journal!$D$3:$D$143,Journal!$A$3:$A$143,$B26,Journal!$F$3:$F$143,AC$3)=0,"",SUMIFS(Journal!$D$3:$D$143,Journal!$A$3:$A$143,$B26,Journal!$F$3:$F$143,AC$3))</f>
        <v/>
      </c>
      <c r="AE26" s="86" t="str">
        <f>IF(SUMIFS(Journal!$D$3:$D$143,Journal!$A$3:$A$143,$B26,Journal!$E$3:$E$143,AE$3)=0,"",SUMIFS(Journal!$D$3:$D$143,Journal!$A$3:$A$143,$B26,Journal!$E$3:$E$143,AE$3))</f>
        <v/>
      </c>
      <c r="AF26" s="86" t="str">
        <f>IF(SUMIFS(Journal!$D$3:$D$143,Journal!$A$3:$A$143,$B26,Journal!$F$3:$F$143,AE$3)=0,"",SUMIFS(Journal!$D$3:$D$143,Journal!$A$3:$A$143,$B26,Journal!$F$3:$F$143,AE$3))</f>
        <v/>
      </c>
      <c r="AG26" s="86" t="str">
        <f>IF(SUMIFS(Journal!$D$3:$D$143,Journal!$A$3:$A$143,$B26,Journal!$E$3:$E$143,AG$3)=0,"",SUMIFS(Journal!$D$3:$D$143,Journal!$A$3:$A$143,$B26,Journal!$E$3:$E$143,AG$3))</f>
        <v/>
      </c>
      <c r="AH26" s="86" t="str">
        <f>IF(SUMIFS(Journal!$D$3:$D$143,Journal!$A$3:$A$143,$B26,Journal!$F$3:$F$143,AG$3)=0,"",SUMIFS(Journal!$D$3:$D$143,Journal!$A$3:$A$143,$B26,Journal!$F$3:$F$143,AG$3))</f>
        <v/>
      </c>
      <c r="AI26" s="86" t="str">
        <f>IF(SUMIFS(Journal!$D$3:$D$143,Journal!$A$3:$A$143,$B26,Journal!$E$3:$E$143,AI$3)=0,"",SUMIFS(Journal!$D$3:$D$143,Journal!$A$3:$A$143,$B26,Journal!$E$3:$E$143,AI$3))</f>
        <v/>
      </c>
      <c r="AJ26" s="86" t="str">
        <f>IF(SUMIFS(Journal!$D$3:$D$143,Journal!$A$3:$A$143,$B26,Journal!$F$3:$F$143,AI$3)=0,"",SUMIFS(Journal!$D$3:$D$143,Journal!$A$3:$A$143,$B26,Journal!$F$3:$F$143,AI$3))</f>
        <v/>
      </c>
      <c r="AK26" s="86" t="str">
        <f>IF(SUMIFS(Journal!$D$3:$D$143,Journal!$A$3:$A$143,$B26,Journal!$E$3:$E$143,AK$3)=0,"",SUMIFS(Journal!$D$3:$D$143,Journal!$A$3:$A$143,$B26,Journal!$E$3:$E$143,AK$3))</f>
        <v/>
      </c>
      <c r="AL26" s="86" t="str">
        <f>IF(SUMIFS(Journal!$D$3:$D$143,Journal!$A$3:$A$143,$B26,Journal!$F$3:$F$143,AK$3)=0,"",SUMIFS(Journal!$D$3:$D$143,Journal!$A$3:$A$143,$B26,Journal!$F$3:$F$143,AK$3))</f>
        <v/>
      </c>
      <c r="AM26" s="86" t="str">
        <f>IF(SUMIFS(Journal!$D$3:$D$143,Journal!$A$3:$A$143,$B26,Journal!$E$3:$E$143,AM$3)=0,"",SUMIFS(Journal!$D$3:$D$143,Journal!$A$3:$A$143,$B26,Journal!$E$3:$E$143,AM$3))</f>
        <v/>
      </c>
      <c r="AN26" s="86" t="str">
        <f>IF(SUMIFS(Journal!$D$3:$D$143,Journal!$A$3:$A$143,$B26,Journal!$F$3:$F$143,AM$3)=0,"",SUMIFS(Journal!$D$3:$D$143,Journal!$A$3:$A$143,$B26,Journal!$F$3:$F$143,AM$3))</f>
        <v/>
      </c>
      <c r="AO26" s="86" t="str">
        <f>IF(SUMIFS(Journal!$D$3:$D$143,Journal!$A$3:$A$143,$B26,Journal!$E$3:$E$143,AO$3)=0,"",SUMIFS(Journal!$D$3:$D$143,Journal!$A$3:$A$143,$B26,Journal!$E$3:$E$143,AO$3))</f>
        <v/>
      </c>
      <c r="AP26" s="86" t="str">
        <f>IF(SUMIFS(Journal!$D$3:$D$143,Journal!$A$3:$A$143,$B26,Journal!$F$3:$F$143,AO$3)=0,"",SUMIFS(Journal!$D$3:$D$143,Journal!$A$3:$A$143,$B26,Journal!$F$3:$F$143,AO$3))</f>
        <v/>
      </c>
      <c r="AQ26" s="86" t="str">
        <f>IF(SUMIFS(Journal!$D$3:$D$143,Journal!$A$3:$A$143,$B26,Journal!$E$3:$E$143,AQ$3)=0,"",SUMIFS(Journal!$D$3:$D$143,Journal!$A$3:$A$143,$B26,Journal!$E$3:$E$143,AQ$3))</f>
        <v/>
      </c>
      <c r="AR26" s="86" t="str">
        <f>IF(SUMIFS(Journal!$D$3:$D$143,Journal!$A$3:$A$143,$B26,Journal!$F$3:$F$143,AQ$3)=0,"",SUMIFS(Journal!$D$3:$D$143,Journal!$A$3:$A$143,$B26,Journal!$F$3:$F$143,AQ$3))</f>
        <v/>
      </c>
      <c r="AS26" s="86" t="str">
        <f>IF(SUMIFS(Journal!$D$3:$D$143,Journal!$A$3:$A$143,$B26,Journal!$E$3:$E$143,AS$3)=0,"",SUMIFS(Journal!$D$3:$D$143,Journal!$A$3:$A$143,$B26,Journal!$E$3:$E$143,AS$3))</f>
        <v/>
      </c>
      <c r="AT26" s="86" t="str">
        <f>IF(SUMIFS(Journal!$D$3:$D$143,Journal!$A$3:$A$143,$B26,Journal!$F$3:$F$143,AS$3)=0,"",SUMIFS(Journal!$D$3:$D$143,Journal!$A$3:$A$143,$B26,Journal!$F$3:$F$143,AS$3))</f>
        <v/>
      </c>
      <c r="AU26" s="86" t="str">
        <f>IF(SUMIFS(Journal!$D$3:$D$143,Journal!$A$3:$A$143,$B26,Journal!$E$3:$E$143,AU$3)=0,"",SUMIFS(Journal!$D$3:$D$143,Journal!$A$3:$A$143,$B26,Journal!$E$3:$E$143,AU$3))</f>
        <v/>
      </c>
      <c r="AV26" s="86" t="str">
        <f>IF(SUMIFS(Journal!$D$3:$D$143,Journal!$A$3:$A$143,$B26,Journal!$F$3:$F$143,AU$3)=0,"",SUMIFS(Journal!$D$3:$D$143,Journal!$A$3:$A$143,$B26,Journal!$F$3:$F$143,AU$3))</f>
        <v/>
      </c>
      <c r="AW26" s="86" t="str">
        <f>IF(SUMIFS(Journal!$D$3:$D$143,Journal!$A$3:$A$143,$B26,Journal!$E$3:$E$143,AW$3)=0,"",SUMIFS(Journal!$D$3:$D$143,Journal!$A$3:$A$143,$B26,Journal!$E$3:$E$143,AW$3))</f>
        <v/>
      </c>
      <c r="AX26" s="86" t="str">
        <f>IF(SUMIFS(Journal!$D$3:$D$143,Journal!$A$3:$A$143,$B26,Journal!$F$3:$F$143,AW$3)=0,"",SUMIFS(Journal!$D$3:$D$143,Journal!$A$3:$A$143,$B26,Journal!$F$3:$F$143,AW$3))</f>
        <v/>
      </c>
      <c r="AY26" s="86" t="str">
        <f>IF(SUMIFS(Journal!$D$3:$D$143,Journal!$A$3:$A$143,$B26,Journal!$E$3:$E$143,AY$3)=0,"",SUMIFS(Journal!$D$3:$D$143,Journal!$A$3:$A$143,$B26,Journal!$E$3:$E$143,AY$3))</f>
        <v/>
      </c>
      <c r="AZ26" s="86" t="str">
        <f>IF(SUMIFS(Journal!$D$3:$D$143,Journal!$A$3:$A$143,$B26,Journal!$F$3:$F$143,AY$3)=0,"",SUMIFS(Journal!$D$3:$D$143,Journal!$A$3:$A$143,$B26,Journal!$F$3:$F$143,AY$3))</f>
        <v/>
      </c>
      <c r="BA26" s="86" t="str">
        <f>IF(SUMIFS(Journal!$D$3:$D$143,Journal!$A$3:$A$143,$B26,Journal!$E$3:$E$143,BA$3)=0,"",SUMIFS(Journal!$D$3:$D$143,Journal!$A$3:$A$143,$B26,Journal!$E$3:$E$143,BA$3))</f>
        <v/>
      </c>
      <c r="BB26" s="86" t="str">
        <f>IF(SUMIFS(Journal!$D$3:$D$143,Journal!$A$3:$A$143,$B26,Journal!$F$3:$F$143,BA$3)=0,"",SUMIFS(Journal!$D$3:$D$143,Journal!$A$3:$A$143,$B26,Journal!$F$3:$F$143,BA$3))</f>
        <v/>
      </c>
      <c r="BD26" s="67" t="s">
        <v>69</v>
      </c>
    </row>
    <row r="27">
      <c r="A27" s="84">
        <f>VLOOKUP(B27,Journal!$A$3:$C$143,2,FALSE)</f>
        <v>45340</v>
      </c>
      <c r="B27" s="85" t="s">
        <v>257</v>
      </c>
      <c r="C27" s="86" t="str">
        <f>VLOOKUP(B27,Journal!$A$3:$C$143,3,FALSE)</f>
        <v>Retail camping-supply sales</v>
      </c>
      <c r="D27" s="86">
        <f>SUMIF(Journal!$A$3:$A$143,B27,Journal!$D$3:$D$143)</f>
        <v>6400</v>
      </c>
      <c r="E27" s="86">
        <f>IF(SUMIFS(Journal!$D$3:$D$143,Journal!$A$3:$A$143,$B27,Journal!$E$3:$E$143,E$3)=0,"",SUMIFS(Journal!$D$3:$D$143,Journal!$A$3:$A$143,$B27,Journal!$E$3:$E$143,E$3))</f>
        <v>4000</v>
      </c>
      <c r="F27" s="86" t="str">
        <f>IF(SUMIFS(Journal!$D$3:$D$143,Journal!$A$3:$A$143,$B27,Journal!$F$3:$F$143,E$3)=0,"",SUMIFS(Journal!$D$3:$D$143,Journal!$A$3:$A$143,$B27,Journal!$F$3:$F$143,E$3))</f>
        <v/>
      </c>
      <c r="G27" s="86" t="str">
        <f>IF(SUMIFS(Journal!$D$3:$D$143,Journal!$A$3:$A$143,$B27,Journal!$E$3:$E$143,G$3)=0,"",SUMIFS(Journal!$D$3:$D$143,Journal!$A$3:$A$143,$B27,Journal!$E$3:$E$143,G$3))</f>
        <v/>
      </c>
      <c r="H27" s="86" t="str">
        <f>IF(SUMIFS(Journal!$D$3:$D$143,Journal!$A$3:$A$143,$B27,Journal!$F$3:$F$143,G$3)=0,"",SUMIFS(Journal!$D$3:$D$143,Journal!$A$3:$A$143,$B27,Journal!$F$3:$F$143,G$3))</f>
        <v/>
      </c>
      <c r="I27" s="86" t="str">
        <f>IF(SUMIFS(Journal!$D$3:$D$143,Journal!$A$3:$A$143,$B27,Journal!$E$3:$E$143,I$3)=0,"",SUMIFS(Journal!$D$3:$D$143,Journal!$A$3:$A$143,$B27,Journal!$E$3:$E$143,I$3))</f>
        <v/>
      </c>
      <c r="J27" s="86">
        <f>IF(SUMIFS(Journal!$D$3:$D$143,Journal!$A$3:$A$143,$B27,Journal!$F$3:$F$143,I$3)=0,"",SUMIFS(Journal!$D$3:$D$143,Journal!$A$3:$A$143,$B27,Journal!$F$3:$F$143,I$3))</f>
        <v>2400</v>
      </c>
      <c r="K27" s="86" t="str">
        <f>IF(SUMIFS(Journal!$D$3:$D$143,Journal!$A$3:$A$143,$B27,Journal!$E$3:$E$143,K$3)=0,"",SUMIFS(Journal!$D$3:$D$143,Journal!$A$3:$A$143,$B27,Journal!$E$3:$E$143,K$3))</f>
        <v/>
      </c>
      <c r="L27" s="86" t="str">
        <f>IF(SUMIFS(Journal!$D$3:$D$143,Journal!$A$3:$A$143,$B27,Journal!$F$3:$F$143,K$3)=0,"",SUMIFS(Journal!$D$3:$D$143,Journal!$A$3:$A$143,$B27,Journal!$F$3:$F$143,K$3))</f>
        <v/>
      </c>
      <c r="M27" s="86" t="str">
        <f>IF(SUMIFS(Journal!$D$3:$D$143,Journal!$A$3:$A$143,$B27,Journal!$E$3:$E$143,M$3)=0,"",SUMIFS(Journal!$D$3:$D$143,Journal!$A$3:$A$143,$B27,Journal!$E$3:$E$143,M$3))</f>
        <v/>
      </c>
      <c r="N27" s="86" t="str">
        <f>IF(SUMIFS(Journal!$D$3:$D$143,Journal!$A$3:$A$143,$B27,Journal!$F$3:$F$143,M$3)=0,"",SUMIFS(Journal!$D$3:$D$143,Journal!$A$3:$A$143,$B27,Journal!$F$3:$F$143,M$3))</f>
        <v/>
      </c>
      <c r="O27" s="86" t="str">
        <f>IF(SUMIFS(Journal!$D$3:$D$143,Journal!$A$3:$A$143,$B27,Journal!$E$3:$E$143,O$3)=0,"",SUMIFS(Journal!$D$3:$D$143,Journal!$A$3:$A$143,$B27,Journal!$E$3:$E$143,O$3))</f>
        <v/>
      </c>
      <c r="P27" s="86" t="str">
        <f>IF(SUMIFS(Journal!$D$3:$D$143,Journal!$A$3:$A$143,$B27,Journal!$F$3:$F$143,O$3)=0,"",SUMIFS(Journal!$D$3:$D$143,Journal!$A$3:$A$143,$B27,Journal!$F$3:$F$143,O$3))</f>
        <v/>
      </c>
      <c r="Q27" s="86" t="str">
        <f>IF(SUMIFS(Journal!$D$3:$D$143,Journal!$A$3:$A$143,$B27,Journal!$E$3:$E$143,Q$3)=0,"",SUMIFS(Journal!$D$3:$D$143,Journal!$A$3:$A$143,$B27,Journal!$E$3:$E$143,Q$3))</f>
        <v/>
      </c>
      <c r="R27" s="86" t="str">
        <f>IF(SUMIFS(Journal!$D$3:$D$143,Journal!$A$3:$A$143,$B27,Journal!$F$3:$F$143,Q$3)=0,"",SUMIFS(Journal!$D$3:$D$143,Journal!$A$3:$A$143,$B27,Journal!$F$3:$F$143,Q$3))</f>
        <v/>
      </c>
      <c r="S27" s="86" t="str">
        <f>IF(SUMIFS(Journal!$D$3:$D$143,Journal!$A$3:$A$143,$B27,Journal!$E$3:$E$143,S$3)=0,"",SUMIFS(Journal!$D$3:$D$143,Journal!$A$3:$A$143,$B27,Journal!$E$3:$E$143,S$3))</f>
        <v/>
      </c>
      <c r="T27" s="86" t="str">
        <f>IF(SUMIFS(Journal!$D$3:$D$143,Journal!$A$3:$A$143,$B27,Journal!$F$3:$F$143,S$3)=0,"",SUMIFS(Journal!$D$3:$D$143,Journal!$A$3:$A$143,$B27,Journal!$F$3:$F$143,S$3))</f>
        <v/>
      </c>
      <c r="U27" s="86" t="str">
        <f>IF(SUMIFS(Journal!$D$3:$D$143,Journal!$A$3:$A$143,$B27,Journal!$E$3:$E$143,U$3)=0,"",SUMIFS(Journal!$D$3:$D$143,Journal!$A$3:$A$143,$B27,Journal!$E$3:$E$143,U$3))</f>
        <v/>
      </c>
      <c r="V27" s="86" t="str">
        <f>IF(SUMIFS(Journal!$D$3:$D$143,Journal!$A$3:$A$143,$B27,Journal!$F$3:$F$143,U$3)=0,"",SUMIFS(Journal!$D$3:$D$143,Journal!$A$3:$A$143,$B27,Journal!$F$3:$F$143,U$3))</f>
        <v/>
      </c>
      <c r="W27" s="86" t="str">
        <f>IF(SUMIFS(Journal!$D$3:$D$143,Journal!$A$3:$A$143,$B27,Journal!$E$3:$E$143,W$3)=0,"",SUMIFS(Journal!$D$3:$D$143,Journal!$A$3:$A$143,$B27,Journal!$E$3:$E$143,W$3))</f>
        <v/>
      </c>
      <c r="X27" s="86" t="str">
        <f>IF(SUMIFS(Journal!$D$3:$D$143,Journal!$A$3:$A$143,$B27,Journal!$F$3:$F$143,W$3)=0,"",SUMIFS(Journal!$D$3:$D$143,Journal!$A$3:$A$143,$B27,Journal!$F$3:$F$143,W$3))</f>
        <v/>
      </c>
      <c r="Y27" s="86" t="str">
        <f>IF(SUMIFS(Journal!$D$3:$D$143,Journal!$A$3:$A$143,$B27,Journal!$E$3:$E$143,Y$3)=0,"",SUMIFS(Journal!$D$3:$D$143,Journal!$A$3:$A$143,$B27,Journal!$E$3:$E$143,Y$3))</f>
        <v/>
      </c>
      <c r="Z27" s="86" t="str">
        <f>IF(SUMIFS(Journal!$D$3:$D$143,Journal!$A$3:$A$143,$B27,Journal!$F$3:$F$143,Y$3)=0,"",SUMIFS(Journal!$D$3:$D$143,Journal!$A$3:$A$143,$B27,Journal!$F$3:$F$143,Y$3))</f>
        <v/>
      </c>
      <c r="AA27" s="86" t="str">
        <f>IF(SUMIFS(Journal!$D$3:$D$143,Journal!$A$3:$A$143,$B27,Journal!$E$3:$E$143,AA$3)=0,"",SUMIFS(Journal!$D$3:$D$143,Journal!$A$3:$A$143,$B27,Journal!$E$3:$E$143,AA$3))</f>
        <v/>
      </c>
      <c r="AB27" s="86">
        <f>IF(SUMIFS(Journal!$D$3:$D$143,Journal!$A$3:$A$143,$B27,Journal!$F$3:$F$143,AA$3)=0,"",SUMIFS(Journal!$D$3:$D$143,Journal!$A$3:$A$143,$B27,Journal!$F$3:$F$143,AA$3))</f>
        <v>4000</v>
      </c>
      <c r="AC27" s="86" t="str">
        <f>IF(SUMIFS(Journal!$D$3:$D$143,Journal!$A$3:$A$143,$B27,Journal!$E$3:$E$143,AC$3)=0,"",SUMIFS(Journal!$D$3:$D$143,Journal!$A$3:$A$143,$B27,Journal!$E$3:$E$143,AC$3))</f>
        <v/>
      </c>
      <c r="AD27" s="86" t="str">
        <f>IF(SUMIFS(Journal!$D$3:$D$143,Journal!$A$3:$A$143,$B27,Journal!$F$3:$F$143,AC$3)=0,"",SUMIFS(Journal!$D$3:$D$143,Journal!$A$3:$A$143,$B27,Journal!$F$3:$F$143,AC$3))</f>
        <v/>
      </c>
      <c r="AE27" s="86">
        <f>IF(SUMIFS(Journal!$D$3:$D$143,Journal!$A$3:$A$143,$B27,Journal!$E$3:$E$143,AE$3)=0,"",SUMIFS(Journal!$D$3:$D$143,Journal!$A$3:$A$143,$B27,Journal!$E$3:$E$143,AE$3))</f>
        <v>2400</v>
      </c>
      <c r="AF27" s="86" t="str">
        <f>IF(SUMIFS(Journal!$D$3:$D$143,Journal!$A$3:$A$143,$B27,Journal!$F$3:$F$143,AE$3)=0,"",SUMIFS(Journal!$D$3:$D$143,Journal!$A$3:$A$143,$B27,Journal!$F$3:$F$143,AE$3))</f>
        <v/>
      </c>
      <c r="AG27" s="86" t="str">
        <f>IF(SUMIFS(Journal!$D$3:$D$143,Journal!$A$3:$A$143,$B27,Journal!$E$3:$E$143,AG$3)=0,"",SUMIFS(Journal!$D$3:$D$143,Journal!$A$3:$A$143,$B27,Journal!$E$3:$E$143,AG$3))</f>
        <v/>
      </c>
      <c r="AH27" s="86" t="str">
        <f>IF(SUMIFS(Journal!$D$3:$D$143,Journal!$A$3:$A$143,$B27,Journal!$F$3:$F$143,AG$3)=0,"",SUMIFS(Journal!$D$3:$D$143,Journal!$A$3:$A$143,$B27,Journal!$F$3:$F$143,AG$3))</f>
        <v/>
      </c>
      <c r="AI27" s="86" t="str">
        <f>IF(SUMIFS(Journal!$D$3:$D$143,Journal!$A$3:$A$143,$B27,Journal!$E$3:$E$143,AI$3)=0,"",SUMIFS(Journal!$D$3:$D$143,Journal!$A$3:$A$143,$B27,Journal!$E$3:$E$143,AI$3))</f>
        <v/>
      </c>
      <c r="AJ27" s="86" t="str">
        <f>IF(SUMIFS(Journal!$D$3:$D$143,Journal!$A$3:$A$143,$B27,Journal!$F$3:$F$143,AI$3)=0,"",SUMIFS(Journal!$D$3:$D$143,Journal!$A$3:$A$143,$B27,Journal!$F$3:$F$143,AI$3))</f>
        <v/>
      </c>
      <c r="AK27" s="86" t="str">
        <f>IF(SUMIFS(Journal!$D$3:$D$143,Journal!$A$3:$A$143,$B27,Journal!$E$3:$E$143,AK$3)=0,"",SUMIFS(Journal!$D$3:$D$143,Journal!$A$3:$A$143,$B27,Journal!$E$3:$E$143,AK$3))</f>
        <v/>
      </c>
      <c r="AL27" s="86" t="str">
        <f>IF(SUMIFS(Journal!$D$3:$D$143,Journal!$A$3:$A$143,$B27,Journal!$F$3:$F$143,AK$3)=0,"",SUMIFS(Journal!$D$3:$D$143,Journal!$A$3:$A$143,$B27,Journal!$F$3:$F$143,AK$3))</f>
        <v/>
      </c>
      <c r="AM27" s="86" t="str">
        <f>IF(SUMIFS(Journal!$D$3:$D$143,Journal!$A$3:$A$143,$B27,Journal!$E$3:$E$143,AM$3)=0,"",SUMIFS(Journal!$D$3:$D$143,Journal!$A$3:$A$143,$B27,Journal!$E$3:$E$143,AM$3))</f>
        <v/>
      </c>
      <c r="AN27" s="86" t="str">
        <f>IF(SUMIFS(Journal!$D$3:$D$143,Journal!$A$3:$A$143,$B27,Journal!$F$3:$F$143,AM$3)=0,"",SUMIFS(Journal!$D$3:$D$143,Journal!$A$3:$A$143,$B27,Journal!$F$3:$F$143,AM$3))</f>
        <v/>
      </c>
      <c r="AO27" s="86" t="str">
        <f>IF(SUMIFS(Journal!$D$3:$D$143,Journal!$A$3:$A$143,$B27,Journal!$E$3:$E$143,AO$3)=0,"",SUMIFS(Journal!$D$3:$D$143,Journal!$A$3:$A$143,$B27,Journal!$E$3:$E$143,AO$3))</f>
        <v/>
      </c>
      <c r="AP27" s="86" t="str">
        <f>IF(SUMIFS(Journal!$D$3:$D$143,Journal!$A$3:$A$143,$B27,Journal!$F$3:$F$143,AO$3)=0,"",SUMIFS(Journal!$D$3:$D$143,Journal!$A$3:$A$143,$B27,Journal!$F$3:$F$143,AO$3))</f>
        <v/>
      </c>
      <c r="AQ27" s="86" t="str">
        <f>IF(SUMIFS(Journal!$D$3:$D$143,Journal!$A$3:$A$143,$B27,Journal!$E$3:$E$143,AQ$3)=0,"",SUMIFS(Journal!$D$3:$D$143,Journal!$A$3:$A$143,$B27,Journal!$E$3:$E$143,AQ$3))</f>
        <v/>
      </c>
      <c r="AR27" s="86" t="str">
        <f>IF(SUMIFS(Journal!$D$3:$D$143,Journal!$A$3:$A$143,$B27,Journal!$F$3:$F$143,AQ$3)=0,"",SUMIFS(Journal!$D$3:$D$143,Journal!$A$3:$A$143,$B27,Journal!$F$3:$F$143,AQ$3))</f>
        <v/>
      </c>
      <c r="AS27" s="86" t="str">
        <f>IF(SUMIFS(Journal!$D$3:$D$143,Journal!$A$3:$A$143,$B27,Journal!$E$3:$E$143,AS$3)=0,"",SUMIFS(Journal!$D$3:$D$143,Journal!$A$3:$A$143,$B27,Journal!$E$3:$E$143,AS$3))</f>
        <v/>
      </c>
      <c r="AT27" s="86" t="str">
        <f>IF(SUMIFS(Journal!$D$3:$D$143,Journal!$A$3:$A$143,$B27,Journal!$F$3:$F$143,AS$3)=0,"",SUMIFS(Journal!$D$3:$D$143,Journal!$A$3:$A$143,$B27,Journal!$F$3:$F$143,AS$3))</f>
        <v/>
      </c>
      <c r="AU27" s="86" t="str">
        <f>IF(SUMIFS(Journal!$D$3:$D$143,Journal!$A$3:$A$143,$B27,Journal!$E$3:$E$143,AU$3)=0,"",SUMIFS(Journal!$D$3:$D$143,Journal!$A$3:$A$143,$B27,Journal!$E$3:$E$143,AU$3))</f>
        <v/>
      </c>
      <c r="AV27" s="86" t="str">
        <f>IF(SUMIFS(Journal!$D$3:$D$143,Journal!$A$3:$A$143,$B27,Journal!$F$3:$F$143,AU$3)=0,"",SUMIFS(Journal!$D$3:$D$143,Journal!$A$3:$A$143,$B27,Journal!$F$3:$F$143,AU$3))</f>
        <v/>
      </c>
      <c r="AW27" s="86" t="str">
        <f>IF(SUMIFS(Journal!$D$3:$D$143,Journal!$A$3:$A$143,$B27,Journal!$E$3:$E$143,AW$3)=0,"",SUMIFS(Journal!$D$3:$D$143,Journal!$A$3:$A$143,$B27,Journal!$E$3:$E$143,AW$3))</f>
        <v/>
      </c>
      <c r="AX27" s="86" t="str">
        <f>IF(SUMIFS(Journal!$D$3:$D$143,Journal!$A$3:$A$143,$B27,Journal!$F$3:$F$143,AW$3)=0,"",SUMIFS(Journal!$D$3:$D$143,Journal!$A$3:$A$143,$B27,Journal!$F$3:$F$143,AW$3))</f>
        <v/>
      </c>
      <c r="AY27" s="86" t="str">
        <f>IF(SUMIFS(Journal!$D$3:$D$143,Journal!$A$3:$A$143,$B27,Journal!$E$3:$E$143,AY$3)=0,"",SUMIFS(Journal!$D$3:$D$143,Journal!$A$3:$A$143,$B27,Journal!$E$3:$E$143,AY$3))</f>
        <v/>
      </c>
      <c r="AZ27" s="86" t="str">
        <f>IF(SUMIFS(Journal!$D$3:$D$143,Journal!$A$3:$A$143,$B27,Journal!$F$3:$F$143,AY$3)=0,"",SUMIFS(Journal!$D$3:$D$143,Journal!$A$3:$A$143,$B27,Journal!$F$3:$F$143,AY$3))</f>
        <v/>
      </c>
      <c r="BA27" s="86" t="str">
        <f>IF(SUMIFS(Journal!$D$3:$D$143,Journal!$A$3:$A$143,$B27,Journal!$E$3:$E$143,BA$3)=0,"",SUMIFS(Journal!$D$3:$D$143,Journal!$A$3:$A$143,$B27,Journal!$E$3:$E$143,BA$3))</f>
        <v/>
      </c>
      <c r="BB27" s="86" t="str">
        <f>IF(SUMIFS(Journal!$D$3:$D$143,Journal!$A$3:$A$143,$B27,Journal!$F$3:$F$143,BA$3)=0,"",SUMIFS(Journal!$D$3:$D$143,Journal!$A$3:$A$143,$B27,Journal!$F$3:$F$143,BA$3))</f>
        <v/>
      </c>
      <c r="BD27" s="67" t="s">
        <v>102</v>
      </c>
    </row>
    <row r="28">
      <c r="A28" s="84">
        <f>VLOOKUP(B28,Journal!$A$3:$C$143,2,FALSE)</f>
        <v>45342</v>
      </c>
      <c r="B28" s="85" t="s">
        <v>261</v>
      </c>
      <c r="C28" s="86" t="str">
        <f>VLOOKUP(B28,Journal!$A$3:$C$143,3,FALSE)</f>
        <v>Guided tour revenue</v>
      </c>
      <c r="D28" s="86">
        <f>SUMIF(Journal!$A$3:$A$143,B28,Journal!$D$3:$D$143)</f>
        <v>3500</v>
      </c>
      <c r="E28" s="86">
        <f>IF(SUMIFS(Journal!$D$3:$D$143,Journal!$A$3:$A$143,$B28,Journal!$E$3:$E$143,E$3)=0,"",SUMIFS(Journal!$D$3:$D$143,Journal!$A$3:$A$143,$B28,Journal!$E$3:$E$143,E$3))</f>
        <v>3500</v>
      </c>
      <c r="F28" s="86" t="str">
        <f>IF(SUMIFS(Journal!$D$3:$D$143,Journal!$A$3:$A$143,$B28,Journal!$F$3:$F$143,E$3)=0,"",SUMIFS(Journal!$D$3:$D$143,Journal!$A$3:$A$143,$B28,Journal!$F$3:$F$143,E$3))</f>
        <v/>
      </c>
      <c r="G28" s="86" t="str">
        <f>IF(SUMIFS(Journal!$D$3:$D$143,Journal!$A$3:$A$143,$B28,Journal!$E$3:$E$143,G$3)=0,"",SUMIFS(Journal!$D$3:$D$143,Journal!$A$3:$A$143,$B28,Journal!$E$3:$E$143,G$3))</f>
        <v/>
      </c>
      <c r="H28" s="86" t="str">
        <f>IF(SUMIFS(Journal!$D$3:$D$143,Journal!$A$3:$A$143,$B28,Journal!$F$3:$F$143,G$3)=0,"",SUMIFS(Journal!$D$3:$D$143,Journal!$A$3:$A$143,$B28,Journal!$F$3:$F$143,G$3))</f>
        <v/>
      </c>
      <c r="I28" s="86" t="str">
        <f>IF(SUMIFS(Journal!$D$3:$D$143,Journal!$A$3:$A$143,$B28,Journal!$E$3:$E$143,I$3)=0,"",SUMIFS(Journal!$D$3:$D$143,Journal!$A$3:$A$143,$B28,Journal!$E$3:$E$143,I$3))</f>
        <v/>
      </c>
      <c r="J28" s="86" t="str">
        <f>IF(SUMIFS(Journal!$D$3:$D$143,Journal!$A$3:$A$143,$B28,Journal!$F$3:$F$143,I$3)=0,"",SUMIFS(Journal!$D$3:$D$143,Journal!$A$3:$A$143,$B28,Journal!$F$3:$F$143,I$3))</f>
        <v/>
      </c>
      <c r="K28" s="86" t="str">
        <f>IF(SUMIFS(Journal!$D$3:$D$143,Journal!$A$3:$A$143,$B28,Journal!$E$3:$E$143,K$3)=0,"",SUMIFS(Journal!$D$3:$D$143,Journal!$A$3:$A$143,$B28,Journal!$E$3:$E$143,K$3))</f>
        <v/>
      </c>
      <c r="L28" s="86" t="str">
        <f>IF(SUMIFS(Journal!$D$3:$D$143,Journal!$A$3:$A$143,$B28,Journal!$F$3:$F$143,K$3)=0,"",SUMIFS(Journal!$D$3:$D$143,Journal!$A$3:$A$143,$B28,Journal!$F$3:$F$143,K$3))</f>
        <v/>
      </c>
      <c r="M28" s="86" t="str">
        <f>IF(SUMIFS(Journal!$D$3:$D$143,Journal!$A$3:$A$143,$B28,Journal!$E$3:$E$143,M$3)=0,"",SUMIFS(Journal!$D$3:$D$143,Journal!$A$3:$A$143,$B28,Journal!$E$3:$E$143,M$3))</f>
        <v/>
      </c>
      <c r="N28" s="86" t="str">
        <f>IF(SUMIFS(Journal!$D$3:$D$143,Journal!$A$3:$A$143,$B28,Journal!$F$3:$F$143,M$3)=0,"",SUMIFS(Journal!$D$3:$D$143,Journal!$A$3:$A$143,$B28,Journal!$F$3:$F$143,M$3))</f>
        <v/>
      </c>
      <c r="O28" s="86" t="str">
        <f>IF(SUMIFS(Journal!$D$3:$D$143,Journal!$A$3:$A$143,$B28,Journal!$E$3:$E$143,O$3)=0,"",SUMIFS(Journal!$D$3:$D$143,Journal!$A$3:$A$143,$B28,Journal!$E$3:$E$143,O$3))</f>
        <v/>
      </c>
      <c r="P28" s="86" t="str">
        <f>IF(SUMIFS(Journal!$D$3:$D$143,Journal!$A$3:$A$143,$B28,Journal!$F$3:$F$143,O$3)=0,"",SUMIFS(Journal!$D$3:$D$143,Journal!$A$3:$A$143,$B28,Journal!$F$3:$F$143,O$3))</f>
        <v/>
      </c>
      <c r="Q28" s="86" t="str">
        <f>IF(SUMIFS(Journal!$D$3:$D$143,Journal!$A$3:$A$143,$B28,Journal!$E$3:$E$143,Q$3)=0,"",SUMIFS(Journal!$D$3:$D$143,Journal!$A$3:$A$143,$B28,Journal!$E$3:$E$143,Q$3))</f>
        <v/>
      </c>
      <c r="R28" s="86" t="str">
        <f>IF(SUMIFS(Journal!$D$3:$D$143,Journal!$A$3:$A$143,$B28,Journal!$F$3:$F$143,Q$3)=0,"",SUMIFS(Journal!$D$3:$D$143,Journal!$A$3:$A$143,$B28,Journal!$F$3:$F$143,Q$3))</f>
        <v/>
      </c>
      <c r="S28" s="86" t="str">
        <f>IF(SUMIFS(Journal!$D$3:$D$143,Journal!$A$3:$A$143,$B28,Journal!$E$3:$E$143,S$3)=0,"",SUMIFS(Journal!$D$3:$D$143,Journal!$A$3:$A$143,$B28,Journal!$E$3:$E$143,S$3))</f>
        <v/>
      </c>
      <c r="T28" s="86" t="str">
        <f>IF(SUMIFS(Journal!$D$3:$D$143,Journal!$A$3:$A$143,$B28,Journal!$F$3:$F$143,S$3)=0,"",SUMIFS(Journal!$D$3:$D$143,Journal!$A$3:$A$143,$B28,Journal!$F$3:$F$143,S$3))</f>
        <v/>
      </c>
      <c r="U28" s="86" t="str">
        <f>IF(SUMIFS(Journal!$D$3:$D$143,Journal!$A$3:$A$143,$B28,Journal!$E$3:$E$143,U$3)=0,"",SUMIFS(Journal!$D$3:$D$143,Journal!$A$3:$A$143,$B28,Journal!$E$3:$E$143,U$3))</f>
        <v/>
      </c>
      <c r="V28" s="86" t="str">
        <f>IF(SUMIFS(Journal!$D$3:$D$143,Journal!$A$3:$A$143,$B28,Journal!$F$3:$F$143,U$3)=0,"",SUMIFS(Journal!$D$3:$D$143,Journal!$A$3:$A$143,$B28,Journal!$F$3:$F$143,U$3))</f>
        <v/>
      </c>
      <c r="W28" s="86" t="str">
        <f>IF(SUMIFS(Journal!$D$3:$D$143,Journal!$A$3:$A$143,$B28,Journal!$E$3:$E$143,W$3)=0,"",SUMIFS(Journal!$D$3:$D$143,Journal!$A$3:$A$143,$B28,Journal!$E$3:$E$143,W$3))</f>
        <v/>
      </c>
      <c r="X28" s="86" t="str">
        <f>IF(SUMIFS(Journal!$D$3:$D$143,Journal!$A$3:$A$143,$B28,Journal!$F$3:$F$143,W$3)=0,"",SUMIFS(Journal!$D$3:$D$143,Journal!$A$3:$A$143,$B28,Journal!$F$3:$F$143,W$3))</f>
        <v/>
      </c>
      <c r="Y28" s="86" t="str">
        <f>IF(SUMIFS(Journal!$D$3:$D$143,Journal!$A$3:$A$143,$B28,Journal!$E$3:$E$143,Y$3)=0,"",SUMIFS(Journal!$D$3:$D$143,Journal!$A$3:$A$143,$B28,Journal!$E$3:$E$143,Y$3))</f>
        <v/>
      </c>
      <c r="Z28" s="86">
        <f>IF(SUMIFS(Journal!$D$3:$D$143,Journal!$A$3:$A$143,$B28,Journal!$F$3:$F$143,Y$3)=0,"",SUMIFS(Journal!$D$3:$D$143,Journal!$A$3:$A$143,$B28,Journal!$F$3:$F$143,Y$3))</f>
        <v>3500</v>
      </c>
      <c r="AA28" s="86" t="str">
        <f>IF(SUMIFS(Journal!$D$3:$D$143,Journal!$A$3:$A$143,$B28,Journal!$E$3:$E$143,AA$3)=0,"",SUMIFS(Journal!$D$3:$D$143,Journal!$A$3:$A$143,$B28,Journal!$E$3:$E$143,AA$3))</f>
        <v/>
      </c>
      <c r="AB28" s="86" t="str">
        <f>IF(SUMIFS(Journal!$D$3:$D$143,Journal!$A$3:$A$143,$B28,Journal!$F$3:$F$143,AA$3)=0,"",SUMIFS(Journal!$D$3:$D$143,Journal!$A$3:$A$143,$B28,Journal!$F$3:$F$143,AA$3))</f>
        <v/>
      </c>
      <c r="AC28" s="86" t="str">
        <f>IF(SUMIFS(Journal!$D$3:$D$143,Journal!$A$3:$A$143,$B28,Journal!$E$3:$E$143,AC$3)=0,"",SUMIFS(Journal!$D$3:$D$143,Journal!$A$3:$A$143,$B28,Journal!$E$3:$E$143,AC$3))</f>
        <v/>
      </c>
      <c r="AD28" s="86" t="str">
        <f>IF(SUMIFS(Journal!$D$3:$D$143,Journal!$A$3:$A$143,$B28,Journal!$F$3:$F$143,AC$3)=0,"",SUMIFS(Journal!$D$3:$D$143,Journal!$A$3:$A$143,$B28,Journal!$F$3:$F$143,AC$3))</f>
        <v/>
      </c>
      <c r="AE28" s="86" t="str">
        <f>IF(SUMIFS(Journal!$D$3:$D$143,Journal!$A$3:$A$143,$B28,Journal!$E$3:$E$143,AE$3)=0,"",SUMIFS(Journal!$D$3:$D$143,Journal!$A$3:$A$143,$B28,Journal!$E$3:$E$143,AE$3))</f>
        <v/>
      </c>
      <c r="AF28" s="86" t="str">
        <f>IF(SUMIFS(Journal!$D$3:$D$143,Journal!$A$3:$A$143,$B28,Journal!$F$3:$F$143,AE$3)=0,"",SUMIFS(Journal!$D$3:$D$143,Journal!$A$3:$A$143,$B28,Journal!$F$3:$F$143,AE$3))</f>
        <v/>
      </c>
      <c r="AG28" s="86" t="str">
        <f>IF(SUMIFS(Journal!$D$3:$D$143,Journal!$A$3:$A$143,$B28,Journal!$E$3:$E$143,AG$3)=0,"",SUMIFS(Journal!$D$3:$D$143,Journal!$A$3:$A$143,$B28,Journal!$E$3:$E$143,AG$3))</f>
        <v/>
      </c>
      <c r="AH28" s="86" t="str">
        <f>IF(SUMIFS(Journal!$D$3:$D$143,Journal!$A$3:$A$143,$B28,Journal!$F$3:$F$143,AG$3)=0,"",SUMIFS(Journal!$D$3:$D$143,Journal!$A$3:$A$143,$B28,Journal!$F$3:$F$143,AG$3))</f>
        <v/>
      </c>
      <c r="AI28" s="86" t="str">
        <f>IF(SUMIFS(Journal!$D$3:$D$143,Journal!$A$3:$A$143,$B28,Journal!$E$3:$E$143,AI$3)=0,"",SUMIFS(Journal!$D$3:$D$143,Journal!$A$3:$A$143,$B28,Journal!$E$3:$E$143,AI$3))</f>
        <v/>
      </c>
      <c r="AJ28" s="86" t="str">
        <f>IF(SUMIFS(Journal!$D$3:$D$143,Journal!$A$3:$A$143,$B28,Journal!$F$3:$F$143,AI$3)=0,"",SUMIFS(Journal!$D$3:$D$143,Journal!$A$3:$A$143,$B28,Journal!$F$3:$F$143,AI$3))</f>
        <v/>
      </c>
      <c r="AK28" s="86" t="str">
        <f>IF(SUMIFS(Journal!$D$3:$D$143,Journal!$A$3:$A$143,$B28,Journal!$E$3:$E$143,AK$3)=0,"",SUMIFS(Journal!$D$3:$D$143,Journal!$A$3:$A$143,$B28,Journal!$E$3:$E$143,AK$3))</f>
        <v/>
      </c>
      <c r="AL28" s="86" t="str">
        <f>IF(SUMIFS(Journal!$D$3:$D$143,Journal!$A$3:$A$143,$B28,Journal!$F$3:$F$143,AK$3)=0,"",SUMIFS(Journal!$D$3:$D$143,Journal!$A$3:$A$143,$B28,Journal!$F$3:$F$143,AK$3))</f>
        <v/>
      </c>
      <c r="AM28" s="86" t="str">
        <f>IF(SUMIFS(Journal!$D$3:$D$143,Journal!$A$3:$A$143,$B28,Journal!$E$3:$E$143,AM$3)=0,"",SUMIFS(Journal!$D$3:$D$143,Journal!$A$3:$A$143,$B28,Journal!$E$3:$E$143,AM$3))</f>
        <v/>
      </c>
      <c r="AN28" s="86" t="str">
        <f>IF(SUMIFS(Journal!$D$3:$D$143,Journal!$A$3:$A$143,$B28,Journal!$F$3:$F$143,AM$3)=0,"",SUMIFS(Journal!$D$3:$D$143,Journal!$A$3:$A$143,$B28,Journal!$F$3:$F$143,AM$3))</f>
        <v/>
      </c>
      <c r="AO28" s="86" t="str">
        <f>IF(SUMIFS(Journal!$D$3:$D$143,Journal!$A$3:$A$143,$B28,Journal!$E$3:$E$143,AO$3)=0,"",SUMIFS(Journal!$D$3:$D$143,Journal!$A$3:$A$143,$B28,Journal!$E$3:$E$143,AO$3))</f>
        <v/>
      </c>
      <c r="AP28" s="86" t="str">
        <f>IF(SUMIFS(Journal!$D$3:$D$143,Journal!$A$3:$A$143,$B28,Journal!$F$3:$F$143,AO$3)=0,"",SUMIFS(Journal!$D$3:$D$143,Journal!$A$3:$A$143,$B28,Journal!$F$3:$F$143,AO$3))</f>
        <v/>
      </c>
      <c r="AQ28" s="86" t="str">
        <f>IF(SUMIFS(Journal!$D$3:$D$143,Journal!$A$3:$A$143,$B28,Journal!$E$3:$E$143,AQ$3)=0,"",SUMIFS(Journal!$D$3:$D$143,Journal!$A$3:$A$143,$B28,Journal!$E$3:$E$143,AQ$3))</f>
        <v/>
      </c>
      <c r="AR28" s="86" t="str">
        <f>IF(SUMIFS(Journal!$D$3:$D$143,Journal!$A$3:$A$143,$B28,Journal!$F$3:$F$143,AQ$3)=0,"",SUMIFS(Journal!$D$3:$D$143,Journal!$A$3:$A$143,$B28,Journal!$F$3:$F$143,AQ$3))</f>
        <v/>
      </c>
      <c r="AS28" s="86" t="str">
        <f>IF(SUMIFS(Journal!$D$3:$D$143,Journal!$A$3:$A$143,$B28,Journal!$E$3:$E$143,AS$3)=0,"",SUMIFS(Journal!$D$3:$D$143,Journal!$A$3:$A$143,$B28,Journal!$E$3:$E$143,AS$3))</f>
        <v/>
      </c>
      <c r="AT28" s="86" t="str">
        <f>IF(SUMIFS(Journal!$D$3:$D$143,Journal!$A$3:$A$143,$B28,Journal!$F$3:$F$143,AS$3)=0,"",SUMIFS(Journal!$D$3:$D$143,Journal!$A$3:$A$143,$B28,Journal!$F$3:$F$143,AS$3))</f>
        <v/>
      </c>
      <c r="AU28" s="86" t="str">
        <f>IF(SUMIFS(Journal!$D$3:$D$143,Journal!$A$3:$A$143,$B28,Journal!$E$3:$E$143,AU$3)=0,"",SUMIFS(Journal!$D$3:$D$143,Journal!$A$3:$A$143,$B28,Journal!$E$3:$E$143,AU$3))</f>
        <v/>
      </c>
      <c r="AV28" s="86" t="str">
        <f>IF(SUMIFS(Journal!$D$3:$D$143,Journal!$A$3:$A$143,$B28,Journal!$F$3:$F$143,AU$3)=0,"",SUMIFS(Journal!$D$3:$D$143,Journal!$A$3:$A$143,$B28,Journal!$F$3:$F$143,AU$3))</f>
        <v/>
      </c>
      <c r="AW28" s="86" t="str">
        <f>IF(SUMIFS(Journal!$D$3:$D$143,Journal!$A$3:$A$143,$B28,Journal!$E$3:$E$143,AW$3)=0,"",SUMIFS(Journal!$D$3:$D$143,Journal!$A$3:$A$143,$B28,Journal!$E$3:$E$143,AW$3))</f>
        <v/>
      </c>
      <c r="AX28" s="86" t="str">
        <f>IF(SUMIFS(Journal!$D$3:$D$143,Journal!$A$3:$A$143,$B28,Journal!$F$3:$F$143,AW$3)=0,"",SUMIFS(Journal!$D$3:$D$143,Journal!$A$3:$A$143,$B28,Journal!$F$3:$F$143,AW$3))</f>
        <v/>
      </c>
      <c r="AY28" s="86" t="str">
        <f>IF(SUMIFS(Journal!$D$3:$D$143,Journal!$A$3:$A$143,$B28,Journal!$E$3:$E$143,AY$3)=0,"",SUMIFS(Journal!$D$3:$D$143,Journal!$A$3:$A$143,$B28,Journal!$E$3:$E$143,AY$3))</f>
        <v/>
      </c>
      <c r="AZ28" s="86" t="str">
        <f>IF(SUMIFS(Journal!$D$3:$D$143,Journal!$A$3:$A$143,$B28,Journal!$F$3:$F$143,AY$3)=0,"",SUMIFS(Journal!$D$3:$D$143,Journal!$A$3:$A$143,$B28,Journal!$F$3:$F$143,AY$3))</f>
        <v/>
      </c>
      <c r="BA28" s="86" t="str">
        <f>IF(SUMIFS(Journal!$D$3:$D$143,Journal!$A$3:$A$143,$B28,Journal!$E$3:$E$143,BA$3)=0,"",SUMIFS(Journal!$D$3:$D$143,Journal!$A$3:$A$143,$B28,Journal!$E$3:$E$143,BA$3))</f>
        <v/>
      </c>
      <c r="BB28" s="86" t="str">
        <f>IF(SUMIFS(Journal!$D$3:$D$143,Journal!$A$3:$A$143,$B28,Journal!$F$3:$F$143,BA$3)=0,"",SUMIFS(Journal!$D$3:$D$143,Journal!$A$3:$A$143,$B28,Journal!$F$3:$F$143,BA$3))</f>
        <v/>
      </c>
      <c r="BD28" s="67" t="s">
        <v>162</v>
      </c>
    </row>
    <row r="29">
      <c r="A29" s="84">
        <f>VLOOKUP(B29,Journal!$A$3:$C$143,2,FALSE)</f>
        <v>45346</v>
      </c>
      <c r="B29" s="85" t="s">
        <v>266</v>
      </c>
      <c r="C29" s="86" t="str">
        <f>VLOOKUP(B29,Journal!$A$3:$C$143,3,FALSE)</f>
        <v>Employee payroll settlement</v>
      </c>
      <c r="D29" s="86">
        <f>SUMIF(Journal!$A$3:$A$143,B29,Journal!$D$3:$D$143)</f>
        <v>8200</v>
      </c>
      <c r="E29" s="86" t="str">
        <f>IF(SUMIFS(Journal!$D$3:$D$143,Journal!$A$3:$A$143,$B29,Journal!$E$3:$E$143,E$3)=0,"",SUMIFS(Journal!$D$3:$D$143,Journal!$A$3:$A$143,$B29,Journal!$E$3:$E$143,E$3))</f>
        <v/>
      </c>
      <c r="F29" s="86">
        <f>IF(SUMIFS(Journal!$D$3:$D$143,Journal!$A$3:$A$143,$B29,Journal!$F$3:$F$143,E$3)=0,"",SUMIFS(Journal!$D$3:$D$143,Journal!$A$3:$A$143,$B29,Journal!$F$3:$F$143,E$3))</f>
        <v>8200</v>
      </c>
      <c r="G29" s="86" t="str">
        <f>IF(SUMIFS(Journal!$D$3:$D$143,Journal!$A$3:$A$143,$B29,Journal!$E$3:$E$143,G$3)=0,"",SUMIFS(Journal!$D$3:$D$143,Journal!$A$3:$A$143,$B29,Journal!$E$3:$E$143,G$3))</f>
        <v/>
      </c>
      <c r="H29" s="86" t="str">
        <f>IF(SUMIFS(Journal!$D$3:$D$143,Journal!$A$3:$A$143,$B29,Journal!$F$3:$F$143,G$3)=0,"",SUMIFS(Journal!$D$3:$D$143,Journal!$A$3:$A$143,$B29,Journal!$F$3:$F$143,G$3))</f>
        <v/>
      </c>
      <c r="I29" s="86" t="str">
        <f>IF(SUMIFS(Journal!$D$3:$D$143,Journal!$A$3:$A$143,$B29,Journal!$E$3:$E$143,I$3)=0,"",SUMIFS(Journal!$D$3:$D$143,Journal!$A$3:$A$143,$B29,Journal!$E$3:$E$143,I$3))</f>
        <v/>
      </c>
      <c r="J29" s="86" t="str">
        <f>IF(SUMIFS(Journal!$D$3:$D$143,Journal!$A$3:$A$143,$B29,Journal!$F$3:$F$143,I$3)=0,"",SUMIFS(Journal!$D$3:$D$143,Journal!$A$3:$A$143,$B29,Journal!$F$3:$F$143,I$3))</f>
        <v/>
      </c>
      <c r="K29" s="86" t="str">
        <f>IF(SUMIFS(Journal!$D$3:$D$143,Journal!$A$3:$A$143,$B29,Journal!$E$3:$E$143,K$3)=0,"",SUMIFS(Journal!$D$3:$D$143,Journal!$A$3:$A$143,$B29,Journal!$E$3:$E$143,K$3))</f>
        <v/>
      </c>
      <c r="L29" s="86" t="str">
        <f>IF(SUMIFS(Journal!$D$3:$D$143,Journal!$A$3:$A$143,$B29,Journal!$F$3:$F$143,K$3)=0,"",SUMIFS(Journal!$D$3:$D$143,Journal!$A$3:$A$143,$B29,Journal!$F$3:$F$143,K$3))</f>
        <v/>
      </c>
      <c r="M29" s="86" t="str">
        <f>IF(SUMIFS(Journal!$D$3:$D$143,Journal!$A$3:$A$143,$B29,Journal!$E$3:$E$143,M$3)=0,"",SUMIFS(Journal!$D$3:$D$143,Journal!$A$3:$A$143,$B29,Journal!$E$3:$E$143,M$3))</f>
        <v/>
      </c>
      <c r="N29" s="86" t="str">
        <f>IF(SUMIFS(Journal!$D$3:$D$143,Journal!$A$3:$A$143,$B29,Journal!$F$3:$F$143,M$3)=0,"",SUMIFS(Journal!$D$3:$D$143,Journal!$A$3:$A$143,$B29,Journal!$F$3:$F$143,M$3))</f>
        <v/>
      </c>
      <c r="O29" s="86" t="str">
        <f>IF(SUMIFS(Journal!$D$3:$D$143,Journal!$A$3:$A$143,$B29,Journal!$E$3:$E$143,O$3)=0,"",SUMIFS(Journal!$D$3:$D$143,Journal!$A$3:$A$143,$B29,Journal!$E$3:$E$143,O$3))</f>
        <v/>
      </c>
      <c r="P29" s="86" t="str">
        <f>IF(SUMIFS(Journal!$D$3:$D$143,Journal!$A$3:$A$143,$B29,Journal!$F$3:$F$143,O$3)=0,"",SUMIFS(Journal!$D$3:$D$143,Journal!$A$3:$A$143,$B29,Journal!$F$3:$F$143,O$3))</f>
        <v/>
      </c>
      <c r="Q29" s="86" t="str">
        <f>IF(SUMIFS(Journal!$D$3:$D$143,Journal!$A$3:$A$143,$B29,Journal!$E$3:$E$143,Q$3)=0,"",SUMIFS(Journal!$D$3:$D$143,Journal!$A$3:$A$143,$B29,Journal!$E$3:$E$143,Q$3))</f>
        <v/>
      </c>
      <c r="R29" s="86" t="str">
        <f>IF(SUMIFS(Journal!$D$3:$D$143,Journal!$A$3:$A$143,$B29,Journal!$F$3:$F$143,Q$3)=0,"",SUMIFS(Journal!$D$3:$D$143,Journal!$A$3:$A$143,$B29,Journal!$F$3:$F$143,Q$3))</f>
        <v/>
      </c>
      <c r="S29" s="86" t="str">
        <f>IF(SUMIFS(Journal!$D$3:$D$143,Journal!$A$3:$A$143,$B29,Journal!$E$3:$E$143,S$3)=0,"",SUMIFS(Journal!$D$3:$D$143,Journal!$A$3:$A$143,$B29,Journal!$E$3:$E$143,S$3))</f>
        <v/>
      </c>
      <c r="T29" s="86" t="str">
        <f>IF(SUMIFS(Journal!$D$3:$D$143,Journal!$A$3:$A$143,$B29,Journal!$F$3:$F$143,S$3)=0,"",SUMIFS(Journal!$D$3:$D$143,Journal!$A$3:$A$143,$B29,Journal!$F$3:$F$143,S$3))</f>
        <v/>
      </c>
      <c r="U29" s="86" t="str">
        <f>IF(SUMIFS(Journal!$D$3:$D$143,Journal!$A$3:$A$143,$B29,Journal!$E$3:$E$143,U$3)=0,"",SUMIFS(Journal!$D$3:$D$143,Journal!$A$3:$A$143,$B29,Journal!$E$3:$E$143,U$3))</f>
        <v/>
      </c>
      <c r="V29" s="86" t="str">
        <f>IF(SUMIFS(Journal!$D$3:$D$143,Journal!$A$3:$A$143,$B29,Journal!$F$3:$F$143,U$3)=0,"",SUMIFS(Journal!$D$3:$D$143,Journal!$A$3:$A$143,$B29,Journal!$F$3:$F$143,U$3))</f>
        <v/>
      </c>
      <c r="W29" s="86" t="str">
        <f>IF(SUMIFS(Journal!$D$3:$D$143,Journal!$A$3:$A$143,$B29,Journal!$E$3:$E$143,W$3)=0,"",SUMIFS(Journal!$D$3:$D$143,Journal!$A$3:$A$143,$B29,Journal!$E$3:$E$143,W$3))</f>
        <v/>
      </c>
      <c r="X29" s="86" t="str">
        <f>IF(SUMIFS(Journal!$D$3:$D$143,Journal!$A$3:$A$143,$B29,Journal!$F$3:$F$143,W$3)=0,"",SUMIFS(Journal!$D$3:$D$143,Journal!$A$3:$A$143,$B29,Journal!$F$3:$F$143,W$3))</f>
        <v/>
      </c>
      <c r="Y29" s="86" t="str">
        <f>IF(SUMIFS(Journal!$D$3:$D$143,Journal!$A$3:$A$143,$B29,Journal!$E$3:$E$143,Y$3)=0,"",SUMIFS(Journal!$D$3:$D$143,Journal!$A$3:$A$143,$B29,Journal!$E$3:$E$143,Y$3))</f>
        <v/>
      </c>
      <c r="Z29" s="86" t="str">
        <f>IF(SUMIFS(Journal!$D$3:$D$143,Journal!$A$3:$A$143,$B29,Journal!$F$3:$F$143,Y$3)=0,"",SUMIFS(Journal!$D$3:$D$143,Journal!$A$3:$A$143,$B29,Journal!$F$3:$F$143,Y$3))</f>
        <v/>
      </c>
      <c r="AA29" s="86" t="str">
        <f>IF(SUMIFS(Journal!$D$3:$D$143,Journal!$A$3:$A$143,$B29,Journal!$E$3:$E$143,AA$3)=0,"",SUMIFS(Journal!$D$3:$D$143,Journal!$A$3:$A$143,$B29,Journal!$E$3:$E$143,AA$3))</f>
        <v/>
      </c>
      <c r="AB29" s="86" t="str">
        <f>IF(SUMIFS(Journal!$D$3:$D$143,Journal!$A$3:$A$143,$B29,Journal!$F$3:$F$143,AA$3)=0,"",SUMIFS(Journal!$D$3:$D$143,Journal!$A$3:$A$143,$B29,Journal!$F$3:$F$143,AA$3))</f>
        <v/>
      </c>
      <c r="AC29" s="86" t="str">
        <f>IF(SUMIFS(Journal!$D$3:$D$143,Journal!$A$3:$A$143,$B29,Journal!$E$3:$E$143,AC$3)=0,"",SUMIFS(Journal!$D$3:$D$143,Journal!$A$3:$A$143,$B29,Journal!$E$3:$E$143,AC$3))</f>
        <v/>
      </c>
      <c r="AD29" s="86" t="str">
        <f>IF(SUMIFS(Journal!$D$3:$D$143,Journal!$A$3:$A$143,$B29,Journal!$F$3:$F$143,AC$3)=0,"",SUMIFS(Journal!$D$3:$D$143,Journal!$A$3:$A$143,$B29,Journal!$F$3:$F$143,AC$3))</f>
        <v/>
      </c>
      <c r="AE29" s="86" t="str">
        <f>IF(SUMIFS(Journal!$D$3:$D$143,Journal!$A$3:$A$143,$B29,Journal!$E$3:$E$143,AE$3)=0,"",SUMIFS(Journal!$D$3:$D$143,Journal!$A$3:$A$143,$B29,Journal!$E$3:$E$143,AE$3))</f>
        <v/>
      </c>
      <c r="AF29" s="86" t="str">
        <f>IF(SUMIFS(Journal!$D$3:$D$143,Journal!$A$3:$A$143,$B29,Journal!$F$3:$F$143,AE$3)=0,"",SUMIFS(Journal!$D$3:$D$143,Journal!$A$3:$A$143,$B29,Journal!$F$3:$F$143,AE$3))</f>
        <v/>
      </c>
      <c r="AG29" s="86">
        <f>IF(SUMIFS(Journal!$D$3:$D$143,Journal!$A$3:$A$143,$B29,Journal!$E$3:$E$143,AG$3)=0,"",SUMIFS(Journal!$D$3:$D$143,Journal!$A$3:$A$143,$B29,Journal!$E$3:$E$143,AG$3))</f>
        <v>8200</v>
      </c>
      <c r="AH29" s="86" t="str">
        <f>IF(SUMIFS(Journal!$D$3:$D$143,Journal!$A$3:$A$143,$B29,Journal!$F$3:$F$143,AG$3)=0,"",SUMIFS(Journal!$D$3:$D$143,Journal!$A$3:$A$143,$B29,Journal!$F$3:$F$143,AG$3))</f>
        <v/>
      </c>
      <c r="AI29" s="86" t="str">
        <f>IF(SUMIFS(Journal!$D$3:$D$143,Journal!$A$3:$A$143,$B29,Journal!$E$3:$E$143,AI$3)=0,"",SUMIFS(Journal!$D$3:$D$143,Journal!$A$3:$A$143,$B29,Journal!$E$3:$E$143,AI$3))</f>
        <v/>
      </c>
      <c r="AJ29" s="86" t="str">
        <f>IF(SUMIFS(Journal!$D$3:$D$143,Journal!$A$3:$A$143,$B29,Journal!$F$3:$F$143,AI$3)=0,"",SUMIFS(Journal!$D$3:$D$143,Journal!$A$3:$A$143,$B29,Journal!$F$3:$F$143,AI$3))</f>
        <v/>
      </c>
      <c r="AK29" s="86" t="str">
        <f>IF(SUMIFS(Journal!$D$3:$D$143,Journal!$A$3:$A$143,$B29,Journal!$E$3:$E$143,AK$3)=0,"",SUMIFS(Journal!$D$3:$D$143,Journal!$A$3:$A$143,$B29,Journal!$E$3:$E$143,AK$3))</f>
        <v/>
      </c>
      <c r="AL29" s="86" t="str">
        <f>IF(SUMIFS(Journal!$D$3:$D$143,Journal!$A$3:$A$143,$B29,Journal!$F$3:$F$143,AK$3)=0,"",SUMIFS(Journal!$D$3:$D$143,Journal!$A$3:$A$143,$B29,Journal!$F$3:$F$143,AK$3))</f>
        <v/>
      </c>
      <c r="AM29" s="86" t="str">
        <f>IF(SUMIFS(Journal!$D$3:$D$143,Journal!$A$3:$A$143,$B29,Journal!$E$3:$E$143,AM$3)=0,"",SUMIFS(Journal!$D$3:$D$143,Journal!$A$3:$A$143,$B29,Journal!$E$3:$E$143,AM$3))</f>
        <v/>
      </c>
      <c r="AN29" s="86" t="str">
        <f>IF(SUMIFS(Journal!$D$3:$D$143,Journal!$A$3:$A$143,$B29,Journal!$F$3:$F$143,AM$3)=0,"",SUMIFS(Journal!$D$3:$D$143,Journal!$A$3:$A$143,$B29,Journal!$F$3:$F$143,AM$3))</f>
        <v/>
      </c>
      <c r="AO29" s="86" t="str">
        <f>IF(SUMIFS(Journal!$D$3:$D$143,Journal!$A$3:$A$143,$B29,Journal!$E$3:$E$143,AO$3)=0,"",SUMIFS(Journal!$D$3:$D$143,Journal!$A$3:$A$143,$B29,Journal!$E$3:$E$143,AO$3))</f>
        <v/>
      </c>
      <c r="AP29" s="86" t="str">
        <f>IF(SUMIFS(Journal!$D$3:$D$143,Journal!$A$3:$A$143,$B29,Journal!$F$3:$F$143,AO$3)=0,"",SUMIFS(Journal!$D$3:$D$143,Journal!$A$3:$A$143,$B29,Journal!$F$3:$F$143,AO$3))</f>
        <v/>
      </c>
      <c r="AQ29" s="86" t="str">
        <f>IF(SUMIFS(Journal!$D$3:$D$143,Journal!$A$3:$A$143,$B29,Journal!$E$3:$E$143,AQ$3)=0,"",SUMIFS(Journal!$D$3:$D$143,Journal!$A$3:$A$143,$B29,Journal!$E$3:$E$143,AQ$3))</f>
        <v/>
      </c>
      <c r="AR29" s="86" t="str">
        <f>IF(SUMIFS(Journal!$D$3:$D$143,Journal!$A$3:$A$143,$B29,Journal!$F$3:$F$143,AQ$3)=0,"",SUMIFS(Journal!$D$3:$D$143,Journal!$A$3:$A$143,$B29,Journal!$F$3:$F$143,AQ$3))</f>
        <v/>
      </c>
      <c r="AS29" s="86" t="str">
        <f>IF(SUMIFS(Journal!$D$3:$D$143,Journal!$A$3:$A$143,$B29,Journal!$E$3:$E$143,AS$3)=0,"",SUMIFS(Journal!$D$3:$D$143,Journal!$A$3:$A$143,$B29,Journal!$E$3:$E$143,AS$3))</f>
        <v/>
      </c>
      <c r="AT29" s="86" t="str">
        <f>IF(SUMIFS(Journal!$D$3:$D$143,Journal!$A$3:$A$143,$B29,Journal!$F$3:$F$143,AS$3)=0,"",SUMIFS(Journal!$D$3:$D$143,Journal!$A$3:$A$143,$B29,Journal!$F$3:$F$143,AS$3))</f>
        <v/>
      </c>
      <c r="AU29" s="86" t="str">
        <f>IF(SUMIFS(Journal!$D$3:$D$143,Journal!$A$3:$A$143,$B29,Journal!$E$3:$E$143,AU$3)=0,"",SUMIFS(Journal!$D$3:$D$143,Journal!$A$3:$A$143,$B29,Journal!$E$3:$E$143,AU$3))</f>
        <v/>
      </c>
      <c r="AV29" s="86" t="str">
        <f>IF(SUMIFS(Journal!$D$3:$D$143,Journal!$A$3:$A$143,$B29,Journal!$F$3:$F$143,AU$3)=0,"",SUMIFS(Journal!$D$3:$D$143,Journal!$A$3:$A$143,$B29,Journal!$F$3:$F$143,AU$3))</f>
        <v/>
      </c>
      <c r="AW29" s="86" t="str">
        <f>IF(SUMIFS(Journal!$D$3:$D$143,Journal!$A$3:$A$143,$B29,Journal!$E$3:$E$143,AW$3)=0,"",SUMIFS(Journal!$D$3:$D$143,Journal!$A$3:$A$143,$B29,Journal!$E$3:$E$143,AW$3))</f>
        <v/>
      </c>
      <c r="AX29" s="86" t="str">
        <f>IF(SUMIFS(Journal!$D$3:$D$143,Journal!$A$3:$A$143,$B29,Journal!$F$3:$F$143,AW$3)=0,"",SUMIFS(Journal!$D$3:$D$143,Journal!$A$3:$A$143,$B29,Journal!$F$3:$F$143,AW$3))</f>
        <v/>
      </c>
      <c r="AY29" s="86" t="str">
        <f>IF(SUMIFS(Journal!$D$3:$D$143,Journal!$A$3:$A$143,$B29,Journal!$E$3:$E$143,AY$3)=0,"",SUMIFS(Journal!$D$3:$D$143,Journal!$A$3:$A$143,$B29,Journal!$E$3:$E$143,AY$3))</f>
        <v/>
      </c>
      <c r="AZ29" s="86" t="str">
        <f>IF(SUMIFS(Journal!$D$3:$D$143,Journal!$A$3:$A$143,$B29,Journal!$F$3:$F$143,AY$3)=0,"",SUMIFS(Journal!$D$3:$D$143,Journal!$A$3:$A$143,$B29,Journal!$F$3:$F$143,AY$3))</f>
        <v/>
      </c>
      <c r="BA29" s="86" t="str">
        <f>IF(SUMIFS(Journal!$D$3:$D$143,Journal!$A$3:$A$143,$B29,Journal!$E$3:$E$143,BA$3)=0,"",SUMIFS(Journal!$D$3:$D$143,Journal!$A$3:$A$143,$B29,Journal!$E$3:$E$143,BA$3))</f>
        <v/>
      </c>
      <c r="BB29" s="86" t="str">
        <f>IF(SUMIFS(Journal!$D$3:$D$143,Journal!$A$3:$A$143,$B29,Journal!$F$3:$F$143,BA$3)=0,"",SUMIFS(Journal!$D$3:$D$143,Journal!$A$3:$A$143,$B29,Journal!$F$3:$F$143,BA$3))</f>
        <v/>
      </c>
    </row>
    <row r="30">
      <c r="A30" s="84">
        <f>VLOOKUP(B30,Journal!$A$3:$C$143,2,FALSE)</f>
        <v>45351</v>
      </c>
      <c r="B30" s="85" t="s">
        <v>270</v>
      </c>
      <c r="C30" s="86" t="str">
        <f>VLOOKUP(B30,Journal!$A$3:$C$143,3,FALSE)</f>
        <v>Monthly utility settlement</v>
      </c>
      <c r="D30" s="86">
        <f>SUMIF(Journal!$A$3:$A$143,B30,Journal!$D$3:$D$143)</f>
        <v>754</v>
      </c>
      <c r="E30" s="86" t="str">
        <f>IF(SUMIFS(Journal!$D$3:$D$143,Journal!$A$3:$A$143,$B30,Journal!$E$3:$E$143,E$3)=0,"",SUMIFS(Journal!$D$3:$D$143,Journal!$A$3:$A$143,$B30,Journal!$E$3:$E$143,E$3))</f>
        <v/>
      </c>
      <c r="F30" s="86">
        <f>IF(SUMIFS(Journal!$D$3:$D$143,Journal!$A$3:$A$143,$B30,Journal!$F$3:$F$143,E$3)=0,"",SUMIFS(Journal!$D$3:$D$143,Journal!$A$3:$A$143,$B30,Journal!$F$3:$F$143,E$3))</f>
        <v>754</v>
      </c>
      <c r="G30" s="86" t="str">
        <f>IF(SUMIFS(Journal!$D$3:$D$143,Journal!$A$3:$A$143,$B30,Journal!$E$3:$E$143,G$3)=0,"",SUMIFS(Journal!$D$3:$D$143,Journal!$A$3:$A$143,$B30,Journal!$E$3:$E$143,G$3))</f>
        <v/>
      </c>
      <c r="H30" s="86" t="str">
        <f>IF(SUMIFS(Journal!$D$3:$D$143,Journal!$A$3:$A$143,$B30,Journal!$F$3:$F$143,G$3)=0,"",SUMIFS(Journal!$D$3:$D$143,Journal!$A$3:$A$143,$B30,Journal!$F$3:$F$143,G$3))</f>
        <v/>
      </c>
      <c r="I30" s="86" t="str">
        <f>IF(SUMIFS(Journal!$D$3:$D$143,Journal!$A$3:$A$143,$B30,Journal!$E$3:$E$143,I$3)=0,"",SUMIFS(Journal!$D$3:$D$143,Journal!$A$3:$A$143,$B30,Journal!$E$3:$E$143,I$3))</f>
        <v/>
      </c>
      <c r="J30" s="86" t="str">
        <f>IF(SUMIFS(Journal!$D$3:$D$143,Journal!$A$3:$A$143,$B30,Journal!$F$3:$F$143,I$3)=0,"",SUMIFS(Journal!$D$3:$D$143,Journal!$A$3:$A$143,$B30,Journal!$F$3:$F$143,I$3))</f>
        <v/>
      </c>
      <c r="K30" s="86" t="str">
        <f>IF(SUMIFS(Journal!$D$3:$D$143,Journal!$A$3:$A$143,$B30,Journal!$E$3:$E$143,K$3)=0,"",SUMIFS(Journal!$D$3:$D$143,Journal!$A$3:$A$143,$B30,Journal!$E$3:$E$143,K$3))</f>
        <v/>
      </c>
      <c r="L30" s="86" t="str">
        <f>IF(SUMIFS(Journal!$D$3:$D$143,Journal!$A$3:$A$143,$B30,Journal!$F$3:$F$143,K$3)=0,"",SUMIFS(Journal!$D$3:$D$143,Journal!$A$3:$A$143,$B30,Journal!$F$3:$F$143,K$3))</f>
        <v/>
      </c>
      <c r="M30" s="86" t="str">
        <f>IF(SUMIFS(Journal!$D$3:$D$143,Journal!$A$3:$A$143,$B30,Journal!$E$3:$E$143,M$3)=0,"",SUMIFS(Journal!$D$3:$D$143,Journal!$A$3:$A$143,$B30,Journal!$E$3:$E$143,M$3))</f>
        <v/>
      </c>
      <c r="N30" s="86" t="str">
        <f>IF(SUMIFS(Journal!$D$3:$D$143,Journal!$A$3:$A$143,$B30,Journal!$F$3:$F$143,M$3)=0,"",SUMIFS(Journal!$D$3:$D$143,Journal!$A$3:$A$143,$B30,Journal!$F$3:$F$143,M$3))</f>
        <v/>
      </c>
      <c r="O30" s="86" t="str">
        <f>IF(SUMIFS(Journal!$D$3:$D$143,Journal!$A$3:$A$143,$B30,Journal!$E$3:$E$143,O$3)=0,"",SUMIFS(Journal!$D$3:$D$143,Journal!$A$3:$A$143,$B30,Journal!$E$3:$E$143,O$3))</f>
        <v/>
      </c>
      <c r="P30" s="86" t="str">
        <f>IF(SUMIFS(Journal!$D$3:$D$143,Journal!$A$3:$A$143,$B30,Journal!$F$3:$F$143,O$3)=0,"",SUMIFS(Journal!$D$3:$D$143,Journal!$A$3:$A$143,$B30,Journal!$F$3:$F$143,O$3))</f>
        <v/>
      </c>
      <c r="Q30" s="86" t="str">
        <f>IF(SUMIFS(Journal!$D$3:$D$143,Journal!$A$3:$A$143,$B30,Journal!$E$3:$E$143,Q$3)=0,"",SUMIFS(Journal!$D$3:$D$143,Journal!$A$3:$A$143,$B30,Journal!$E$3:$E$143,Q$3))</f>
        <v/>
      </c>
      <c r="R30" s="86" t="str">
        <f>IF(SUMIFS(Journal!$D$3:$D$143,Journal!$A$3:$A$143,$B30,Journal!$F$3:$F$143,Q$3)=0,"",SUMIFS(Journal!$D$3:$D$143,Journal!$A$3:$A$143,$B30,Journal!$F$3:$F$143,Q$3))</f>
        <v/>
      </c>
      <c r="S30" s="86" t="str">
        <f>IF(SUMIFS(Journal!$D$3:$D$143,Journal!$A$3:$A$143,$B30,Journal!$E$3:$E$143,S$3)=0,"",SUMIFS(Journal!$D$3:$D$143,Journal!$A$3:$A$143,$B30,Journal!$E$3:$E$143,S$3))</f>
        <v/>
      </c>
      <c r="T30" s="86" t="str">
        <f>IF(SUMIFS(Journal!$D$3:$D$143,Journal!$A$3:$A$143,$B30,Journal!$F$3:$F$143,S$3)=0,"",SUMIFS(Journal!$D$3:$D$143,Journal!$A$3:$A$143,$B30,Journal!$F$3:$F$143,S$3))</f>
        <v/>
      </c>
      <c r="U30" s="86" t="str">
        <f>IF(SUMIFS(Journal!$D$3:$D$143,Journal!$A$3:$A$143,$B30,Journal!$E$3:$E$143,U$3)=0,"",SUMIFS(Journal!$D$3:$D$143,Journal!$A$3:$A$143,$B30,Journal!$E$3:$E$143,U$3))</f>
        <v/>
      </c>
      <c r="V30" s="86" t="str">
        <f>IF(SUMIFS(Journal!$D$3:$D$143,Journal!$A$3:$A$143,$B30,Journal!$F$3:$F$143,U$3)=0,"",SUMIFS(Journal!$D$3:$D$143,Journal!$A$3:$A$143,$B30,Journal!$F$3:$F$143,U$3))</f>
        <v/>
      </c>
      <c r="W30" s="86" t="str">
        <f>IF(SUMIFS(Journal!$D$3:$D$143,Journal!$A$3:$A$143,$B30,Journal!$E$3:$E$143,W$3)=0,"",SUMIFS(Journal!$D$3:$D$143,Journal!$A$3:$A$143,$B30,Journal!$E$3:$E$143,W$3))</f>
        <v/>
      </c>
      <c r="X30" s="86" t="str">
        <f>IF(SUMIFS(Journal!$D$3:$D$143,Journal!$A$3:$A$143,$B30,Journal!$F$3:$F$143,W$3)=0,"",SUMIFS(Journal!$D$3:$D$143,Journal!$A$3:$A$143,$B30,Journal!$F$3:$F$143,W$3))</f>
        <v/>
      </c>
      <c r="Y30" s="86" t="str">
        <f>IF(SUMIFS(Journal!$D$3:$D$143,Journal!$A$3:$A$143,$B30,Journal!$E$3:$E$143,Y$3)=0,"",SUMIFS(Journal!$D$3:$D$143,Journal!$A$3:$A$143,$B30,Journal!$E$3:$E$143,Y$3))</f>
        <v/>
      </c>
      <c r="Z30" s="86" t="str">
        <f>IF(SUMIFS(Journal!$D$3:$D$143,Journal!$A$3:$A$143,$B30,Journal!$F$3:$F$143,Y$3)=0,"",SUMIFS(Journal!$D$3:$D$143,Journal!$A$3:$A$143,$B30,Journal!$F$3:$F$143,Y$3))</f>
        <v/>
      </c>
      <c r="AA30" s="86" t="str">
        <f>IF(SUMIFS(Journal!$D$3:$D$143,Journal!$A$3:$A$143,$B30,Journal!$E$3:$E$143,AA$3)=0,"",SUMIFS(Journal!$D$3:$D$143,Journal!$A$3:$A$143,$B30,Journal!$E$3:$E$143,AA$3))</f>
        <v/>
      </c>
      <c r="AB30" s="86" t="str">
        <f>IF(SUMIFS(Journal!$D$3:$D$143,Journal!$A$3:$A$143,$B30,Journal!$F$3:$F$143,AA$3)=0,"",SUMIFS(Journal!$D$3:$D$143,Journal!$A$3:$A$143,$B30,Journal!$F$3:$F$143,AA$3))</f>
        <v/>
      </c>
      <c r="AC30" s="86" t="str">
        <f>IF(SUMIFS(Journal!$D$3:$D$143,Journal!$A$3:$A$143,$B30,Journal!$E$3:$E$143,AC$3)=0,"",SUMIFS(Journal!$D$3:$D$143,Journal!$A$3:$A$143,$B30,Journal!$E$3:$E$143,AC$3))</f>
        <v/>
      </c>
      <c r="AD30" s="86" t="str">
        <f>IF(SUMIFS(Journal!$D$3:$D$143,Journal!$A$3:$A$143,$B30,Journal!$F$3:$F$143,AC$3)=0,"",SUMIFS(Journal!$D$3:$D$143,Journal!$A$3:$A$143,$B30,Journal!$F$3:$F$143,AC$3))</f>
        <v/>
      </c>
      <c r="AE30" s="86" t="str">
        <f>IF(SUMIFS(Journal!$D$3:$D$143,Journal!$A$3:$A$143,$B30,Journal!$E$3:$E$143,AE$3)=0,"",SUMIFS(Journal!$D$3:$D$143,Journal!$A$3:$A$143,$B30,Journal!$E$3:$E$143,AE$3))</f>
        <v/>
      </c>
      <c r="AF30" s="86" t="str">
        <f>IF(SUMIFS(Journal!$D$3:$D$143,Journal!$A$3:$A$143,$B30,Journal!$F$3:$F$143,AE$3)=0,"",SUMIFS(Journal!$D$3:$D$143,Journal!$A$3:$A$143,$B30,Journal!$F$3:$F$143,AE$3))</f>
        <v/>
      </c>
      <c r="AG30" s="86" t="str">
        <f>IF(SUMIFS(Journal!$D$3:$D$143,Journal!$A$3:$A$143,$B30,Journal!$E$3:$E$143,AG$3)=0,"",SUMIFS(Journal!$D$3:$D$143,Journal!$A$3:$A$143,$B30,Journal!$E$3:$E$143,AG$3))</f>
        <v/>
      </c>
      <c r="AH30" s="86" t="str">
        <f>IF(SUMIFS(Journal!$D$3:$D$143,Journal!$A$3:$A$143,$B30,Journal!$F$3:$F$143,AG$3)=0,"",SUMIFS(Journal!$D$3:$D$143,Journal!$A$3:$A$143,$B30,Journal!$F$3:$F$143,AG$3))</f>
        <v/>
      </c>
      <c r="AI30" s="86" t="str">
        <f>IF(SUMIFS(Journal!$D$3:$D$143,Journal!$A$3:$A$143,$B30,Journal!$E$3:$E$143,AI$3)=0,"",SUMIFS(Journal!$D$3:$D$143,Journal!$A$3:$A$143,$B30,Journal!$E$3:$E$143,AI$3))</f>
        <v/>
      </c>
      <c r="AJ30" s="86" t="str">
        <f>IF(SUMIFS(Journal!$D$3:$D$143,Journal!$A$3:$A$143,$B30,Journal!$F$3:$F$143,AI$3)=0,"",SUMIFS(Journal!$D$3:$D$143,Journal!$A$3:$A$143,$B30,Journal!$F$3:$F$143,AI$3))</f>
        <v/>
      </c>
      <c r="AK30" s="86" t="str">
        <f>IF(SUMIFS(Journal!$D$3:$D$143,Journal!$A$3:$A$143,$B30,Journal!$E$3:$E$143,AK$3)=0,"",SUMIFS(Journal!$D$3:$D$143,Journal!$A$3:$A$143,$B30,Journal!$E$3:$E$143,AK$3))</f>
        <v/>
      </c>
      <c r="AL30" s="86" t="str">
        <f>IF(SUMIFS(Journal!$D$3:$D$143,Journal!$A$3:$A$143,$B30,Journal!$F$3:$F$143,AK$3)=0,"",SUMIFS(Journal!$D$3:$D$143,Journal!$A$3:$A$143,$B30,Journal!$F$3:$F$143,AK$3))</f>
        <v/>
      </c>
      <c r="AM30" s="86">
        <f>IF(SUMIFS(Journal!$D$3:$D$143,Journal!$A$3:$A$143,$B30,Journal!$E$3:$E$143,AM$3)=0,"",SUMIFS(Journal!$D$3:$D$143,Journal!$A$3:$A$143,$B30,Journal!$E$3:$E$143,AM$3))</f>
        <v>754</v>
      </c>
      <c r="AN30" s="86" t="str">
        <f>IF(SUMIFS(Journal!$D$3:$D$143,Journal!$A$3:$A$143,$B30,Journal!$F$3:$F$143,AM$3)=0,"",SUMIFS(Journal!$D$3:$D$143,Journal!$A$3:$A$143,$B30,Journal!$F$3:$F$143,AM$3))</f>
        <v/>
      </c>
      <c r="AO30" s="86" t="str">
        <f>IF(SUMIFS(Journal!$D$3:$D$143,Journal!$A$3:$A$143,$B30,Journal!$E$3:$E$143,AO$3)=0,"",SUMIFS(Journal!$D$3:$D$143,Journal!$A$3:$A$143,$B30,Journal!$E$3:$E$143,AO$3))</f>
        <v/>
      </c>
      <c r="AP30" s="86" t="str">
        <f>IF(SUMIFS(Journal!$D$3:$D$143,Journal!$A$3:$A$143,$B30,Journal!$F$3:$F$143,AO$3)=0,"",SUMIFS(Journal!$D$3:$D$143,Journal!$A$3:$A$143,$B30,Journal!$F$3:$F$143,AO$3))</f>
        <v/>
      </c>
      <c r="AQ30" s="86" t="str">
        <f>IF(SUMIFS(Journal!$D$3:$D$143,Journal!$A$3:$A$143,$B30,Journal!$E$3:$E$143,AQ$3)=0,"",SUMIFS(Journal!$D$3:$D$143,Journal!$A$3:$A$143,$B30,Journal!$E$3:$E$143,AQ$3))</f>
        <v/>
      </c>
      <c r="AR30" s="86" t="str">
        <f>IF(SUMIFS(Journal!$D$3:$D$143,Journal!$A$3:$A$143,$B30,Journal!$F$3:$F$143,AQ$3)=0,"",SUMIFS(Journal!$D$3:$D$143,Journal!$A$3:$A$143,$B30,Journal!$F$3:$F$143,AQ$3))</f>
        <v/>
      </c>
      <c r="AS30" s="86" t="str">
        <f>IF(SUMIFS(Journal!$D$3:$D$143,Journal!$A$3:$A$143,$B30,Journal!$E$3:$E$143,AS$3)=0,"",SUMIFS(Journal!$D$3:$D$143,Journal!$A$3:$A$143,$B30,Journal!$E$3:$E$143,AS$3))</f>
        <v/>
      </c>
      <c r="AT30" s="86" t="str">
        <f>IF(SUMIFS(Journal!$D$3:$D$143,Journal!$A$3:$A$143,$B30,Journal!$F$3:$F$143,AS$3)=0,"",SUMIFS(Journal!$D$3:$D$143,Journal!$A$3:$A$143,$B30,Journal!$F$3:$F$143,AS$3))</f>
        <v/>
      </c>
      <c r="AU30" s="86" t="str">
        <f>IF(SUMIFS(Journal!$D$3:$D$143,Journal!$A$3:$A$143,$B30,Journal!$E$3:$E$143,AU$3)=0,"",SUMIFS(Journal!$D$3:$D$143,Journal!$A$3:$A$143,$B30,Journal!$E$3:$E$143,AU$3))</f>
        <v/>
      </c>
      <c r="AV30" s="86" t="str">
        <f>IF(SUMIFS(Journal!$D$3:$D$143,Journal!$A$3:$A$143,$B30,Journal!$F$3:$F$143,AU$3)=0,"",SUMIFS(Journal!$D$3:$D$143,Journal!$A$3:$A$143,$B30,Journal!$F$3:$F$143,AU$3))</f>
        <v/>
      </c>
      <c r="AW30" s="86" t="str">
        <f>IF(SUMIFS(Journal!$D$3:$D$143,Journal!$A$3:$A$143,$B30,Journal!$E$3:$E$143,AW$3)=0,"",SUMIFS(Journal!$D$3:$D$143,Journal!$A$3:$A$143,$B30,Journal!$E$3:$E$143,AW$3))</f>
        <v/>
      </c>
      <c r="AX30" s="86" t="str">
        <f>IF(SUMIFS(Journal!$D$3:$D$143,Journal!$A$3:$A$143,$B30,Journal!$F$3:$F$143,AW$3)=0,"",SUMIFS(Journal!$D$3:$D$143,Journal!$A$3:$A$143,$B30,Journal!$F$3:$F$143,AW$3))</f>
        <v/>
      </c>
      <c r="AY30" s="86" t="str">
        <f>IF(SUMIFS(Journal!$D$3:$D$143,Journal!$A$3:$A$143,$B30,Journal!$E$3:$E$143,AY$3)=0,"",SUMIFS(Journal!$D$3:$D$143,Journal!$A$3:$A$143,$B30,Journal!$E$3:$E$143,AY$3))</f>
        <v/>
      </c>
      <c r="AZ30" s="86" t="str">
        <f>IF(SUMIFS(Journal!$D$3:$D$143,Journal!$A$3:$A$143,$B30,Journal!$F$3:$F$143,AY$3)=0,"",SUMIFS(Journal!$D$3:$D$143,Journal!$A$3:$A$143,$B30,Journal!$F$3:$F$143,AY$3))</f>
        <v/>
      </c>
      <c r="BA30" s="86" t="str">
        <f>IF(SUMIFS(Journal!$D$3:$D$143,Journal!$A$3:$A$143,$B30,Journal!$E$3:$E$143,BA$3)=0,"",SUMIFS(Journal!$D$3:$D$143,Journal!$A$3:$A$143,$B30,Journal!$E$3:$E$143,BA$3))</f>
        <v/>
      </c>
      <c r="BB30" s="86" t="str">
        <f>IF(SUMIFS(Journal!$D$3:$D$143,Journal!$A$3:$A$143,$B30,Journal!$F$3:$F$143,BA$3)=0,"",SUMIFS(Journal!$D$3:$D$143,Journal!$A$3:$A$143,$B30,Journal!$F$3:$F$143,BA$3))</f>
        <v/>
      </c>
    </row>
    <row r="31">
      <c r="A31" s="84">
        <f>VLOOKUP(B31,Journal!$A$3:$C$143,2,FALSE)</f>
        <v>45352</v>
      </c>
      <c r="B31" s="85" t="s">
        <v>274</v>
      </c>
      <c r="C31" s="86" t="str">
        <f>VLOOKUP(B31,Journal!$A$3:$C$143,3,FALSE)</f>
        <v>Monthly facility rent</v>
      </c>
      <c r="D31" s="86">
        <f>SUMIF(Journal!$A$3:$A$143,B31,Journal!$D$3:$D$143)</f>
        <v>5400</v>
      </c>
      <c r="E31" s="86" t="str">
        <f>IF(SUMIFS(Journal!$D$3:$D$143,Journal!$A$3:$A$143,$B31,Journal!$E$3:$E$143,E$3)=0,"",SUMIFS(Journal!$D$3:$D$143,Journal!$A$3:$A$143,$B31,Journal!$E$3:$E$143,E$3))</f>
        <v/>
      </c>
      <c r="F31" s="86">
        <f>IF(SUMIFS(Journal!$D$3:$D$143,Journal!$A$3:$A$143,$B31,Journal!$F$3:$F$143,E$3)=0,"",SUMIFS(Journal!$D$3:$D$143,Journal!$A$3:$A$143,$B31,Journal!$F$3:$F$143,E$3))</f>
        <v>5400</v>
      </c>
      <c r="G31" s="86" t="str">
        <f>IF(SUMIFS(Journal!$D$3:$D$143,Journal!$A$3:$A$143,$B31,Journal!$E$3:$E$143,G$3)=0,"",SUMIFS(Journal!$D$3:$D$143,Journal!$A$3:$A$143,$B31,Journal!$E$3:$E$143,G$3))</f>
        <v/>
      </c>
      <c r="H31" s="86" t="str">
        <f>IF(SUMIFS(Journal!$D$3:$D$143,Journal!$A$3:$A$143,$B31,Journal!$F$3:$F$143,G$3)=0,"",SUMIFS(Journal!$D$3:$D$143,Journal!$A$3:$A$143,$B31,Journal!$F$3:$F$143,G$3))</f>
        <v/>
      </c>
      <c r="I31" s="86" t="str">
        <f>IF(SUMIFS(Journal!$D$3:$D$143,Journal!$A$3:$A$143,$B31,Journal!$E$3:$E$143,I$3)=0,"",SUMIFS(Journal!$D$3:$D$143,Journal!$A$3:$A$143,$B31,Journal!$E$3:$E$143,I$3))</f>
        <v/>
      </c>
      <c r="J31" s="86" t="str">
        <f>IF(SUMIFS(Journal!$D$3:$D$143,Journal!$A$3:$A$143,$B31,Journal!$F$3:$F$143,I$3)=0,"",SUMIFS(Journal!$D$3:$D$143,Journal!$A$3:$A$143,$B31,Journal!$F$3:$F$143,I$3))</f>
        <v/>
      </c>
      <c r="K31" s="86" t="str">
        <f>IF(SUMIFS(Journal!$D$3:$D$143,Journal!$A$3:$A$143,$B31,Journal!$E$3:$E$143,K$3)=0,"",SUMIFS(Journal!$D$3:$D$143,Journal!$A$3:$A$143,$B31,Journal!$E$3:$E$143,K$3))</f>
        <v/>
      </c>
      <c r="L31" s="86" t="str">
        <f>IF(SUMIFS(Journal!$D$3:$D$143,Journal!$A$3:$A$143,$B31,Journal!$F$3:$F$143,K$3)=0,"",SUMIFS(Journal!$D$3:$D$143,Journal!$A$3:$A$143,$B31,Journal!$F$3:$F$143,K$3))</f>
        <v/>
      </c>
      <c r="M31" s="86" t="str">
        <f>IF(SUMIFS(Journal!$D$3:$D$143,Journal!$A$3:$A$143,$B31,Journal!$E$3:$E$143,M$3)=0,"",SUMIFS(Journal!$D$3:$D$143,Journal!$A$3:$A$143,$B31,Journal!$E$3:$E$143,M$3))</f>
        <v/>
      </c>
      <c r="N31" s="86" t="str">
        <f>IF(SUMIFS(Journal!$D$3:$D$143,Journal!$A$3:$A$143,$B31,Journal!$F$3:$F$143,M$3)=0,"",SUMIFS(Journal!$D$3:$D$143,Journal!$A$3:$A$143,$B31,Journal!$F$3:$F$143,M$3))</f>
        <v/>
      </c>
      <c r="O31" s="86" t="str">
        <f>IF(SUMIFS(Journal!$D$3:$D$143,Journal!$A$3:$A$143,$B31,Journal!$E$3:$E$143,O$3)=0,"",SUMIFS(Journal!$D$3:$D$143,Journal!$A$3:$A$143,$B31,Journal!$E$3:$E$143,O$3))</f>
        <v/>
      </c>
      <c r="P31" s="86" t="str">
        <f>IF(SUMIFS(Journal!$D$3:$D$143,Journal!$A$3:$A$143,$B31,Journal!$F$3:$F$143,O$3)=0,"",SUMIFS(Journal!$D$3:$D$143,Journal!$A$3:$A$143,$B31,Journal!$F$3:$F$143,O$3))</f>
        <v/>
      </c>
      <c r="Q31" s="86" t="str">
        <f>IF(SUMIFS(Journal!$D$3:$D$143,Journal!$A$3:$A$143,$B31,Journal!$E$3:$E$143,Q$3)=0,"",SUMIFS(Journal!$D$3:$D$143,Journal!$A$3:$A$143,$B31,Journal!$E$3:$E$143,Q$3))</f>
        <v/>
      </c>
      <c r="R31" s="86" t="str">
        <f>IF(SUMIFS(Journal!$D$3:$D$143,Journal!$A$3:$A$143,$B31,Journal!$F$3:$F$143,Q$3)=0,"",SUMIFS(Journal!$D$3:$D$143,Journal!$A$3:$A$143,$B31,Journal!$F$3:$F$143,Q$3))</f>
        <v/>
      </c>
      <c r="S31" s="86" t="str">
        <f>IF(SUMIFS(Journal!$D$3:$D$143,Journal!$A$3:$A$143,$B31,Journal!$E$3:$E$143,S$3)=0,"",SUMIFS(Journal!$D$3:$D$143,Journal!$A$3:$A$143,$B31,Journal!$E$3:$E$143,S$3))</f>
        <v/>
      </c>
      <c r="T31" s="86" t="str">
        <f>IF(SUMIFS(Journal!$D$3:$D$143,Journal!$A$3:$A$143,$B31,Journal!$F$3:$F$143,S$3)=0,"",SUMIFS(Journal!$D$3:$D$143,Journal!$A$3:$A$143,$B31,Journal!$F$3:$F$143,S$3))</f>
        <v/>
      </c>
      <c r="U31" s="86" t="str">
        <f>IF(SUMIFS(Journal!$D$3:$D$143,Journal!$A$3:$A$143,$B31,Journal!$E$3:$E$143,U$3)=0,"",SUMIFS(Journal!$D$3:$D$143,Journal!$A$3:$A$143,$B31,Journal!$E$3:$E$143,U$3))</f>
        <v/>
      </c>
      <c r="V31" s="86" t="str">
        <f>IF(SUMIFS(Journal!$D$3:$D$143,Journal!$A$3:$A$143,$B31,Journal!$F$3:$F$143,U$3)=0,"",SUMIFS(Journal!$D$3:$D$143,Journal!$A$3:$A$143,$B31,Journal!$F$3:$F$143,U$3))</f>
        <v/>
      </c>
      <c r="W31" s="86" t="str">
        <f>IF(SUMIFS(Journal!$D$3:$D$143,Journal!$A$3:$A$143,$B31,Journal!$E$3:$E$143,W$3)=0,"",SUMIFS(Journal!$D$3:$D$143,Journal!$A$3:$A$143,$B31,Journal!$E$3:$E$143,W$3))</f>
        <v/>
      </c>
      <c r="X31" s="86" t="str">
        <f>IF(SUMIFS(Journal!$D$3:$D$143,Journal!$A$3:$A$143,$B31,Journal!$F$3:$F$143,W$3)=0,"",SUMIFS(Journal!$D$3:$D$143,Journal!$A$3:$A$143,$B31,Journal!$F$3:$F$143,W$3))</f>
        <v/>
      </c>
      <c r="Y31" s="86" t="str">
        <f>IF(SUMIFS(Journal!$D$3:$D$143,Journal!$A$3:$A$143,$B31,Journal!$E$3:$E$143,Y$3)=0,"",SUMIFS(Journal!$D$3:$D$143,Journal!$A$3:$A$143,$B31,Journal!$E$3:$E$143,Y$3))</f>
        <v/>
      </c>
      <c r="Z31" s="86" t="str">
        <f>IF(SUMIFS(Journal!$D$3:$D$143,Journal!$A$3:$A$143,$B31,Journal!$F$3:$F$143,Y$3)=0,"",SUMIFS(Journal!$D$3:$D$143,Journal!$A$3:$A$143,$B31,Journal!$F$3:$F$143,Y$3))</f>
        <v/>
      </c>
      <c r="AA31" s="86" t="str">
        <f>IF(SUMIFS(Journal!$D$3:$D$143,Journal!$A$3:$A$143,$B31,Journal!$E$3:$E$143,AA$3)=0,"",SUMIFS(Journal!$D$3:$D$143,Journal!$A$3:$A$143,$B31,Journal!$E$3:$E$143,AA$3))</f>
        <v/>
      </c>
      <c r="AB31" s="86" t="str">
        <f>IF(SUMIFS(Journal!$D$3:$D$143,Journal!$A$3:$A$143,$B31,Journal!$F$3:$F$143,AA$3)=0,"",SUMIFS(Journal!$D$3:$D$143,Journal!$A$3:$A$143,$B31,Journal!$F$3:$F$143,AA$3))</f>
        <v/>
      </c>
      <c r="AC31" s="86" t="str">
        <f>IF(SUMIFS(Journal!$D$3:$D$143,Journal!$A$3:$A$143,$B31,Journal!$E$3:$E$143,AC$3)=0,"",SUMIFS(Journal!$D$3:$D$143,Journal!$A$3:$A$143,$B31,Journal!$E$3:$E$143,AC$3))</f>
        <v/>
      </c>
      <c r="AD31" s="86" t="str">
        <f>IF(SUMIFS(Journal!$D$3:$D$143,Journal!$A$3:$A$143,$B31,Journal!$F$3:$F$143,AC$3)=0,"",SUMIFS(Journal!$D$3:$D$143,Journal!$A$3:$A$143,$B31,Journal!$F$3:$F$143,AC$3))</f>
        <v/>
      </c>
      <c r="AE31" s="86" t="str">
        <f>IF(SUMIFS(Journal!$D$3:$D$143,Journal!$A$3:$A$143,$B31,Journal!$E$3:$E$143,AE$3)=0,"",SUMIFS(Journal!$D$3:$D$143,Journal!$A$3:$A$143,$B31,Journal!$E$3:$E$143,AE$3))</f>
        <v/>
      </c>
      <c r="AF31" s="86" t="str">
        <f>IF(SUMIFS(Journal!$D$3:$D$143,Journal!$A$3:$A$143,$B31,Journal!$F$3:$F$143,AE$3)=0,"",SUMIFS(Journal!$D$3:$D$143,Journal!$A$3:$A$143,$B31,Journal!$F$3:$F$143,AE$3))</f>
        <v/>
      </c>
      <c r="AG31" s="86" t="str">
        <f>IF(SUMIFS(Journal!$D$3:$D$143,Journal!$A$3:$A$143,$B31,Journal!$E$3:$E$143,AG$3)=0,"",SUMIFS(Journal!$D$3:$D$143,Journal!$A$3:$A$143,$B31,Journal!$E$3:$E$143,AG$3))</f>
        <v/>
      </c>
      <c r="AH31" s="86" t="str">
        <f>IF(SUMIFS(Journal!$D$3:$D$143,Journal!$A$3:$A$143,$B31,Journal!$F$3:$F$143,AG$3)=0,"",SUMIFS(Journal!$D$3:$D$143,Journal!$A$3:$A$143,$B31,Journal!$F$3:$F$143,AG$3))</f>
        <v/>
      </c>
      <c r="AI31" s="86">
        <f>IF(SUMIFS(Journal!$D$3:$D$143,Journal!$A$3:$A$143,$B31,Journal!$E$3:$E$143,AI$3)=0,"",SUMIFS(Journal!$D$3:$D$143,Journal!$A$3:$A$143,$B31,Journal!$E$3:$E$143,AI$3))</f>
        <v>5400</v>
      </c>
      <c r="AJ31" s="86" t="str">
        <f>IF(SUMIFS(Journal!$D$3:$D$143,Journal!$A$3:$A$143,$B31,Journal!$F$3:$F$143,AI$3)=0,"",SUMIFS(Journal!$D$3:$D$143,Journal!$A$3:$A$143,$B31,Journal!$F$3:$F$143,AI$3))</f>
        <v/>
      </c>
      <c r="AK31" s="86" t="str">
        <f>IF(SUMIFS(Journal!$D$3:$D$143,Journal!$A$3:$A$143,$B31,Journal!$E$3:$E$143,AK$3)=0,"",SUMIFS(Journal!$D$3:$D$143,Journal!$A$3:$A$143,$B31,Journal!$E$3:$E$143,AK$3))</f>
        <v/>
      </c>
      <c r="AL31" s="86" t="str">
        <f>IF(SUMIFS(Journal!$D$3:$D$143,Journal!$A$3:$A$143,$B31,Journal!$F$3:$F$143,AK$3)=0,"",SUMIFS(Journal!$D$3:$D$143,Journal!$A$3:$A$143,$B31,Journal!$F$3:$F$143,AK$3))</f>
        <v/>
      </c>
      <c r="AM31" s="86" t="str">
        <f>IF(SUMIFS(Journal!$D$3:$D$143,Journal!$A$3:$A$143,$B31,Journal!$E$3:$E$143,AM$3)=0,"",SUMIFS(Journal!$D$3:$D$143,Journal!$A$3:$A$143,$B31,Journal!$E$3:$E$143,AM$3))</f>
        <v/>
      </c>
      <c r="AN31" s="86" t="str">
        <f>IF(SUMIFS(Journal!$D$3:$D$143,Journal!$A$3:$A$143,$B31,Journal!$F$3:$F$143,AM$3)=0,"",SUMIFS(Journal!$D$3:$D$143,Journal!$A$3:$A$143,$B31,Journal!$F$3:$F$143,AM$3))</f>
        <v/>
      </c>
      <c r="AO31" s="86" t="str">
        <f>IF(SUMIFS(Journal!$D$3:$D$143,Journal!$A$3:$A$143,$B31,Journal!$E$3:$E$143,AO$3)=0,"",SUMIFS(Journal!$D$3:$D$143,Journal!$A$3:$A$143,$B31,Journal!$E$3:$E$143,AO$3))</f>
        <v/>
      </c>
      <c r="AP31" s="86" t="str">
        <f>IF(SUMIFS(Journal!$D$3:$D$143,Journal!$A$3:$A$143,$B31,Journal!$F$3:$F$143,AO$3)=0,"",SUMIFS(Journal!$D$3:$D$143,Journal!$A$3:$A$143,$B31,Journal!$F$3:$F$143,AO$3))</f>
        <v/>
      </c>
      <c r="AQ31" s="86" t="str">
        <f>IF(SUMIFS(Journal!$D$3:$D$143,Journal!$A$3:$A$143,$B31,Journal!$E$3:$E$143,AQ$3)=0,"",SUMIFS(Journal!$D$3:$D$143,Journal!$A$3:$A$143,$B31,Journal!$E$3:$E$143,AQ$3))</f>
        <v/>
      </c>
      <c r="AR31" s="86" t="str">
        <f>IF(SUMIFS(Journal!$D$3:$D$143,Journal!$A$3:$A$143,$B31,Journal!$F$3:$F$143,AQ$3)=0,"",SUMIFS(Journal!$D$3:$D$143,Journal!$A$3:$A$143,$B31,Journal!$F$3:$F$143,AQ$3))</f>
        <v/>
      </c>
      <c r="AS31" s="86" t="str">
        <f>IF(SUMIFS(Journal!$D$3:$D$143,Journal!$A$3:$A$143,$B31,Journal!$E$3:$E$143,AS$3)=0,"",SUMIFS(Journal!$D$3:$D$143,Journal!$A$3:$A$143,$B31,Journal!$E$3:$E$143,AS$3))</f>
        <v/>
      </c>
      <c r="AT31" s="86" t="str">
        <f>IF(SUMIFS(Journal!$D$3:$D$143,Journal!$A$3:$A$143,$B31,Journal!$F$3:$F$143,AS$3)=0,"",SUMIFS(Journal!$D$3:$D$143,Journal!$A$3:$A$143,$B31,Journal!$F$3:$F$143,AS$3))</f>
        <v/>
      </c>
      <c r="AU31" s="86" t="str">
        <f>IF(SUMIFS(Journal!$D$3:$D$143,Journal!$A$3:$A$143,$B31,Journal!$E$3:$E$143,AU$3)=0,"",SUMIFS(Journal!$D$3:$D$143,Journal!$A$3:$A$143,$B31,Journal!$E$3:$E$143,AU$3))</f>
        <v/>
      </c>
      <c r="AV31" s="86" t="str">
        <f>IF(SUMIFS(Journal!$D$3:$D$143,Journal!$A$3:$A$143,$B31,Journal!$F$3:$F$143,AU$3)=0,"",SUMIFS(Journal!$D$3:$D$143,Journal!$A$3:$A$143,$B31,Journal!$F$3:$F$143,AU$3))</f>
        <v/>
      </c>
      <c r="AW31" s="86" t="str">
        <f>IF(SUMIFS(Journal!$D$3:$D$143,Journal!$A$3:$A$143,$B31,Journal!$E$3:$E$143,AW$3)=0,"",SUMIFS(Journal!$D$3:$D$143,Journal!$A$3:$A$143,$B31,Journal!$E$3:$E$143,AW$3))</f>
        <v/>
      </c>
      <c r="AX31" s="86" t="str">
        <f>IF(SUMIFS(Journal!$D$3:$D$143,Journal!$A$3:$A$143,$B31,Journal!$F$3:$F$143,AW$3)=0,"",SUMIFS(Journal!$D$3:$D$143,Journal!$A$3:$A$143,$B31,Journal!$F$3:$F$143,AW$3))</f>
        <v/>
      </c>
      <c r="AY31" s="86" t="str">
        <f>IF(SUMIFS(Journal!$D$3:$D$143,Journal!$A$3:$A$143,$B31,Journal!$E$3:$E$143,AY$3)=0,"",SUMIFS(Journal!$D$3:$D$143,Journal!$A$3:$A$143,$B31,Journal!$E$3:$E$143,AY$3))</f>
        <v/>
      </c>
      <c r="AZ31" s="86" t="str">
        <f>IF(SUMIFS(Journal!$D$3:$D$143,Journal!$A$3:$A$143,$B31,Journal!$F$3:$F$143,AY$3)=0,"",SUMIFS(Journal!$D$3:$D$143,Journal!$A$3:$A$143,$B31,Journal!$F$3:$F$143,AY$3))</f>
        <v/>
      </c>
      <c r="BA31" s="86" t="str">
        <f>IF(SUMIFS(Journal!$D$3:$D$143,Journal!$A$3:$A$143,$B31,Journal!$E$3:$E$143,BA$3)=0,"",SUMIFS(Journal!$D$3:$D$143,Journal!$A$3:$A$143,$B31,Journal!$E$3:$E$143,BA$3))</f>
        <v/>
      </c>
      <c r="BB31" s="86" t="str">
        <f>IF(SUMIFS(Journal!$D$3:$D$143,Journal!$A$3:$A$143,$B31,Journal!$F$3:$F$143,BA$3)=0,"",SUMIFS(Journal!$D$3:$D$143,Journal!$A$3:$A$143,$B31,Journal!$F$3:$F$143,BA$3))</f>
        <v/>
      </c>
    </row>
    <row r="32">
      <c r="A32" s="84">
        <f>VLOOKUP(B32,Journal!$A$3:$C$143,2,FALSE)</f>
        <v>45357</v>
      </c>
      <c r="B32" s="85" t="s">
        <v>277</v>
      </c>
      <c r="C32" s="86" t="str">
        <f>VLOOKUP(B32,Journal!$A$3:$C$143,3,FALSE)</f>
        <v>Monthly business insurance premium</v>
      </c>
      <c r="D32" s="86">
        <f>SUMIF(Journal!$A$3:$A$143,B32,Journal!$D$3:$D$143)</f>
        <v>600</v>
      </c>
      <c r="E32" s="86" t="str">
        <f>IF(SUMIFS(Journal!$D$3:$D$143,Journal!$A$3:$A$143,$B32,Journal!$E$3:$E$143,E$3)=0,"",SUMIFS(Journal!$D$3:$D$143,Journal!$A$3:$A$143,$B32,Journal!$E$3:$E$143,E$3))</f>
        <v/>
      </c>
      <c r="F32" s="86">
        <f>IF(SUMIFS(Journal!$D$3:$D$143,Journal!$A$3:$A$143,$B32,Journal!$F$3:$F$143,E$3)=0,"",SUMIFS(Journal!$D$3:$D$143,Journal!$A$3:$A$143,$B32,Journal!$F$3:$F$143,E$3))</f>
        <v>600</v>
      </c>
      <c r="G32" s="86" t="str">
        <f>IF(SUMIFS(Journal!$D$3:$D$143,Journal!$A$3:$A$143,$B32,Journal!$E$3:$E$143,G$3)=0,"",SUMIFS(Journal!$D$3:$D$143,Journal!$A$3:$A$143,$B32,Journal!$E$3:$E$143,G$3))</f>
        <v/>
      </c>
      <c r="H32" s="86" t="str">
        <f>IF(SUMIFS(Journal!$D$3:$D$143,Journal!$A$3:$A$143,$B32,Journal!$F$3:$F$143,G$3)=0,"",SUMIFS(Journal!$D$3:$D$143,Journal!$A$3:$A$143,$B32,Journal!$F$3:$F$143,G$3))</f>
        <v/>
      </c>
      <c r="I32" s="86" t="str">
        <f>IF(SUMIFS(Journal!$D$3:$D$143,Journal!$A$3:$A$143,$B32,Journal!$E$3:$E$143,I$3)=0,"",SUMIFS(Journal!$D$3:$D$143,Journal!$A$3:$A$143,$B32,Journal!$E$3:$E$143,I$3))</f>
        <v/>
      </c>
      <c r="J32" s="86" t="str">
        <f>IF(SUMIFS(Journal!$D$3:$D$143,Journal!$A$3:$A$143,$B32,Journal!$F$3:$F$143,I$3)=0,"",SUMIFS(Journal!$D$3:$D$143,Journal!$A$3:$A$143,$B32,Journal!$F$3:$F$143,I$3))</f>
        <v/>
      </c>
      <c r="K32" s="86" t="str">
        <f>IF(SUMIFS(Journal!$D$3:$D$143,Journal!$A$3:$A$143,$B32,Journal!$E$3:$E$143,K$3)=0,"",SUMIFS(Journal!$D$3:$D$143,Journal!$A$3:$A$143,$B32,Journal!$E$3:$E$143,K$3))</f>
        <v/>
      </c>
      <c r="L32" s="86" t="str">
        <f>IF(SUMIFS(Journal!$D$3:$D$143,Journal!$A$3:$A$143,$B32,Journal!$F$3:$F$143,K$3)=0,"",SUMIFS(Journal!$D$3:$D$143,Journal!$A$3:$A$143,$B32,Journal!$F$3:$F$143,K$3))</f>
        <v/>
      </c>
      <c r="M32" s="86" t="str">
        <f>IF(SUMIFS(Journal!$D$3:$D$143,Journal!$A$3:$A$143,$B32,Journal!$E$3:$E$143,M$3)=0,"",SUMIFS(Journal!$D$3:$D$143,Journal!$A$3:$A$143,$B32,Journal!$E$3:$E$143,M$3))</f>
        <v/>
      </c>
      <c r="N32" s="86" t="str">
        <f>IF(SUMIFS(Journal!$D$3:$D$143,Journal!$A$3:$A$143,$B32,Journal!$F$3:$F$143,M$3)=0,"",SUMIFS(Journal!$D$3:$D$143,Journal!$A$3:$A$143,$B32,Journal!$F$3:$F$143,M$3))</f>
        <v/>
      </c>
      <c r="O32" s="86" t="str">
        <f>IF(SUMIFS(Journal!$D$3:$D$143,Journal!$A$3:$A$143,$B32,Journal!$E$3:$E$143,O$3)=0,"",SUMIFS(Journal!$D$3:$D$143,Journal!$A$3:$A$143,$B32,Journal!$E$3:$E$143,O$3))</f>
        <v/>
      </c>
      <c r="P32" s="86" t="str">
        <f>IF(SUMIFS(Journal!$D$3:$D$143,Journal!$A$3:$A$143,$B32,Journal!$F$3:$F$143,O$3)=0,"",SUMIFS(Journal!$D$3:$D$143,Journal!$A$3:$A$143,$B32,Journal!$F$3:$F$143,O$3))</f>
        <v/>
      </c>
      <c r="Q32" s="86" t="str">
        <f>IF(SUMIFS(Journal!$D$3:$D$143,Journal!$A$3:$A$143,$B32,Journal!$E$3:$E$143,Q$3)=0,"",SUMIFS(Journal!$D$3:$D$143,Journal!$A$3:$A$143,$B32,Journal!$E$3:$E$143,Q$3))</f>
        <v/>
      </c>
      <c r="R32" s="86" t="str">
        <f>IF(SUMIFS(Journal!$D$3:$D$143,Journal!$A$3:$A$143,$B32,Journal!$F$3:$F$143,Q$3)=0,"",SUMIFS(Journal!$D$3:$D$143,Journal!$A$3:$A$143,$B32,Journal!$F$3:$F$143,Q$3))</f>
        <v/>
      </c>
      <c r="S32" s="86" t="str">
        <f>IF(SUMIFS(Journal!$D$3:$D$143,Journal!$A$3:$A$143,$B32,Journal!$E$3:$E$143,S$3)=0,"",SUMIFS(Journal!$D$3:$D$143,Journal!$A$3:$A$143,$B32,Journal!$E$3:$E$143,S$3))</f>
        <v/>
      </c>
      <c r="T32" s="86" t="str">
        <f>IF(SUMIFS(Journal!$D$3:$D$143,Journal!$A$3:$A$143,$B32,Journal!$F$3:$F$143,S$3)=0,"",SUMIFS(Journal!$D$3:$D$143,Journal!$A$3:$A$143,$B32,Journal!$F$3:$F$143,S$3))</f>
        <v/>
      </c>
      <c r="U32" s="86" t="str">
        <f>IF(SUMIFS(Journal!$D$3:$D$143,Journal!$A$3:$A$143,$B32,Journal!$E$3:$E$143,U$3)=0,"",SUMIFS(Journal!$D$3:$D$143,Journal!$A$3:$A$143,$B32,Journal!$E$3:$E$143,U$3))</f>
        <v/>
      </c>
      <c r="V32" s="86" t="str">
        <f>IF(SUMIFS(Journal!$D$3:$D$143,Journal!$A$3:$A$143,$B32,Journal!$F$3:$F$143,U$3)=0,"",SUMIFS(Journal!$D$3:$D$143,Journal!$A$3:$A$143,$B32,Journal!$F$3:$F$143,U$3))</f>
        <v/>
      </c>
      <c r="W32" s="86" t="str">
        <f>IF(SUMIFS(Journal!$D$3:$D$143,Journal!$A$3:$A$143,$B32,Journal!$E$3:$E$143,W$3)=0,"",SUMIFS(Journal!$D$3:$D$143,Journal!$A$3:$A$143,$B32,Journal!$E$3:$E$143,W$3))</f>
        <v/>
      </c>
      <c r="X32" s="86" t="str">
        <f>IF(SUMIFS(Journal!$D$3:$D$143,Journal!$A$3:$A$143,$B32,Journal!$F$3:$F$143,W$3)=0,"",SUMIFS(Journal!$D$3:$D$143,Journal!$A$3:$A$143,$B32,Journal!$F$3:$F$143,W$3))</f>
        <v/>
      </c>
      <c r="Y32" s="86" t="str">
        <f>IF(SUMIFS(Journal!$D$3:$D$143,Journal!$A$3:$A$143,$B32,Journal!$E$3:$E$143,Y$3)=0,"",SUMIFS(Journal!$D$3:$D$143,Journal!$A$3:$A$143,$B32,Journal!$E$3:$E$143,Y$3))</f>
        <v/>
      </c>
      <c r="Z32" s="86" t="str">
        <f>IF(SUMIFS(Journal!$D$3:$D$143,Journal!$A$3:$A$143,$B32,Journal!$F$3:$F$143,Y$3)=0,"",SUMIFS(Journal!$D$3:$D$143,Journal!$A$3:$A$143,$B32,Journal!$F$3:$F$143,Y$3))</f>
        <v/>
      </c>
      <c r="AA32" s="86" t="str">
        <f>IF(SUMIFS(Journal!$D$3:$D$143,Journal!$A$3:$A$143,$B32,Journal!$E$3:$E$143,AA$3)=0,"",SUMIFS(Journal!$D$3:$D$143,Journal!$A$3:$A$143,$B32,Journal!$E$3:$E$143,AA$3))</f>
        <v/>
      </c>
      <c r="AB32" s="86" t="str">
        <f>IF(SUMIFS(Journal!$D$3:$D$143,Journal!$A$3:$A$143,$B32,Journal!$F$3:$F$143,AA$3)=0,"",SUMIFS(Journal!$D$3:$D$143,Journal!$A$3:$A$143,$B32,Journal!$F$3:$F$143,AA$3))</f>
        <v/>
      </c>
      <c r="AC32" s="86" t="str">
        <f>IF(SUMIFS(Journal!$D$3:$D$143,Journal!$A$3:$A$143,$B32,Journal!$E$3:$E$143,AC$3)=0,"",SUMIFS(Journal!$D$3:$D$143,Journal!$A$3:$A$143,$B32,Journal!$E$3:$E$143,AC$3))</f>
        <v/>
      </c>
      <c r="AD32" s="86" t="str">
        <f>IF(SUMIFS(Journal!$D$3:$D$143,Journal!$A$3:$A$143,$B32,Journal!$F$3:$F$143,AC$3)=0,"",SUMIFS(Journal!$D$3:$D$143,Journal!$A$3:$A$143,$B32,Journal!$F$3:$F$143,AC$3))</f>
        <v/>
      </c>
      <c r="AE32" s="86" t="str">
        <f>IF(SUMIFS(Journal!$D$3:$D$143,Journal!$A$3:$A$143,$B32,Journal!$E$3:$E$143,AE$3)=0,"",SUMIFS(Journal!$D$3:$D$143,Journal!$A$3:$A$143,$B32,Journal!$E$3:$E$143,AE$3))</f>
        <v/>
      </c>
      <c r="AF32" s="86" t="str">
        <f>IF(SUMIFS(Journal!$D$3:$D$143,Journal!$A$3:$A$143,$B32,Journal!$F$3:$F$143,AE$3)=0,"",SUMIFS(Journal!$D$3:$D$143,Journal!$A$3:$A$143,$B32,Journal!$F$3:$F$143,AE$3))</f>
        <v/>
      </c>
      <c r="AG32" s="86" t="str">
        <f>IF(SUMIFS(Journal!$D$3:$D$143,Journal!$A$3:$A$143,$B32,Journal!$E$3:$E$143,AG$3)=0,"",SUMIFS(Journal!$D$3:$D$143,Journal!$A$3:$A$143,$B32,Journal!$E$3:$E$143,AG$3))</f>
        <v/>
      </c>
      <c r="AH32" s="86" t="str">
        <f>IF(SUMIFS(Journal!$D$3:$D$143,Journal!$A$3:$A$143,$B32,Journal!$F$3:$F$143,AG$3)=0,"",SUMIFS(Journal!$D$3:$D$143,Journal!$A$3:$A$143,$B32,Journal!$F$3:$F$143,AG$3))</f>
        <v/>
      </c>
      <c r="AI32" s="86" t="str">
        <f>IF(SUMIFS(Journal!$D$3:$D$143,Journal!$A$3:$A$143,$B32,Journal!$E$3:$E$143,AI$3)=0,"",SUMIFS(Journal!$D$3:$D$143,Journal!$A$3:$A$143,$B32,Journal!$E$3:$E$143,AI$3))</f>
        <v/>
      </c>
      <c r="AJ32" s="86" t="str">
        <f>IF(SUMIFS(Journal!$D$3:$D$143,Journal!$A$3:$A$143,$B32,Journal!$F$3:$F$143,AI$3)=0,"",SUMIFS(Journal!$D$3:$D$143,Journal!$A$3:$A$143,$B32,Journal!$F$3:$F$143,AI$3))</f>
        <v/>
      </c>
      <c r="AK32" s="86">
        <f>IF(SUMIFS(Journal!$D$3:$D$143,Journal!$A$3:$A$143,$B32,Journal!$E$3:$E$143,AK$3)=0,"",SUMIFS(Journal!$D$3:$D$143,Journal!$A$3:$A$143,$B32,Journal!$E$3:$E$143,AK$3))</f>
        <v>600</v>
      </c>
      <c r="AL32" s="86" t="str">
        <f>IF(SUMIFS(Journal!$D$3:$D$143,Journal!$A$3:$A$143,$B32,Journal!$F$3:$F$143,AK$3)=0,"",SUMIFS(Journal!$D$3:$D$143,Journal!$A$3:$A$143,$B32,Journal!$F$3:$F$143,AK$3))</f>
        <v/>
      </c>
      <c r="AM32" s="86" t="str">
        <f>IF(SUMIFS(Journal!$D$3:$D$143,Journal!$A$3:$A$143,$B32,Journal!$E$3:$E$143,AM$3)=0,"",SUMIFS(Journal!$D$3:$D$143,Journal!$A$3:$A$143,$B32,Journal!$E$3:$E$143,AM$3))</f>
        <v/>
      </c>
      <c r="AN32" s="86" t="str">
        <f>IF(SUMIFS(Journal!$D$3:$D$143,Journal!$A$3:$A$143,$B32,Journal!$F$3:$F$143,AM$3)=0,"",SUMIFS(Journal!$D$3:$D$143,Journal!$A$3:$A$143,$B32,Journal!$F$3:$F$143,AM$3))</f>
        <v/>
      </c>
      <c r="AO32" s="86" t="str">
        <f>IF(SUMIFS(Journal!$D$3:$D$143,Journal!$A$3:$A$143,$B32,Journal!$E$3:$E$143,AO$3)=0,"",SUMIFS(Journal!$D$3:$D$143,Journal!$A$3:$A$143,$B32,Journal!$E$3:$E$143,AO$3))</f>
        <v/>
      </c>
      <c r="AP32" s="86" t="str">
        <f>IF(SUMIFS(Journal!$D$3:$D$143,Journal!$A$3:$A$143,$B32,Journal!$F$3:$F$143,AO$3)=0,"",SUMIFS(Journal!$D$3:$D$143,Journal!$A$3:$A$143,$B32,Journal!$F$3:$F$143,AO$3))</f>
        <v/>
      </c>
      <c r="AQ32" s="86" t="str">
        <f>IF(SUMIFS(Journal!$D$3:$D$143,Journal!$A$3:$A$143,$B32,Journal!$E$3:$E$143,AQ$3)=0,"",SUMIFS(Journal!$D$3:$D$143,Journal!$A$3:$A$143,$B32,Journal!$E$3:$E$143,AQ$3))</f>
        <v/>
      </c>
      <c r="AR32" s="86" t="str">
        <f>IF(SUMIFS(Journal!$D$3:$D$143,Journal!$A$3:$A$143,$B32,Journal!$F$3:$F$143,AQ$3)=0,"",SUMIFS(Journal!$D$3:$D$143,Journal!$A$3:$A$143,$B32,Journal!$F$3:$F$143,AQ$3))</f>
        <v/>
      </c>
      <c r="AS32" s="86" t="str">
        <f>IF(SUMIFS(Journal!$D$3:$D$143,Journal!$A$3:$A$143,$B32,Journal!$E$3:$E$143,AS$3)=0,"",SUMIFS(Journal!$D$3:$D$143,Journal!$A$3:$A$143,$B32,Journal!$E$3:$E$143,AS$3))</f>
        <v/>
      </c>
      <c r="AT32" s="86" t="str">
        <f>IF(SUMIFS(Journal!$D$3:$D$143,Journal!$A$3:$A$143,$B32,Journal!$F$3:$F$143,AS$3)=0,"",SUMIFS(Journal!$D$3:$D$143,Journal!$A$3:$A$143,$B32,Journal!$F$3:$F$143,AS$3))</f>
        <v/>
      </c>
      <c r="AU32" s="86" t="str">
        <f>IF(SUMIFS(Journal!$D$3:$D$143,Journal!$A$3:$A$143,$B32,Journal!$E$3:$E$143,AU$3)=0,"",SUMIFS(Journal!$D$3:$D$143,Journal!$A$3:$A$143,$B32,Journal!$E$3:$E$143,AU$3))</f>
        <v/>
      </c>
      <c r="AV32" s="86" t="str">
        <f>IF(SUMIFS(Journal!$D$3:$D$143,Journal!$A$3:$A$143,$B32,Journal!$F$3:$F$143,AU$3)=0,"",SUMIFS(Journal!$D$3:$D$143,Journal!$A$3:$A$143,$B32,Journal!$F$3:$F$143,AU$3))</f>
        <v/>
      </c>
      <c r="AW32" s="86" t="str">
        <f>IF(SUMIFS(Journal!$D$3:$D$143,Journal!$A$3:$A$143,$B32,Journal!$E$3:$E$143,AW$3)=0,"",SUMIFS(Journal!$D$3:$D$143,Journal!$A$3:$A$143,$B32,Journal!$E$3:$E$143,AW$3))</f>
        <v/>
      </c>
      <c r="AX32" s="86" t="str">
        <f>IF(SUMIFS(Journal!$D$3:$D$143,Journal!$A$3:$A$143,$B32,Journal!$F$3:$F$143,AW$3)=0,"",SUMIFS(Journal!$D$3:$D$143,Journal!$A$3:$A$143,$B32,Journal!$F$3:$F$143,AW$3))</f>
        <v/>
      </c>
      <c r="AY32" s="86" t="str">
        <f>IF(SUMIFS(Journal!$D$3:$D$143,Journal!$A$3:$A$143,$B32,Journal!$E$3:$E$143,AY$3)=0,"",SUMIFS(Journal!$D$3:$D$143,Journal!$A$3:$A$143,$B32,Journal!$E$3:$E$143,AY$3))</f>
        <v/>
      </c>
      <c r="AZ32" s="86" t="str">
        <f>IF(SUMIFS(Journal!$D$3:$D$143,Journal!$A$3:$A$143,$B32,Journal!$F$3:$F$143,AY$3)=0,"",SUMIFS(Journal!$D$3:$D$143,Journal!$A$3:$A$143,$B32,Journal!$F$3:$F$143,AY$3))</f>
        <v/>
      </c>
      <c r="BA32" s="86" t="str">
        <f>IF(SUMIFS(Journal!$D$3:$D$143,Journal!$A$3:$A$143,$B32,Journal!$E$3:$E$143,BA$3)=0,"",SUMIFS(Journal!$D$3:$D$143,Journal!$A$3:$A$143,$B32,Journal!$E$3:$E$143,BA$3))</f>
        <v/>
      </c>
      <c r="BB32" s="86" t="str">
        <f>IF(SUMIFS(Journal!$D$3:$D$143,Journal!$A$3:$A$143,$B32,Journal!$F$3:$F$143,BA$3)=0,"",SUMIFS(Journal!$D$3:$D$143,Journal!$A$3:$A$143,$B32,Journal!$F$3:$F$143,BA$3))</f>
        <v/>
      </c>
    </row>
    <row r="33">
      <c r="A33" s="84">
        <f>VLOOKUP(B33,Journal!$A$3:$C$143,2,FALSE)</f>
        <v>45357</v>
      </c>
      <c r="B33" s="85" t="s">
        <v>280</v>
      </c>
      <c r="C33" s="86" t="str">
        <f>VLOOKUP(B33,Journal!$A$3:$C$143,3,FALSE)</f>
        <v>Partial payment to inventory supplier</v>
      </c>
      <c r="D33" s="86">
        <f>SUMIF(Journal!$A$3:$A$143,B33,Journal!$D$3:$D$143)</f>
        <v>4000</v>
      </c>
      <c r="E33" s="86" t="str">
        <f>IF(SUMIFS(Journal!$D$3:$D$143,Journal!$A$3:$A$143,$B33,Journal!$E$3:$E$143,E$3)=0,"",SUMIFS(Journal!$D$3:$D$143,Journal!$A$3:$A$143,$B33,Journal!$E$3:$E$143,E$3))</f>
        <v/>
      </c>
      <c r="F33" s="86">
        <f>IF(SUMIFS(Journal!$D$3:$D$143,Journal!$A$3:$A$143,$B33,Journal!$F$3:$F$143,E$3)=0,"",SUMIFS(Journal!$D$3:$D$143,Journal!$A$3:$A$143,$B33,Journal!$F$3:$F$143,E$3))</f>
        <v>4000</v>
      </c>
      <c r="G33" s="86" t="str">
        <f>IF(SUMIFS(Journal!$D$3:$D$143,Journal!$A$3:$A$143,$B33,Journal!$E$3:$E$143,G$3)=0,"",SUMIFS(Journal!$D$3:$D$143,Journal!$A$3:$A$143,$B33,Journal!$E$3:$E$143,G$3))</f>
        <v/>
      </c>
      <c r="H33" s="86" t="str">
        <f>IF(SUMIFS(Journal!$D$3:$D$143,Journal!$A$3:$A$143,$B33,Journal!$F$3:$F$143,G$3)=0,"",SUMIFS(Journal!$D$3:$D$143,Journal!$A$3:$A$143,$B33,Journal!$F$3:$F$143,G$3))</f>
        <v/>
      </c>
      <c r="I33" s="86" t="str">
        <f>IF(SUMIFS(Journal!$D$3:$D$143,Journal!$A$3:$A$143,$B33,Journal!$E$3:$E$143,I$3)=0,"",SUMIFS(Journal!$D$3:$D$143,Journal!$A$3:$A$143,$B33,Journal!$E$3:$E$143,I$3))</f>
        <v/>
      </c>
      <c r="J33" s="86" t="str">
        <f>IF(SUMIFS(Journal!$D$3:$D$143,Journal!$A$3:$A$143,$B33,Journal!$F$3:$F$143,I$3)=0,"",SUMIFS(Journal!$D$3:$D$143,Journal!$A$3:$A$143,$B33,Journal!$F$3:$F$143,I$3))</f>
        <v/>
      </c>
      <c r="K33" s="86" t="str">
        <f>IF(SUMIFS(Journal!$D$3:$D$143,Journal!$A$3:$A$143,$B33,Journal!$E$3:$E$143,K$3)=0,"",SUMIFS(Journal!$D$3:$D$143,Journal!$A$3:$A$143,$B33,Journal!$E$3:$E$143,K$3))</f>
        <v/>
      </c>
      <c r="L33" s="86" t="str">
        <f>IF(SUMIFS(Journal!$D$3:$D$143,Journal!$A$3:$A$143,$B33,Journal!$F$3:$F$143,K$3)=0,"",SUMIFS(Journal!$D$3:$D$143,Journal!$A$3:$A$143,$B33,Journal!$F$3:$F$143,K$3))</f>
        <v/>
      </c>
      <c r="M33" s="86" t="str">
        <f>IF(SUMIFS(Journal!$D$3:$D$143,Journal!$A$3:$A$143,$B33,Journal!$E$3:$E$143,M$3)=0,"",SUMIFS(Journal!$D$3:$D$143,Journal!$A$3:$A$143,$B33,Journal!$E$3:$E$143,M$3))</f>
        <v/>
      </c>
      <c r="N33" s="86" t="str">
        <f>IF(SUMIFS(Journal!$D$3:$D$143,Journal!$A$3:$A$143,$B33,Journal!$F$3:$F$143,M$3)=0,"",SUMIFS(Journal!$D$3:$D$143,Journal!$A$3:$A$143,$B33,Journal!$F$3:$F$143,M$3))</f>
        <v/>
      </c>
      <c r="O33" s="86">
        <f>IF(SUMIFS(Journal!$D$3:$D$143,Journal!$A$3:$A$143,$B33,Journal!$E$3:$E$143,O$3)=0,"",SUMIFS(Journal!$D$3:$D$143,Journal!$A$3:$A$143,$B33,Journal!$E$3:$E$143,O$3))</f>
        <v>4000</v>
      </c>
      <c r="P33" s="86" t="str">
        <f>IF(SUMIFS(Journal!$D$3:$D$143,Journal!$A$3:$A$143,$B33,Journal!$F$3:$F$143,O$3)=0,"",SUMIFS(Journal!$D$3:$D$143,Journal!$A$3:$A$143,$B33,Journal!$F$3:$F$143,O$3))</f>
        <v/>
      </c>
      <c r="Q33" s="86" t="str">
        <f>IF(SUMIFS(Journal!$D$3:$D$143,Journal!$A$3:$A$143,$B33,Journal!$E$3:$E$143,Q$3)=0,"",SUMIFS(Journal!$D$3:$D$143,Journal!$A$3:$A$143,$B33,Journal!$E$3:$E$143,Q$3))</f>
        <v/>
      </c>
      <c r="R33" s="86" t="str">
        <f>IF(SUMIFS(Journal!$D$3:$D$143,Journal!$A$3:$A$143,$B33,Journal!$F$3:$F$143,Q$3)=0,"",SUMIFS(Journal!$D$3:$D$143,Journal!$A$3:$A$143,$B33,Journal!$F$3:$F$143,Q$3))</f>
        <v/>
      </c>
      <c r="S33" s="86" t="str">
        <f>IF(SUMIFS(Journal!$D$3:$D$143,Journal!$A$3:$A$143,$B33,Journal!$E$3:$E$143,S$3)=0,"",SUMIFS(Journal!$D$3:$D$143,Journal!$A$3:$A$143,$B33,Journal!$E$3:$E$143,S$3))</f>
        <v/>
      </c>
      <c r="T33" s="86" t="str">
        <f>IF(SUMIFS(Journal!$D$3:$D$143,Journal!$A$3:$A$143,$B33,Journal!$F$3:$F$143,S$3)=0,"",SUMIFS(Journal!$D$3:$D$143,Journal!$A$3:$A$143,$B33,Journal!$F$3:$F$143,S$3))</f>
        <v/>
      </c>
      <c r="U33" s="86" t="str">
        <f>IF(SUMIFS(Journal!$D$3:$D$143,Journal!$A$3:$A$143,$B33,Journal!$E$3:$E$143,U$3)=0,"",SUMIFS(Journal!$D$3:$D$143,Journal!$A$3:$A$143,$B33,Journal!$E$3:$E$143,U$3))</f>
        <v/>
      </c>
      <c r="V33" s="86" t="str">
        <f>IF(SUMIFS(Journal!$D$3:$D$143,Journal!$A$3:$A$143,$B33,Journal!$F$3:$F$143,U$3)=0,"",SUMIFS(Journal!$D$3:$D$143,Journal!$A$3:$A$143,$B33,Journal!$F$3:$F$143,U$3))</f>
        <v/>
      </c>
      <c r="W33" s="86" t="str">
        <f>IF(SUMIFS(Journal!$D$3:$D$143,Journal!$A$3:$A$143,$B33,Journal!$E$3:$E$143,W$3)=0,"",SUMIFS(Journal!$D$3:$D$143,Journal!$A$3:$A$143,$B33,Journal!$E$3:$E$143,W$3))</f>
        <v/>
      </c>
      <c r="X33" s="86" t="str">
        <f>IF(SUMIFS(Journal!$D$3:$D$143,Journal!$A$3:$A$143,$B33,Journal!$F$3:$F$143,W$3)=0,"",SUMIFS(Journal!$D$3:$D$143,Journal!$A$3:$A$143,$B33,Journal!$F$3:$F$143,W$3))</f>
        <v/>
      </c>
      <c r="Y33" s="86" t="str">
        <f>IF(SUMIFS(Journal!$D$3:$D$143,Journal!$A$3:$A$143,$B33,Journal!$E$3:$E$143,Y$3)=0,"",SUMIFS(Journal!$D$3:$D$143,Journal!$A$3:$A$143,$B33,Journal!$E$3:$E$143,Y$3))</f>
        <v/>
      </c>
      <c r="Z33" s="86" t="str">
        <f>IF(SUMIFS(Journal!$D$3:$D$143,Journal!$A$3:$A$143,$B33,Journal!$F$3:$F$143,Y$3)=0,"",SUMIFS(Journal!$D$3:$D$143,Journal!$A$3:$A$143,$B33,Journal!$F$3:$F$143,Y$3))</f>
        <v/>
      </c>
      <c r="AA33" s="86" t="str">
        <f>IF(SUMIFS(Journal!$D$3:$D$143,Journal!$A$3:$A$143,$B33,Journal!$E$3:$E$143,AA$3)=0,"",SUMIFS(Journal!$D$3:$D$143,Journal!$A$3:$A$143,$B33,Journal!$E$3:$E$143,AA$3))</f>
        <v/>
      </c>
      <c r="AB33" s="86" t="str">
        <f>IF(SUMIFS(Journal!$D$3:$D$143,Journal!$A$3:$A$143,$B33,Journal!$F$3:$F$143,AA$3)=0,"",SUMIFS(Journal!$D$3:$D$143,Journal!$A$3:$A$143,$B33,Journal!$F$3:$F$143,AA$3))</f>
        <v/>
      </c>
      <c r="AC33" s="86" t="str">
        <f>IF(SUMIFS(Journal!$D$3:$D$143,Journal!$A$3:$A$143,$B33,Journal!$E$3:$E$143,AC$3)=0,"",SUMIFS(Journal!$D$3:$D$143,Journal!$A$3:$A$143,$B33,Journal!$E$3:$E$143,AC$3))</f>
        <v/>
      </c>
      <c r="AD33" s="86" t="str">
        <f>IF(SUMIFS(Journal!$D$3:$D$143,Journal!$A$3:$A$143,$B33,Journal!$F$3:$F$143,AC$3)=0,"",SUMIFS(Journal!$D$3:$D$143,Journal!$A$3:$A$143,$B33,Journal!$F$3:$F$143,AC$3))</f>
        <v/>
      </c>
      <c r="AE33" s="86" t="str">
        <f>IF(SUMIFS(Journal!$D$3:$D$143,Journal!$A$3:$A$143,$B33,Journal!$E$3:$E$143,AE$3)=0,"",SUMIFS(Journal!$D$3:$D$143,Journal!$A$3:$A$143,$B33,Journal!$E$3:$E$143,AE$3))</f>
        <v/>
      </c>
      <c r="AF33" s="86" t="str">
        <f>IF(SUMIFS(Journal!$D$3:$D$143,Journal!$A$3:$A$143,$B33,Journal!$F$3:$F$143,AE$3)=0,"",SUMIFS(Journal!$D$3:$D$143,Journal!$A$3:$A$143,$B33,Journal!$F$3:$F$143,AE$3))</f>
        <v/>
      </c>
      <c r="AG33" s="86" t="str">
        <f>IF(SUMIFS(Journal!$D$3:$D$143,Journal!$A$3:$A$143,$B33,Journal!$E$3:$E$143,AG$3)=0,"",SUMIFS(Journal!$D$3:$D$143,Journal!$A$3:$A$143,$B33,Journal!$E$3:$E$143,AG$3))</f>
        <v/>
      </c>
      <c r="AH33" s="86" t="str">
        <f>IF(SUMIFS(Journal!$D$3:$D$143,Journal!$A$3:$A$143,$B33,Journal!$F$3:$F$143,AG$3)=0,"",SUMIFS(Journal!$D$3:$D$143,Journal!$A$3:$A$143,$B33,Journal!$F$3:$F$143,AG$3))</f>
        <v/>
      </c>
      <c r="AI33" s="86" t="str">
        <f>IF(SUMIFS(Journal!$D$3:$D$143,Journal!$A$3:$A$143,$B33,Journal!$E$3:$E$143,AI$3)=0,"",SUMIFS(Journal!$D$3:$D$143,Journal!$A$3:$A$143,$B33,Journal!$E$3:$E$143,AI$3))</f>
        <v/>
      </c>
      <c r="AJ33" s="86" t="str">
        <f>IF(SUMIFS(Journal!$D$3:$D$143,Journal!$A$3:$A$143,$B33,Journal!$F$3:$F$143,AI$3)=0,"",SUMIFS(Journal!$D$3:$D$143,Journal!$A$3:$A$143,$B33,Journal!$F$3:$F$143,AI$3))</f>
        <v/>
      </c>
      <c r="AK33" s="86" t="str">
        <f>IF(SUMIFS(Journal!$D$3:$D$143,Journal!$A$3:$A$143,$B33,Journal!$E$3:$E$143,AK$3)=0,"",SUMIFS(Journal!$D$3:$D$143,Journal!$A$3:$A$143,$B33,Journal!$E$3:$E$143,AK$3))</f>
        <v/>
      </c>
      <c r="AL33" s="86" t="str">
        <f>IF(SUMIFS(Journal!$D$3:$D$143,Journal!$A$3:$A$143,$B33,Journal!$F$3:$F$143,AK$3)=0,"",SUMIFS(Journal!$D$3:$D$143,Journal!$A$3:$A$143,$B33,Journal!$F$3:$F$143,AK$3))</f>
        <v/>
      </c>
      <c r="AM33" s="86" t="str">
        <f>IF(SUMIFS(Journal!$D$3:$D$143,Journal!$A$3:$A$143,$B33,Journal!$E$3:$E$143,AM$3)=0,"",SUMIFS(Journal!$D$3:$D$143,Journal!$A$3:$A$143,$B33,Journal!$E$3:$E$143,AM$3))</f>
        <v/>
      </c>
      <c r="AN33" s="86" t="str">
        <f>IF(SUMIFS(Journal!$D$3:$D$143,Journal!$A$3:$A$143,$B33,Journal!$F$3:$F$143,AM$3)=0,"",SUMIFS(Journal!$D$3:$D$143,Journal!$A$3:$A$143,$B33,Journal!$F$3:$F$143,AM$3))</f>
        <v/>
      </c>
      <c r="AO33" s="86" t="str">
        <f>IF(SUMIFS(Journal!$D$3:$D$143,Journal!$A$3:$A$143,$B33,Journal!$E$3:$E$143,AO$3)=0,"",SUMIFS(Journal!$D$3:$D$143,Journal!$A$3:$A$143,$B33,Journal!$E$3:$E$143,AO$3))</f>
        <v/>
      </c>
      <c r="AP33" s="86" t="str">
        <f>IF(SUMIFS(Journal!$D$3:$D$143,Journal!$A$3:$A$143,$B33,Journal!$F$3:$F$143,AO$3)=0,"",SUMIFS(Journal!$D$3:$D$143,Journal!$A$3:$A$143,$B33,Journal!$F$3:$F$143,AO$3))</f>
        <v/>
      </c>
      <c r="AQ33" s="86" t="str">
        <f>IF(SUMIFS(Journal!$D$3:$D$143,Journal!$A$3:$A$143,$B33,Journal!$E$3:$E$143,AQ$3)=0,"",SUMIFS(Journal!$D$3:$D$143,Journal!$A$3:$A$143,$B33,Journal!$E$3:$E$143,AQ$3))</f>
        <v/>
      </c>
      <c r="AR33" s="86" t="str">
        <f>IF(SUMIFS(Journal!$D$3:$D$143,Journal!$A$3:$A$143,$B33,Journal!$F$3:$F$143,AQ$3)=0,"",SUMIFS(Journal!$D$3:$D$143,Journal!$A$3:$A$143,$B33,Journal!$F$3:$F$143,AQ$3))</f>
        <v/>
      </c>
      <c r="AS33" s="86" t="str">
        <f>IF(SUMIFS(Journal!$D$3:$D$143,Journal!$A$3:$A$143,$B33,Journal!$E$3:$E$143,AS$3)=0,"",SUMIFS(Journal!$D$3:$D$143,Journal!$A$3:$A$143,$B33,Journal!$E$3:$E$143,AS$3))</f>
        <v/>
      </c>
      <c r="AT33" s="86" t="str">
        <f>IF(SUMIFS(Journal!$D$3:$D$143,Journal!$A$3:$A$143,$B33,Journal!$F$3:$F$143,AS$3)=0,"",SUMIFS(Journal!$D$3:$D$143,Journal!$A$3:$A$143,$B33,Journal!$F$3:$F$143,AS$3))</f>
        <v/>
      </c>
      <c r="AU33" s="86" t="str">
        <f>IF(SUMIFS(Journal!$D$3:$D$143,Journal!$A$3:$A$143,$B33,Journal!$E$3:$E$143,AU$3)=0,"",SUMIFS(Journal!$D$3:$D$143,Journal!$A$3:$A$143,$B33,Journal!$E$3:$E$143,AU$3))</f>
        <v/>
      </c>
      <c r="AV33" s="86" t="str">
        <f>IF(SUMIFS(Journal!$D$3:$D$143,Journal!$A$3:$A$143,$B33,Journal!$F$3:$F$143,AU$3)=0,"",SUMIFS(Journal!$D$3:$D$143,Journal!$A$3:$A$143,$B33,Journal!$F$3:$F$143,AU$3))</f>
        <v/>
      </c>
      <c r="AW33" s="86" t="str">
        <f>IF(SUMIFS(Journal!$D$3:$D$143,Journal!$A$3:$A$143,$B33,Journal!$E$3:$E$143,AW$3)=0,"",SUMIFS(Journal!$D$3:$D$143,Journal!$A$3:$A$143,$B33,Journal!$E$3:$E$143,AW$3))</f>
        <v/>
      </c>
      <c r="AX33" s="86" t="str">
        <f>IF(SUMIFS(Journal!$D$3:$D$143,Journal!$A$3:$A$143,$B33,Journal!$F$3:$F$143,AW$3)=0,"",SUMIFS(Journal!$D$3:$D$143,Journal!$A$3:$A$143,$B33,Journal!$F$3:$F$143,AW$3))</f>
        <v/>
      </c>
      <c r="AY33" s="86" t="str">
        <f>IF(SUMIFS(Journal!$D$3:$D$143,Journal!$A$3:$A$143,$B33,Journal!$E$3:$E$143,AY$3)=0,"",SUMIFS(Journal!$D$3:$D$143,Journal!$A$3:$A$143,$B33,Journal!$E$3:$E$143,AY$3))</f>
        <v/>
      </c>
      <c r="AZ33" s="86" t="str">
        <f>IF(SUMIFS(Journal!$D$3:$D$143,Journal!$A$3:$A$143,$B33,Journal!$F$3:$F$143,AY$3)=0,"",SUMIFS(Journal!$D$3:$D$143,Journal!$A$3:$A$143,$B33,Journal!$F$3:$F$143,AY$3))</f>
        <v/>
      </c>
      <c r="BA33" s="86" t="str">
        <f>IF(SUMIFS(Journal!$D$3:$D$143,Journal!$A$3:$A$143,$B33,Journal!$E$3:$E$143,BA$3)=0,"",SUMIFS(Journal!$D$3:$D$143,Journal!$A$3:$A$143,$B33,Journal!$E$3:$E$143,BA$3))</f>
        <v/>
      </c>
      <c r="BB33" s="86" t="str">
        <f>IF(SUMIFS(Journal!$D$3:$D$143,Journal!$A$3:$A$143,$B33,Journal!$F$3:$F$143,BA$3)=0,"",SUMIFS(Journal!$D$3:$D$143,Journal!$A$3:$A$143,$B33,Journal!$F$3:$F$143,BA$3))</f>
        <v/>
      </c>
    </row>
    <row r="34">
      <c r="A34" s="84">
        <f>VLOOKUP(B34,Journal!$A$3:$C$143,2,FALSE)</f>
        <v>45363</v>
      </c>
      <c r="B34" s="85" t="s">
        <v>284</v>
      </c>
      <c r="C34" s="86" t="str">
        <f>VLOOKUP(B34,Journal!$A$3:$C$143,3,FALSE)</f>
        <v>Equipment rental receipts batch</v>
      </c>
      <c r="D34" s="86">
        <f>SUMIF(Journal!$A$3:$A$143,B34,Journal!$D$3:$D$143)</f>
        <v>7500</v>
      </c>
      <c r="E34" s="86">
        <f>IF(SUMIFS(Journal!$D$3:$D$143,Journal!$A$3:$A$143,$B34,Journal!$E$3:$E$143,E$3)=0,"",SUMIFS(Journal!$D$3:$D$143,Journal!$A$3:$A$143,$B34,Journal!$E$3:$E$143,E$3))</f>
        <v>7500</v>
      </c>
      <c r="F34" s="86" t="str">
        <f>IF(SUMIFS(Journal!$D$3:$D$143,Journal!$A$3:$A$143,$B34,Journal!$F$3:$F$143,E$3)=0,"",SUMIFS(Journal!$D$3:$D$143,Journal!$A$3:$A$143,$B34,Journal!$F$3:$F$143,E$3))</f>
        <v/>
      </c>
      <c r="G34" s="86" t="str">
        <f>IF(SUMIFS(Journal!$D$3:$D$143,Journal!$A$3:$A$143,$B34,Journal!$E$3:$E$143,G$3)=0,"",SUMIFS(Journal!$D$3:$D$143,Journal!$A$3:$A$143,$B34,Journal!$E$3:$E$143,G$3))</f>
        <v/>
      </c>
      <c r="H34" s="86" t="str">
        <f>IF(SUMIFS(Journal!$D$3:$D$143,Journal!$A$3:$A$143,$B34,Journal!$F$3:$F$143,G$3)=0,"",SUMIFS(Journal!$D$3:$D$143,Journal!$A$3:$A$143,$B34,Journal!$F$3:$F$143,G$3))</f>
        <v/>
      </c>
      <c r="I34" s="86" t="str">
        <f>IF(SUMIFS(Journal!$D$3:$D$143,Journal!$A$3:$A$143,$B34,Journal!$E$3:$E$143,I$3)=0,"",SUMIFS(Journal!$D$3:$D$143,Journal!$A$3:$A$143,$B34,Journal!$E$3:$E$143,I$3))</f>
        <v/>
      </c>
      <c r="J34" s="86" t="str">
        <f>IF(SUMIFS(Journal!$D$3:$D$143,Journal!$A$3:$A$143,$B34,Journal!$F$3:$F$143,I$3)=0,"",SUMIFS(Journal!$D$3:$D$143,Journal!$A$3:$A$143,$B34,Journal!$F$3:$F$143,I$3))</f>
        <v/>
      </c>
      <c r="K34" s="86" t="str">
        <f>IF(SUMIFS(Journal!$D$3:$D$143,Journal!$A$3:$A$143,$B34,Journal!$E$3:$E$143,K$3)=0,"",SUMIFS(Journal!$D$3:$D$143,Journal!$A$3:$A$143,$B34,Journal!$E$3:$E$143,K$3))</f>
        <v/>
      </c>
      <c r="L34" s="86" t="str">
        <f>IF(SUMIFS(Journal!$D$3:$D$143,Journal!$A$3:$A$143,$B34,Journal!$F$3:$F$143,K$3)=0,"",SUMIFS(Journal!$D$3:$D$143,Journal!$A$3:$A$143,$B34,Journal!$F$3:$F$143,K$3))</f>
        <v/>
      </c>
      <c r="M34" s="86" t="str">
        <f>IF(SUMIFS(Journal!$D$3:$D$143,Journal!$A$3:$A$143,$B34,Journal!$E$3:$E$143,M$3)=0,"",SUMIFS(Journal!$D$3:$D$143,Journal!$A$3:$A$143,$B34,Journal!$E$3:$E$143,M$3))</f>
        <v/>
      </c>
      <c r="N34" s="86" t="str">
        <f>IF(SUMIFS(Journal!$D$3:$D$143,Journal!$A$3:$A$143,$B34,Journal!$F$3:$F$143,M$3)=0,"",SUMIFS(Journal!$D$3:$D$143,Journal!$A$3:$A$143,$B34,Journal!$F$3:$F$143,M$3))</f>
        <v/>
      </c>
      <c r="O34" s="86" t="str">
        <f>IF(SUMIFS(Journal!$D$3:$D$143,Journal!$A$3:$A$143,$B34,Journal!$E$3:$E$143,O$3)=0,"",SUMIFS(Journal!$D$3:$D$143,Journal!$A$3:$A$143,$B34,Journal!$E$3:$E$143,O$3))</f>
        <v/>
      </c>
      <c r="P34" s="86" t="str">
        <f>IF(SUMIFS(Journal!$D$3:$D$143,Journal!$A$3:$A$143,$B34,Journal!$F$3:$F$143,O$3)=0,"",SUMIFS(Journal!$D$3:$D$143,Journal!$A$3:$A$143,$B34,Journal!$F$3:$F$143,O$3))</f>
        <v/>
      </c>
      <c r="Q34" s="86" t="str">
        <f>IF(SUMIFS(Journal!$D$3:$D$143,Journal!$A$3:$A$143,$B34,Journal!$E$3:$E$143,Q$3)=0,"",SUMIFS(Journal!$D$3:$D$143,Journal!$A$3:$A$143,$B34,Journal!$E$3:$E$143,Q$3))</f>
        <v/>
      </c>
      <c r="R34" s="86" t="str">
        <f>IF(SUMIFS(Journal!$D$3:$D$143,Journal!$A$3:$A$143,$B34,Journal!$F$3:$F$143,Q$3)=0,"",SUMIFS(Journal!$D$3:$D$143,Journal!$A$3:$A$143,$B34,Journal!$F$3:$F$143,Q$3))</f>
        <v/>
      </c>
      <c r="S34" s="86" t="str">
        <f>IF(SUMIFS(Journal!$D$3:$D$143,Journal!$A$3:$A$143,$B34,Journal!$E$3:$E$143,S$3)=0,"",SUMIFS(Journal!$D$3:$D$143,Journal!$A$3:$A$143,$B34,Journal!$E$3:$E$143,S$3))</f>
        <v/>
      </c>
      <c r="T34" s="86" t="str">
        <f>IF(SUMIFS(Journal!$D$3:$D$143,Journal!$A$3:$A$143,$B34,Journal!$F$3:$F$143,S$3)=0,"",SUMIFS(Journal!$D$3:$D$143,Journal!$A$3:$A$143,$B34,Journal!$F$3:$F$143,S$3))</f>
        <v/>
      </c>
      <c r="U34" s="86" t="str">
        <f>IF(SUMIFS(Journal!$D$3:$D$143,Journal!$A$3:$A$143,$B34,Journal!$E$3:$E$143,U$3)=0,"",SUMIFS(Journal!$D$3:$D$143,Journal!$A$3:$A$143,$B34,Journal!$E$3:$E$143,U$3))</f>
        <v/>
      </c>
      <c r="V34" s="86" t="str">
        <f>IF(SUMIFS(Journal!$D$3:$D$143,Journal!$A$3:$A$143,$B34,Journal!$F$3:$F$143,U$3)=0,"",SUMIFS(Journal!$D$3:$D$143,Journal!$A$3:$A$143,$B34,Journal!$F$3:$F$143,U$3))</f>
        <v/>
      </c>
      <c r="W34" s="86" t="str">
        <f>IF(SUMIFS(Journal!$D$3:$D$143,Journal!$A$3:$A$143,$B34,Journal!$E$3:$E$143,W$3)=0,"",SUMIFS(Journal!$D$3:$D$143,Journal!$A$3:$A$143,$B34,Journal!$E$3:$E$143,W$3))</f>
        <v/>
      </c>
      <c r="X34" s="86">
        <f>IF(SUMIFS(Journal!$D$3:$D$143,Journal!$A$3:$A$143,$B34,Journal!$F$3:$F$143,W$3)=0,"",SUMIFS(Journal!$D$3:$D$143,Journal!$A$3:$A$143,$B34,Journal!$F$3:$F$143,W$3))</f>
        <v>7500</v>
      </c>
      <c r="Y34" s="86" t="str">
        <f>IF(SUMIFS(Journal!$D$3:$D$143,Journal!$A$3:$A$143,$B34,Journal!$E$3:$E$143,Y$3)=0,"",SUMIFS(Journal!$D$3:$D$143,Journal!$A$3:$A$143,$B34,Journal!$E$3:$E$143,Y$3))</f>
        <v/>
      </c>
      <c r="Z34" s="86" t="str">
        <f>IF(SUMIFS(Journal!$D$3:$D$143,Journal!$A$3:$A$143,$B34,Journal!$F$3:$F$143,Y$3)=0,"",SUMIFS(Journal!$D$3:$D$143,Journal!$A$3:$A$143,$B34,Journal!$F$3:$F$143,Y$3))</f>
        <v/>
      </c>
      <c r="AA34" s="86" t="str">
        <f>IF(SUMIFS(Journal!$D$3:$D$143,Journal!$A$3:$A$143,$B34,Journal!$E$3:$E$143,AA$3)=0,"",SUMIFS(Journal!$D$3:$D$143,Journal!$A$3:$A$143,$B34,Journal!$E$3:$E$143,AA$3))</f>
        <v/>
      </c>
      <c r="AB34" s="86" t="str">
        <f>IF(SUMIFS(Journal!$D$3:$D$143,Journal!$A$3:$A$143,$B34,Journal!$F$3:$F$143,AA$3)=0,"",SUMIFS(Journal!$D$3:$D$143,Journal!$A$3:$A$143,$B34,Journal!$F$3:$F$143,AA$3))</f>
        <v/>
      </c>
      <c r="AC34" s="86" t="str">
        <f>IF(SUMIFS(Journal!$D$3:$D$143,Journal!$A$3:$A$143,$B34,Journal!$E$3:$E$143,AC$3)=0,"",SUMIFS(Journal!$D$3:$D$143,Journal!$A$3:$A$143,$B34,Journal!$E$3:$E$143,AC$3))</f>
        <v/>
      </c>
      <c r="AD34" s="86" t="str">
        <f>IF(SUMIFS(Journal!$D$3:$D$143,Journal!$A$3:$A$143,$B34,Journal!$F$3:$F$143,AC$3)=0,"",SUMIFS(Journal!$D$3:$D$143,Journal!$A$3:$A$143,$B34,Journal!$F$3:$F$143,AC$3))</f>
        <v/>
      </c>
      <c r="AE34" s="86" t="str">
        <f>IF(SUMIFS(Journal!$D$3:$D$143,Journal!$A$3:$A$143,$B34,Journal!$E$3:$E$143,AE$3)=0,"",SUMIFS(Journal!$D$3:$D$143,Journal!$A$3:$A$143,$B34,Journal!$E$3:$E$143,AE$3))</f>
        <v/>
      </c>
      <c r="AF34" s="86" t="str">
        <f>IF(SUMIFS(Journal!$D$3:$D$143,Journal!$A$3:$A$143,$B34,Journal!$F$3:$F$143,AE$3)=0,"",SUMIFS(Journal!$D$3:$D$143,Journal!$A$3:$A$143,$B34,Journal!$F$3:$F$143,AE$3))</f>
        <v/>
      </c>
      <c r="AG34" s="86" t="str">
        <f>IF(SUMIFS(Journal!$D$3:$D$143,Journal!$A$3:$A$143,$B34,Journal!$E$3:$E$143,AG$3)=0,"",SUMIFS(Journal!$D$3:$D$143,Journal!$A$3:$A$143,$B34,Journal!$E$3:$E$143,AG$3))</f>
        <v/>
      </c>
      <c r="AH34" s="86" t="str">
        <f>IF(SUMIFS(Journal!$D$3:$D$143,Journal!$A$3:$A$143,$B34,Journal!$F$3:$F$143,AG$3)=0,"",SUMIFS(Journal!$D$3:$D$143,Journal!$A$3:$A$143,$B34,Journal!$F$3:$F$143,AG$3))</f>
        <v/>
      </c>
      <c r="AI34" s="86" t="str">
        <f>IF(SUMIFS(Journal!$D$3:$D$143,Journal!$A$3:$A$143,$B34,Journal!$E$3:$E$143,AI$3)=0,"",SUMIFS(Journal!$D$3:$D$143,Journal!$A$3:$A$143,$B34,Journal!$E$3:$E$143,AI$3))</f>
        <v/>
      </c>
      <c r="AJ34" s="86" t="str">
        <f>IF(SUMIFS(Journal!$D$3:$D$143,Journal!$A$3:$A$143,$B34,Journal!$F$3:$F$143,AI$3)=0,"",SUMIFS(Journal!$D$3:$D$143,Journal!$A$3:$A$143,$B34,Journal!$F$3:$F$143,AI$3))</f>
        <v/>
      </c>
      <c r="AK34" s="86" t="str">
        <f>IF(SUMIFS(Journal!$D$3:$D$143,Journal!$A$3:$A$143,$B34,Journal!$E$3:$E$143,AK$3)=0,"",SUMIFS(Journal!$D$3:$D$143,Journal!$A$3:$A$143,$B34,Journal!$E$3:$E$143,AK$3))</f>
        <v/>
      </c>
      <c r="AL34" s="86" t="str">
        <f>IF(SUMIFS(Journal!$D$3:$D$143,Journal!$A$3:$A$143,$B34,Journal!$F$3:$F$143,AK$3)=0,"",SUMIFS(Journal!$D$3:$D$143,Journal!$A$3:$A$143,$B34,Journal!$F$3:$F$143,AK$3))</f>
        <v/>
      </c>
      <c r="AM34" s="86" t="str">
        <f>IF(SUMIFS(Journal!$D$3:$D$143,Journal!$A$3:$A$143,$B34,Journal!$E$3:$E$143,AM$3)=0,"",SUMIFS(Journal!$D$3:$D$143,Journal!$A$3:$A$143,$B34,Journal!$E$3:$E$143,AM$3))</f>
        <v/>
      </c>
      <c r="AN34" s="86" t="str">
        <f>IF(SUMIFS(Journal!$D$3:$D$143,Journal!$A$3:$A$143,$B34,Journal!$F$3:$F$143,AM$3)=0,"",SUMIFS(Journal!$D$3:$D$143,Journal!$A$3:$A$143,$B34,Journal!$F$3:$F$143,AM$3))</f>
        <v/>
      </c>
      <c r="AO34" s="86" t="str">
        <f>IF(SUMIFS(Journal!$D$3:$D$143,Journal!$A$3:$A$143,$B34,Journal!$E$3:$E$143,AO$3)=0,"",SUMIFS(Journal!$D$3:$D$143,Journal!$A$3:$A$143,$B34,Journal!$E$3:$E$143,AO$3))</f>
        <v/>
      </c>
      <c r="AP34" s="86" t="str">
        <f>IF(SUMIFS(Journal!$D$3:$D$143,Journal!$A$3:$A$143,$B34,Journal!$F$3:$F$143,AO$3)=0,"",SUMIFS(Journal!$D$3:$D$143,Journal!$A$3:$A$143,$B34,Journal!$F$3:$F$143,AO$3))</f>
        <v/>
      </c>
      <c r="AQ34" s="86" t="str">
        <f>IF(SUMIFS(Journal!$D$3:$D$143,Journal!$A$3:$A$143,$B34,Journal!$E$3:$E$143,AQ$3)=0,"",SUMIFS(Journal!$D$3:$D$143,Journal!$A$3:$A$143,$B34,Journal!$E$3:$E$143,AQ$3))</f>
        <v/>
      </c>
      <c r="AR34" s="86" t="str">
        <f>IF(SUMIFS(Journal!$D$3:$D$143,Journal!$A$3:$A$143,$B34,Journal!$F$3:$F$143,AQ$3)=0,"",SUMIFS(Journal!$D$3:$D$143,Journal!$A$3:$A$143,$B34,Journal!$F$3:$F$143,AQ$3))</f>
        <v/>
      </c>
      <c r="AS34" s="86" t="str">
        <f>IF(SUMIFS(Journal!$D$3:$D$143,Journal!$A$3:$A$143,$B34,Journal!$E$3:$E$143,AS$3)=0,"",SUMIFS(Journal!$D$3:$D$143,Journal!$A$3:$A$143,$B34,Journal!$E$3:$E$143,AS$3))</f>
        <v/>
      </c>
      <c r="AT34" s="86" t="str">
        <f>IF(SUMIFS(Journal!$D$3:$D$143,Journal!$A$3:$A$143,$B34,Journal!$F$3:$F$143,AS$3)=0,"",SUMIFS(Journal!$D$3:$D$143,Journal!$A$3:$A$143,$B34,Journal!$F$3:$F$143,AS$3))</f>
        <v/>
      </c>
      <c r="AU34" s="86" t="str">
        <f>IF(SUMIFS(Journal!$D$3:$D$143,Journal!$A$3:$A$143,$B34,Journal!$E$3:$E$143,AU$3)=0,"",SUMIFS(Journal!$D$3:$D$143,Journal!$A$3:$A$143,$B34,Journal!$E$3:$E$143,AU$3))</f>
        <v/>
      </c>
      <c r="AV34" s="86" t="str">
        <f>IF(SUMIFS(Journal!$D$3:$D$143,Journal!$A$3:$A$143,$B34,Journal!$F$3:$F$143,AU$3)=0,"",SUMIFS(Journal!$D$3:$D$143,Journal!$A$3:$A$143,$B34,Journal!$F$3:$F$143,AU$3))</f>
        <v/>
      </c>
      <c r="AW34" s="86" t="str">
        <f>IF(SUMIFS(Journal!$D$3:$D$143,Journal!$A$3:$A$143,$B34,Journal!$E$3:$E$143,AW$3)=0,"",SUMIFS(Journal!$D$3:$D$143,Journal!$A$3:$A$143,$B34,Journal!$E$3:$E$143,AW$3))</f>
        <v/>
      </c>
      <c r="AX34" s="86" t="str">
        <f>IF(SUMIFS(Journal!$D$3:$D$143,Journal!$A$3:$A$143,$B34,Journal!$F$3:$F$143,AW$3)=0,"",SUMIFS(Journal!$D$3:$D$143,Journal!$A$3:$A$143,$B34,Journal!$F$3:$F$143,AW$3))</f>
        <v/>
      </c>
      <c r="AY34" s="86" t="str">
        <f>IF(SUMIFS(Journal!$D$3:$D$143,Journal!$A$3:$A$143,$B34,Journal!$E$3:$E$143,AY$3)=0,"",SUMIFS(Journal!$D$3:$D$143,Journal!$A$3:$A$143,$B34,Journal!$E$3:$E$143,AY$3))</f>
        <v/>
      </c>
      <c r="AZ34" s="86" t="str">
        <f>IF(SUMIFS(Journal!$D$3:$D$143,Journal!$A$3:$A$143,$B34,Journal!$F$3:$F$143,AY$3)=0,"",SUMIFS(Journal!$D$3:$D$143,Journal!$A$3:$A$143,$B34,Journal!$F$3:$F$143,AY$3))</f>
        <v/>
      </c>
      <c r="BA34" s="86" t="str">
        <f>IF(SUMIFS(Journal!$D$3:$D$143,Journal!$A$3:$A$143,$B34,Journal!$E$3:$E$143,BA$3)=0,"",SUMIFS(Journal!$D$3:$D$143,Journal!$A$3:$A$143,$B34,Journal!$E$3:$E$143,BA$3))</f>
        <v/>
      </c>
      <c r="BB34" s="86" t="str">
        <f>IF(SUMIFS(Journal!$D$3:$D$143,Journal!$A$3:$A$143,$B34,Journal!$F$3:$F$143,BA$3)=0,"",SUMIFS(Journal!$D$3:$D$143,Journal!$A$3:$A$143,$B34,Journal!$F$3:$F$143,BA$3))</f>
        <v/>
      </c>
    </row>
    <row r="35">
      <c r="A35" s="84">
        <f>VLOOKUP(B35,Journal!$A$3:$C$143,2,FALSE)</f>
        <v>45369</v>
      </c>
      <c r="B35" s="85" t="s">
        <v>287</v>
      </c>
      <c r="C35" s="86" t="str">
        <f>VLOOKUP(B35,Journal!$A$3:$C$143,3,FALSE)</f>
        <v>Retail camping-supply sales</v>
      </c>
      <c r="D35" s="86">
        <f>SUMIF(Journal!$A$3:$A$143,B35,Journal!$D$3:$D$143)</f>
        <v>8000</v>
      </c>
      <c r="E35" s="86">
        <f>IF(SUMIFS(Journal!$D$3:$D$143,Journal!$A$3:$A$143,$B35,Journal!$E$3:$E$143,E$3)=0,"",SUMIFS(Journal!$D$3:$D$143,Journal!$A$3:$A$143,$B35,Journal!$E$3:$E$143,E$3))</f>
        <v>5000</v>
      </c>
      <c r="F35" s="86" t="str">
        <f>IF(SUMIFS(Journal!$D$3:$D$143,Journal!$A$3:$A$143,$B35,Journal!$F$3:$F$143,E$3)=0,"",SUMIFS(Journal!$D$3:$D$143,Journal!$A$3:$A$143,$B35,Journal!$F$3:$F$143,E$3))</f>
        <v/>
      </c>
      <c r="G35" s="86" t="str">
        <f>IF(SUMIFS(Journal!$D$3:$D$143,Journal!$A$3:$A$143,$B35,Journal!$E$3:$E$143,G$3)=0,"",SUMIFS(Journal!$D$3:$D$143,Journal!$A$3:$A$143,$B35,Journal!$E$3:$E$143,G$3))</f>
        <v/>
      </c>
      <c r="H35" s="86" t="str">
        <f>IF(SUMIFS(Journal!$D$3:$D$143,Journal!$A$3:$A$143,$B35,Journal!$F$3:$F$143,G$3)=0,"",SUMIFS(Journal!$D$3:$D$143,Journal!$A$3:$A$143,$B35,Journal!$F$3:$F$143,G$3))</f>
        <v/>
      </c>
      <c r="I35" s="86" t="str">
        <f>IF(SUMIFS(Journal!$D$3:$D$143,Journal!$A$3:$A$143,$B35,Journal!$E$3:$E$143,I$3)=0,"",SUMIFS(Journal!$D$3:$D$143,Journal!$A$3:$A$143,$B35,Journal!$E$3:$E$143,I$3))</f>
        <v/>
      </c>
      <c r="J35" s="86">
        <f>IF(SUMIFS(Journal!$D$3:$D$143,Journal!$A$3:$A$143,$B35,Journal!$F$3:$F$143,I$3)=0,"",SUMIFS(Journal!$D$3:$D$143,Journal!$A$3:$A$143,$B35,Journal!$F$3:$F$143,I$3))</f>
        <v>3000</v>
      </c>
      <c r="K35" s="86" t="str">
        <f>IF(SUMIFS(Journal!$D$3:$D$143,Journal!$A$3:$A$143,$B35,Journal!$E$3:$E$143,K$3)=0,"",SUMIFS(Journal!$D$3:$D$143,Journal!$A$3:$A$143,$B35,Journal!$E$3:$E$143,K$3))</f>
        <v/>
      </c>
      <c r="L35" s="86" t="str">
        <f>IF(SUMIFS(Journal!$D$3:$D$143,Journal!$A$3:$A$143,$B35,Journal!$F$3:$F$143,K$3)=0,"",SUMIFS(Journal!$D$3:$D$143,Journal!$A$3:$A$143,$B35,Journal!$F$3:$F$143,K$3))</f>
        <v/>
      </c>
      <c r="M35" s="86" t="str">
        <f>IF(SUMIFS(Journal!$D$3:$D$143,Journal!$A$3:$A$143,$B35,Journal!$E$3:$E$143,M$3)=0,"",SUMIFS(Journal!$D$3:$D$143,Journal!$A$3:$A$143,$B35,Journal!$E$3:$E$143,M$3))</f>
        <v/>
      </c>
      <c r="N35" s="86" t="str">
        <f>IF(SUMIFS(Journal!$D$3:$D$143,Journal!$A$3:$A$143,$B35,Journal!$F$3:$F$143,M$3)=0,"",SUMIFS(Journal!$D$3:$D$143,Journal!$A$3:$A$143,$B35,Journal!$F$3:$F$143,M$3))</f>
        <v/>
      </c>
      <c r="O35" s="86" t="str">
        <f>IF(SUMIFS(Journal!$D$3:$D$143,Journal!$A$3:$A$143,$B35,Journal!$E$3:$E$143,O$3)=0,"",SUMIFS(Journal!$D$3:$D$143,Journal!$A$3:$A$143,$B35,Journal!$E$3:$E$143,O$3))</f>
        <v/>
      </c>
      <c r="P35" s="86" t="str">
        <f>IF(SUMIFS(Journal!$D$3:$D$143,Journal!$A$3:$A$143,$B35,Journal!$F$3:$F$143,O$3)=0,"",SUMIFS(Journal!$D$3:$D$143,Journal!$A$3:$A$143,$B35,Journal!$F$3:$F$143,O$3))</f>
        <v/>
      </c>
      <c r="Q35" s="86" t="str">
        <f>IF(SUMIFS(Journal!$D$3:$D$143,Journal!$A$3:$A$143,$B35,Journal!$E$3:$E$143,Q$3)=0,"",SUMIFS(Journal!$D$3:$D$143,Journal!$A$3:$A$143,$B35,Journal!$E$3:$E$143,Q$3))</f>
        <v/>
      </c>
      <c r="R35" s="86" t="str">
        <f>IF(SUMIFS(Journal!$D$3:$D$143,Journal!$A$3:$A$143,$B35,Journal!$F$3:$F$143,Q$3)=0,"",SUMIFS(Journal!$D$3:$D$143,Journal!$A$3:$A$143,$B35,Journal!$F$3:$F$143,Q$3))</f>
        <v/>
      </c>
      <c r="S35" s="86" t="str">
        <f>IF(SUMIFS(Journal!$D$3:$D$143,Journal!$A$3:$A$143,$B35,Journal!$E$3:$E$143,S$3)=0,"",SUMIFS(Journal!$D$3:$D$143,Journal!$A$3:$A$143,$B35,Journal!$E$3:$E$143,S$3))</f>
        <v/>
      </c>
      <c r="T35" s="86" t="str">
        <f>IF(SUMIFS(Journal!$D$3:$D$143,Journal!$A$3:$A$143,$B35,Journal!$F$3:$F$143,S$3)=0,"",SUMIFS(Journal!$D$3:$D$143,Journal!$A$3:$A$143,$B35,Journal!$F$3:$F$143,S$3))</f>
        <v/>
      </c>
      <c r="U35" s="86" t="str">
        <f>IF(SUMIFS(Journal!$D$3:$D$143,Journal!$A$3:$A$143,$B35,Journal!$E$3:$E$143,U$3)=0,"",SUMIFS(Journal!$D$3:$D$143,Journal!$A$3:$A$143,$B35,Journal!$E$3:$E$143,U$3))</f>
        <v/>
      </c>
      <c r="V35" s="86" t="str">
        <f>IF(SUMIFS(Journal!$D$3:$D$143,Journal!$A$3:$A$143,$B35,Journal!$F$3:$F$143,U$3)=0,"",SUMIFS(Journal!$D$3:$D$143,Journal!$A$3:$A$143,$B35,Journal!$F$3:$F$143,U$3))</f>
        <v/>
      </c>
      <c r="W35" s="86" t="str">
        <f>IF(SUMIFS(Journal!$D$3:$D$143,Journal!$A$3:$A$143,$B35,Journal!$E$3:$E$143,W$3)=0,"",SUMIFS(Journal!$D$3:$D$143,Journal!$A$3:$A$143,$B35,Journal!$E$3:$E$143,W$3))</f>
        <v/>
      </c>
      <c r="X35" s="86" t="str">
        <f>IF(SUMIFS(Journal!$D$3:$D$143,Journal!$A$3:$A$143,$B35,Journal!$F$3:$F$143,W$3)=0,"",SUMIFS(Journal!$D$3:$D$143,Journal!$A$3:$A$143,$B35,Journal!$F$3:$F$143,W$3))</f>
        <v/>
      </c>
      <c r="Y35" s="86" t="str">
        <f>IF(SUMIFS(Journal!$D$3:$D$143,Journal!$A$3:$A$143,$B35,Journal!$E$3:$E$143,Y$3)=0,"",SUMIFS(Journal!$D$3:$D$143,Journal!$A$3:$A$143,$B35,Journal!$E$3:$E$143,Y$3))</f>
        <v/>
      </c>
      <c r="Z35" s="86" t="str">
        <f>IF(SUMIFS(Journal!$D$3:$D$143,Journal!$A$3:$A$143,$B35,Journal!$F$3:$F$143,Y$3)=0,"",SUMIFS(Journal!$D$3:$D$143,Journal!$A$3:$A$143,$B35,Journal!$F$3:$F$143,Y$3))</f>
        <v/>
      </c>
      <c r="AA35" s="86" t="str">
        <f>IF(SUMIFS(Journal!$D$3:$D$143,Journal!$A$3:$A$143,$B35,Journal!$E$3:$E$143,AA$3)=0,"",SUMIFS(Journal!$D$3:$D$143,Journal!$A$3:$A$143,$B35,Journal!$E$3:$E$143,AA$3))</f>
        <v/>
      </c>
      <c r="AB35" s="86">
        <f>IF(SUMIFS(Journal!$D$3:$D$143,Journal!$A$3:$A$143,$B35,Journal!$F$3:$F$143,AA$3)=0,"",SUMIFS(Journal!$D$3:$D$143,Journal!$A$3:$A$143,$B35,Journal!$F$3:$F$143,AA$3))</f>
        <v>5000</v>
      </c>
      <c r="AC35" s="86" t="str">
        <f>IF(SUMIFS(Journal!$D$3:$D$143,Journal!$A$3:$A$143,$B35,Journal!$E$3:$E$143,AC$3)=0,"",SUMIFS(Journal!$D$3:$D$143,Journal!$A$3:$A$143,$B35,Journal!$E$3:$E$143,AC$3))</f>
        <v/>
      </c>
      <c r="AD35" s="86" t="str">
        <f>IF(SUMIFS(Journal!$D$3:$D$143,Journal!$A$3:$A$143,$B35,Journal!$F$3:$F$143,AC$3)=0,"",SUMIFS(Journal!$D$3:$D$143,Journal!$A$3:$A$143,$B35,Journal!$F$3:$F$143,AC$3))</f>
        <v/>
      </c>
      <c r="AE35" s="86">
        <f>IF(SUMIFS(Journal!$D$3:$D$143,Journal!$A$3:$A$143,$B35,Journal!$E$3:$E$143,AE$3)=0,"",SUMIFS(Journal!$D$3:$D$143,Journal!$A$3:$A$143,$B35,Journal!$E$3:$E$143,AE$3))</f>
        <v>3000</v>
      </c>
      <c r="AF35" s="86" t="str">
        <f>IF(SUMIFS(Journal!$D$3:$D$143,Journal!$A$3:$A$143,$B35,Journal!$F$3:$F$143,AE$3)=0,"",SUMIFS(Journal!$D$3:$D$143,Journal!$A$3:$A$143,$B35,Journal!$F$3:$F$143,AE$3))</f>
        <v/>
      </c>
      <c r="AG35" s="86" t="str">
        <f>IF(SUMIFS(Journal!$D$3:$D$143,Journal!$A$3:$A$143,$B35,Journal!$E$3:$E$143,AG$3)=0,"",SUMIFS(Journal!$D$3:$D$143,Journal!$A$3:$A$143,$B35,Journal!$E$3:$E$143,AG$3))</f>
        <v/>
      </c>
      <c r="AH35" s="86" t="str">
        <f>IF(SUMIFS(Journal!$D$3:$D$143,Journal!$A$3:$A$143,$B35,Journal!$F$3:$F$143,AG$3)=0,"",SUMIFS(Journal!$D$3:$D$143,Journal!$A$3:$A$143,$B35,Journal!$F$3:$F$143,AG$3))</f>
        <v/>
      </c>
      <c r="AI35" s="86" t="str">
        <f>IF(SUMIFS(Journal!$D$3:$D$143,Journal!$A$3:$A$143,$B35,Journal!$E$3:$E$143,AI$3)=0,"",SUMIFS(Journal!$D$3:$D$143,Journal!$A$3:$A$143,$B35,Journal!$E$3:$E$143,AI$3))</f>
        <v/>
      </c>
      <c r="AJ35" s="86" t="str">
        <f>IF(SUMIFS(Journal!$D$3:$D$143,Journal!$A$3:$A$143,$B35,Journal!$F$3:$F$143,AI$3)=0,"",SUMIFS(Journal!$D$3:$D$143,Journal!$A$3:$A$143,$B35,Journal!$F$3:$F$143,AI$3))</f>
        <v/>
      </c>
      <c r="AK35" s="86" t="str">
        <f>IF(SUMIFS(Journal!$D$3:$D$143,Journal!$A$3:$A$143,$B35,Journal!$E$3:$E$143,AK$3)=0,"",SUMIFS(Journal!$D$3:$D$143,Journal!$A$3:$A$143,$B35,Journal!$E$3:$E$143,AK$3))</f>
        <v/>
      </c>
      <c r="AL35" s="86" t="str">
        <f>IF(SUMIFS(Journal!$D$3:$D$143,Journal!$A$3:$A$143,$B35,Journal!$F$3:$F$143,AK$3)=0,"",SUMIFS(Journal!$D$3:$D$143,Journal!$A$3:$A$143,$B35,Journal!$F$3:$F$143,AK$3))</f>
        <v/>
      </c>
      <c r="AM35" s="86" t="str">
        <f>IF(SUMIFS(Journal!$D$3:$D$143,Journal!$A$3:$A$143,$B35,Journal!$E$3:$E$143,AM$3)=0,"",SUMIFS(Journal!$D$3:$D$143,Journal!$A$3:$A$143,$B35,Journal!$E$3:$E$143,AM$3))</f>
        <v/>
      </c>
      <c r="AN35" s="86" t="str">
        <f>IF(SUMIFS(Journal!$D$3:$D$143,Journal!$A$3:$A$143,$B35,Journal!$F$3:$F$143,AM$3)=0,"",SUMIFS(Journal!$D$3:$D$143,Journal!$A$3:$A$143,$B35,Journal!$F$3:$F$143,AM$3))</f>
        <v/>
      </c>
      <c r="AO35" s="86" t="str">
        <f>IF(SUMIFS(Journal!$D$3:$D$143,Journal!$A$3:$A$143,$B35,Journal!$E$3:$E$143,AO$3)=0,"",SUMIFS(Journal!$D$3:$D$143,Journal!$A$3:$A$143,$B35,Journal!$E$3:$E$143,AO$3))</f>
        <v/>
      </c>
      <c r="AP35" s="86" t="str">
        <f>IF(SUMIFS(Journal!$D$3:$D$143,Journal!$A$3:$A$143,$B35,Journal!$F$3:$F$143,AO$3)=0,"",SUMIFS(Journal!$D$3:$D$143,Journal!$A$3:$A$143,$B35,Journal!$F$3:$F$143,AO$3))</f>
        <v/>
      </c>
      <c r="AQ35" s="86" t="str">
        <f>IF(SUMIFS(Journal!$D$3:$D$143,Journal!$A$3:$A$143,$B35,Journal!$E$3:$E$143,AQ$3)=0,"",SUMIFS(Journal!$D$3:$D$143,Journal!$A$3:$A$143,$B35,Journal!$E$3:$E$143,AQ$3))</f>
        <v/>
      </c>
      <c r="AR35" s="86" t="str">
        <f>IF(SUMIFS(Journal!$D$3:$D$143,Journal!$A$3:$A$143,$B35,Journal!$F$3:$F$143,AQ$3)=0,"",SUMIFS(Journal!$D$3:$D$143,Journal!$A$3:$A$143,$B35,Journal!$F$3:$F$143,AQ$3))</f>
        <v/>
      </c>
      <c r="AS35" s="86" t="str">
        <f>IF(SUMIFS(Journal!$D$3:$D$143,Journal!$A$3:$A$143,$B35,Journal!$E$3:$E$143,AS$3)=0,"",SUMIFS(Journal!$D$3:$D$143,Journal!$A$3:$A$143,$B35,Journal!$E$3:$E$143,AS$3))</f>
        <v/>
      </c>
      <c r="AT35" s="86" t="str">
        <f>IF(SUMIFS(Journal!$D$3:$D$143,Journal!$A$3:$A$143,$B35,Journal!$F$3:$F$143,AS$3)=0,"",SUMIFS(Journal!$D$3:$D$143,Journal!$A$3:$A$143,$B35,Journal!$F$3:$F$143,AS$3))</f>
        <v/>
      </c>
      <c r="AU35" s="86" t="str">
        <f>IF(SUMIFS(Journal!$D$3:$D$143,Journal!$A$3:$A$143,$B35,Journal!$E$3:$E$143,AU$3)=0,"",SUMIFS(Journal!$D$3:$D$143,Journal!$A$3:$A$143,$B35,Journal!$E$3:$E$143,AU$3))</f>
        <v/>
      </c>
      <c r="AV35" s="86" t="str">
        <f>IF(SUMIFS(Journal!$D$3:$D$143,Journal!$A$3:$A$143,$B35,Journal!$F$3:$F$143,AU$3)=0,"",SUMIFS(Journal!$D$3:$D$143,Journal!$A$3:$A$143,$B35,Journal!$F$3:$F$143,AU$3))</f>
        <v/>
      </c>
      <c r="AW35" s="86" t="str">
        <f>IF(SUMIFS(Journal!$D$3:$D$143,Journal!$A$3:$A$143,$B35,Journal!$E$3:$E$143,AW$3)=0,"",SUMIFS(Journal!$D$3:$D$143,Journal!$A$3:$A$143,$B35,Journal!$E$3:$E$143,AW$3))</f>
        <v/>
      </c>
      <c r="AX35" s="86" t="str">
        <f>IF(SUMIFS(Journal!$D$3:$D$143,Journal!$A$3:$A$143,$B35,Journal!$F$3:$F$143,AW$3)=0,"",SUMIFS(Journal!$D$3:$D$143,Journal!$A$3:$A$143,$B35,Journal!$F$3:$F$143,AW$3))</f>
        <v/>
      </c>
      <c r="AY35" s="86" t="str">
        <f>IF(SUMIFS(Journal!$D$3:$D$143,Journal!$A$3:$A$143,$B35,Journal!$E$3:$E$143,AY$3)=0,"",SUMIFS(Journal!$D$3:$D$143,Journal!$A$3:$A$143,$B35,Journal!$E$3:$E$143,AY$3))</f>
        <v/>
      </c>
      <c r="AZ35" s="86" t="str">
        <f>IF(SUMIFS(Journal!$D$3:$D$143,Journal!$A$3:$A$143,$B35,Journal!$F$3:$F$143,AY$3)=0,"",SUMIFS(Journal!$D$3:$D$143,Journal!$A$3:$A$143,$B35,Journal!$F$3:$F$143,AY$3))</f>
        <v/>
      </c>
      <c r="BA35" s="86" t="str">
        <f>IF(SUMIFS(Journal!$D$3:$D$143,Journal!$A$3:$A$143,$B35,Journal!$E$3:$E$143,BA$3)=0,"",SUMIFS(Journal!$D$3:$D$143,Journal!$A$3:$A$143,$B35,Journal!$E$3:$E$143,BA$3))</f>
        <v/>
      </c>
      <c r="BB35" s="86" t="str">
        <f>IF(SUMIFS(Journal!$D$3:$D$143,Journal!$A$3:$A$143,$B35,Journal!$F$3:$F$143,BA$3)=0,"",SUMIFS(Journal!$D$3:$D$143,Journal!$A$3:$A$143,$B35,Journal!$F$3:$F$143,BA$3))</f>
        <v/>
      </c>
    </row>
    <row r="36">
      <c r="A36" s="84">
        <f>VLOOKUP(B36,Journal!$A$3:$C$143,2,FALSE)</f>
        <v>45369</v>
      </c>
      <c r="B36" s="85" t="s">
        <v>291</v>
      </c>
      <c r="C36" s="86" t="str">
        <f>VLOOKUP(B36,Journal!$A$3:$C$143,3,FALSE)</f>
        <v>Fleet service and dispatch</v>
      </c>
      <c r="D36" s="86">
        <f>SUMIF(Journal!$A$3:$A$143,B36,Journal!$D$3:$D$143)</f>
        <v>3400</v>
      </c>
      <c r="E36" s="86" t="str">
        <f>IF(SUMIFS(Journal!$D$3:$D$143,Journal!$A$3:$A$143,$B36,Journal!$E$3:$E$143,E$3)=0,"",SUMIFS(Journal!$D$3:$D$143,Journal!$A$3:$A$143,$B36,Journal!$E$3:$E$143,E$3))</f>
        <v/>
      </c>
      <c r="F36" s="86">
        <f>IF(SUMIFS(Journal!$D$3:$D$143,Journal!$A$3:$A$143,$B36,Journal!$F$3:$F$143,E$3)=0,"",SUMIFS(Journal!$D$3:$D$143,Journal!$A$3:$A$143,$B36,Journal!$F$3:$F$143,E$3))</f>
        <v>3400</v>
      </c>
      <c r="G36" s="86" t="str">
        <f>IF(SUMIFS(Journal!$D$3:$D$143,Journal!$A$3:$A$143,$B36,Journal!$E$3:$E$143,G$3)=0,"",SUMIFS(Journal!$D$3:$D$143,Journal!$A$3:$A$143,$B36,Journal!$E$3:$E$143,G$3))</f>
        <v/>
      </c>
      <c r="H36" s="86" t="str">
        <f>IF(SUMIFS(Journal!$D$3:$D$143,Journal!$A$3:$A$143,$B36,Journal!$F$3:$F$143,G$3)=0,"",SUMIFS(Journal!$D$3:$D$143,Journal!$A$3:$A$143,$B36,Journal!$F$3:$F$143,G$3))</f>
        <v/>
      </c>
      <c r="I36" s="86" t="str">
        <f>IF(SUMIFS(Journal!$D$3:$D$143,Journal!$A$3:$A$143,$B36,Journal!$E$3:$E$143,I$3)=0,"",SUMIFS(Journal!$D$3:$D$143,Journal!$A$3:$A$143,$B36,Journal!$E$3:$E$143,I$3))</f>
        <v/>
      </c>
      <c r="J36" s="86" t="str">
        <f>IF(SUMIFS(Journal!$D$3:$D$143,Journal!$A$3:$A$143,$B36,Journal!$F$3:$F$143,I$3)=0,"",SUMIFS(Journal!$D$3:$D$143,Journal!$A$3:$A$143,$B36,Journal!$F$3:$F$143,I$3))</f>
        <v/>
      </c>
      <c r="K36" s="86" t="str">
        <f>IF(SUMIFS(Journal!$D$3:$D$143,Journal!$A$3:$A$143,$B36,Journal!$E$3:$E$143,K$3)=0,"",SUMIFS(Journal!$D$3:$D$143,Journal!$A$3:$A$143,$B36,Journal!$E$3:$E$143,K$3))</f>
        <v/>
      </c>
      <c r="L36" s="86" t="str">
        <f>IF(SUMIFS(Journal!$D$3:$D$143,Journal!$A$3:$A$143,$B36,Journal!$F$3:$F$143,K$3)=0,"",SUMIFS(Journal!$D$3:$D$143,Journal!$A$3:$A$143,$B36,Journal!$F$3:$F$143,K$3))</f>
        <v/>
      </c>
      <c r="M36" s="86" t="str">
        <f>IF(SUMIFS(Journal!$D$3:$D$143,Journal!$A$3:$A$143,$B36,Journal!$E$3:$E$143,M$3)=0,"",SUMIFS(Journal!$D$3:$D$143,Journal!$A$3:$A$143,$B36,Journal!$E$3:$E$143,M$3))</f>
        <v/>
      </c>
      <c r="N36" s="86" t="str">
        <f>IF(SUMIFS(Journal!$D$3:$D$143,Journal!$A$3:$A$143,$B36,Journal!$F$3:$F$143,M$3)=0,"",SUMIFS(Journal!$D$3:$D$143,Journal!$A$3:$A$143,$B36,Journal!$F$3:$F$143,M$3))</f>
        <v/>
      </c>
      <c r="O36" s="86" t="str">
        <f>IF(SUMIFS(Journal!$D$3:$D$143,Journal!$A$3:$A$143,$B36,Journal!$E$3:$E$143,O$3)=0,"",SUMIFS(Journal!$D$3:$D$143,Journal!$A$3:$A$143,$B36,Journal!$E$3:$E$143,O$3))</f>
        <v/>
      </c>
      <c r="P36" s="86" t="str">
        <f>IF(SUMIFS(Journal!$D$3:$D$143,Journal!$A$3:$A$143,$B36,Journal!$F$3:$F$143,O$3)=0,"",SUMIFS(Journal!$D$3:$D$143,Journal!$A$3:$A$143,$B36,Journal!$F$3:$F$143,O$3))</f>
        <v/>
      </c>
      <c r="Q36" s="86" t="str">
        <f>IF(SUMIFS(Journal!$D$3:$D$143,Journal!$A$3:$A$143,$B36,Journal!$E$3:$E$143,Q$3)=0,"",SUMIFS(Journal!$D$3:$D$143,Journal!$A$3:$A$143,$B36,Journal!$E$3:$E$143,Q$3))</f>
        <v/>
      </c>
      <c r="R36" s="86" t="str">
        <f>IF(SUMIFS(Journal!$D$3:$D$143,Journal!$A$3:$A$143,$B36,Journal!$F$3:$F$143,Q$3)=0,"",SUMIFS(Journal!$D$3:$D$143,Journal!$A$3:$A$143,$B36,Journal!$F$3:$F$143,Q$3))</f>
        <v/>
      </c>
      <c r="S36" s="86" t="str">
        <f>IF(SUMIFS(Journal!$D$3:$D$143,Journal!$A$3:$A$143,$B36,Journal!$E$3:$E$143,S$3)=0,"",SUMIFS(Journal!$D$3:$D$143,Journal!$A$3:$A$143,$B36,Journal!$E$3:$E$143,S$3))</f>
        <v/>
      </c>
      <c r="T36" s="86" t="str">
        <f>IF(SUMIFS(Journal!$D$3:$D$143,Journal!$A$3:$A$143,$B36,Journal!$F$3:$F$143,S$3)=0,"",SUMIFS(Journal!$D$3:$D$143,Journal!$A$3:$A$143,$B36,Journal!$F$3:$F$143,S$3))</f>
        <v/>
      </c>
      <c r="U36" s="86" t="str">
        <f>IF(SUMIFS(Journal!$D$3:$D$143,Journal!$A$3:$A$143,$B36,Journal!$E$3:$E$143,U$3)=0,"",SUMIFS(Journal!$D$3:$D$143,Journal!$A$3:$A$143,$B36,Journal!$E$3:$E$143,U$3))</f>
        <v/>
      </c>
      <c r="V36" s="86" t="str">
        <f>IF(SUMIFS(Journal!$D$3:$D$143,Journal!$A$3:$A$143,$B36,Journal!$F$3:$F$143,U$3)=0,"",SUMIFS(Journal!$D$3:$D$143,Journal!$A$3:$A$143,$B36,Journal!$F$3:$F$143,U$3))</f>
        <v/>
      </c>
      <c r="W36" s="86" t="str">
        <f>IF(SUMIFS(Journal!$D$3:$D$143,Journal!$A$3:$A$143,$B36,Journal!$E$3:$E$143,W$3)=0,"",SUMIFS(Journal!$D$3:$D$143,Journal!$A$3:$A$143,$B36,Journal!$E$3:$E$143,W$3))</f>
        <v/>
      </c>
      <c r="X36" s="86" t="str">
        <f>IF(SUMIFS(Journal!$D$3:$D$143,Journal!$A$3:$A$143,$B36,Journal!$F$3:$F$143,W$3)=0,"",SUMIFS(Journal!$D$3:$D$143,Journal!$A$3:$A$143,$B36,Journal!$F$3:$F$143,W$3))</f>
        <v/>
      </c>
      <c r="Y36" s="86" t="str">
        <f>IF(SUMIFS(Journal!$D$3:$D$143,Journal!$A$3:$A$143,$B36,Journal!$E$3:$E$143,Y$3)=0,"",SUMIFS(Journal!$D$3:$D$143,Journal!$A$3:$A$143,$B36,Journal!$E$3:$E$143,Y$3))</f>
        <v/>
      </c>
      <c r="Z36" s="86" t="str">
        <f>IF(SUMIFS(Journal!$D$3:$D$143,Journal!$A$3:$A$143,$B36,Journal!$F$3:$F$143,Y$3)=0,"",SUMIFS(Journal!$D$3:$D$143,Journal!$A$3:$A$143,$B36,Journal!$F$3:$F$143,Y$3))</f>
        <v/>
      </c>
      <c r="AA36" s="86" t="str">
        <f>IF(SUMIFS(Journal!$D$3:$D$143,Journal!$A$3:$A$143,$B36,Journal!$E$3:$E$143,AA$3)=0,"",SUMIFS(Journal!$D$3:$D$143,Journal!$A$3:$A$143,$B36,Journal!$E$3:$E$143,AA$3))</f>
        <v/>
      </c>
      <c r="AB36" s="86" t="str">
        <f>IF(SUMIFS(Journal!$D$3:$D$143,Journal!$A$3:$A$143,$B36,Journal!$F$3:$F$143,AA$3)=0,"",SUMIFS(Journal!$D$3:$D$143,Journal!$A$3:$A$143,$B36,Journal!$F$3:$F$143,AA$3))</f>
        <v/>
      </c>
      <c r="AC36" s="86" t="str">
        <f>IF(SUMIFS(Journal!$D$3:$D$143,Journal!$A$3:$A$143,$B36,Journal!$E$3:$E$143,AC$3)=0,"",SUMIFS(Journal!$D$3:$D$143,Journal!$A$3:$A$143,$B36,Journal!$E$3:$E$143,AC$3))</f>
        <v/>
      </c>
      <c r="AD36" s="86" t="str">
        <f>IF(SUMIFS(Journal!$D$3:$D$143,Journal!$A$3:$A$143,$B36,Journal!$F$3:$F$143,AC$3)=0,"",SUMIFS(Journal!$D$3:$D$143,Journal!$A$3:$A$143,$B36,Journal!$F$3:$F$143,AC$3))</f>
        <v/>
      </c>
      <c r="AE36" s="86" t="str">
        <f>IF(SUMIFS(Journal!$D$3:$D$143,Journal!$A$3:$A$143,$B36,Journal!$E$3:$E$143,AE$3)=0,"",SUMIFS(Journal!$D$3:$D$143,Journal!$A$3:$A$143,$B36,Journal!$E$3:$E$143,AE$3))</f>
        <v/>
      </c>
      <c r="AF36" s="86" t="str">
        <f>IF(SUMIFS(Journal!$D$3:$D$143,Journal!$A$3:$A$143,$B36,Journal!$F$3:$F$143,AE$3)=0,"",SUMIFS(Journal!$D$3:$D$143,Journal!$A$3:$A$143,$B36,Journal!$F$3:$F$143,AE$3))</f>
        <v/>
      </c>
      <c r="AG36" s="86" t="str">
        <f>IF(SUMIFS(Journal!$D$3:$D$143,Journal!$A$3:$A$143,$B36,Journal!$E$3:$E$143,AG$3)=0,"",SUMIFS(Journal!$D$3:$D$143,Journal!$A$3:$A$143,$B36,Journal!$E$3:$E$143,AG$3))</f>
        <v/>
      </c>
      <c r="AH36" s="86" t="str">
        <f>IF(SUMIFS(Journal!$D$3:$D$143,Journal!$A$3:$A$143,$B36,Journal!$F$3:$F$143,AG$3)=0,"",SUMIFS(Journal!$D$3:$D$143,Journal!$A$3:$A$143,$B36,Journal!$F$3:$F$143,AG$3))</f>
        <v/>
      </c>
      <c r="AI36" s="86" t="str">
        <f>IF(SUMIFS(Journal!$D$3:$D$143,Journal!$A$3:$A$143,$B36,Journal!$E$3:$E$143,AI$3)=0,"",SUMIFS(Journal!$D$3:$D$143,Journal!$A$3:$A$143,$B36,Journal!$E$3:$E$143,AI$3))</f>
        <v/>
      </c>
      <c r="AJ36" s="86" t="str">
        <f>IF(SUMIFS(Journal!$D$3:$D$143,Journal!$A$3:$A$143,$B36,Journal!$F$3:$F$143,AI$3)=0,"",SUMIFS(Journal!$D$3:$D$143,Journal!$A$3:$A$143,$B36,Journal!$F$3:$F$143,AI$3))</f>
        <v/>
      </c>
      <c r="AK36" s="86" t="str">
        <f>IF(SUMIFS(Journal!$D$3:$D$143,Journal!$A$3:$A$143,$B36,Journal!$E$3:$E$143,AK$3)=0,"",SUMIFS(Journal!$D$3:$D$143,Journal!$A$3:$A$143,$B36,Journal!$E$3:$E$143,AK$3))</f>
        <v/>
      </c>
      <c r="AL36" s="86" t="str">
        <f>IF(SUMIFS(Journal!$D$3:$D$143,Journal!$A$3:$A$143,$B36,Journal!$F$3:$F$143,AK$3)=0,"",SUMIFS(Journal!$D$3:$D$143,Journal!$A$3:$A$143,$B36,Journal!$F$3:$F$143,AK$3))</f>
        <v/>
      </c>
      <c r="AM36" s="86" t="str">
        <f>IF(SUMIFS(Journal!$D$3:$D$143,Journal!$A$3:$A$143,$B36,Journal!$E$3:$E$143,AM$3)=0,"",SUMIFS(Journal!$D$3:$D$143,Journal!$A$3:$A$143,$B36,Journal!$E$3:$E$143,AM$3))</f>
        <v/>
      </c>
      <c r="AN36" s="86" t="str">
        <f>IF(SUMIFS(Journal!$D$3:$D$143,Journal!$A$3:$A$143,$B36,Journal!$F$3:$F$143,AM$3)=0,"",SUMIFS(Journal!$D$3:$D$143,Journal!$A$3:$A$143,$B36,Journal!$F$3:$F$143,AM$3))</f>
        <v/>
      </c>
      <c r="AO36" s="86" t="str">
        <f>IF(SUMIFS(Journal!$D$3:$D$143,Journal!$A$3:$A$143,$B36,Journal!$E$3:$E$143,AO$3)=0,"",SUMIFS(Journal!$D$3:$D$143,Journal!$A$3:$A$143,$B36,Journal!$E$3:$E$143,AO$3))</f>
        <v/>
      </c>
      <c r="AP36" s="86" t="str">
        <f>IF(SUMIFS(Journal!$D$3:$D$143,Journal!$A$3:$A$143,$B36,Journal!$F$3:$F$143,AO$3)=0,"",SUMIFS(Journal!$D$3:$D$143,Journal!$A$3:$A$143,$B36,Journal!$F$3:$F$143,AO$3))</f>
        <v/>
      </c>
      <c r="AQ36" s="86" t="str">
        <f>IF(SUMIFS(Journal!$D$3:$D$143,Journal!$A$3:$A$143,$B36,Journal!$E$3:$E$143,AQ$3)=0,"",SUMIFS(Journal!$D$3:$D$143,Journal!$A$3:$A$143,$B36,Journal!$E$3:$E$143,AQ$3))</f>
        <v/>
      </c>
      <c r="AR36" s="86" t="str">
        <f>IF(SUMIFS(Journal!$D$3:$D$143,Journal!$A$3:$A$143,$B36,Journal!$F$3:$F$143,AQ$3)=0,"",SUMIFS(Journal!$D$3:$D$143,Journal!$A$3:$A$143,$B36,Journal!$F$3:$F$143,AQ$3))</f>
        <v/>
      </c>
      <c r="AS36" s="86" t="str">
        <f>IF(SUMIFS(Journal!$D$3:$D$143,Journal!$A$3:$A$143,$B36,Journal!$E$3:$E$143,AS$3)=0,"",SUMIFS(Journal!$D$3:$D$143,Journal!$A$3:$A$143,$B36,Journal!$E$3:$E$143,AS$3))</f>
        <v/>
      </c>
      <c r="AT36" s="86" t="str">
        <f>IF(SUMIFS(Journal!$D$3:$D$143,Journal!$A$3:$A$143,$B36,Journal!$F$3:$F$143,AS$3)=0,"",SUMIFS(Journal!$D$3:$D$143,Journal!$A$3:$A$143,$B36,Journal!$F$3:$F$143,AS$3))</f>
        <v/>
      </c>
      <c r="AU36" s="86">
        <f>IF(SUMIFS(Journal!$D$3:$D$143,Journal!$A$3:$A$143,$B36,Journal!$E$3:$E$143,AU$3)=0,"",SUMIFS(Journal!$D$3:$D$143,Journal!$A$3:$A$143,$B36,Journal!$E$3:$E$143,AU$3))</f>
        <v>2800</v>
      </c>
      <c r="AV36" s="86" t="str">
        <f>IF(SUMIFS(Journal!$D$3:$D$143,Journal!$A$3:$A$143,$B36,Journal!$F$3:$F$143,AU$3)=0,"",SUMIFS(Journal!$D$3:$D$143,Journal!$A$3:$A$143,$B36,Journal!$F$3:$F$143,AU$3))</f>
        <v/>
      </c>
      <c r="AW36" s="86">
        <f>IF(SUMIFS(Journal!$D$3:$D$143,Journal!$A$3:$A$143,$B36,Journal!$E$3:$E$143,AW$3)=0,"",SUMIFS(Journal!$D$3:$D$143,Journal!$A$3:$A$143,$B36,Journal!$E$3:$E$143,AW$3))</f>
        <v>600</v>
      </c>
      <c r="AX36" s="86" t="str">
        <f>IF(SUMIFS(Journal!$D$3:$D$143,Journal!$A$3:$A$143,$B36,Journal!$F$3:$F$143,AW$3)=0,"",SUMIFS(Journal!$D$3:$D$143,Journal!$A$3:$A$143,$B36,Journal!$F$3:$F$143,AW$3))</f>
        <v/>
      </c>
      <c r="AY36" s="86" t="str">
        <f>IF(SUMIFS(Journal!$D$3:$D$143,Journal!$A$3:$A$143,$B36,Journal!$E$3:$E$143,AY$3)=0,"",SUMIFS(Journal!$D$3:$D$143,Journal!$A$3:$A$143,$B36,Journal!$E$3:$E$143,AY$3))</f>
        <v/>
      </c>
      <c r="AZ36" s="86" t="str">
        <f>IF(SUMIFS(Journal!$D$3:$D$143,Journal!$A$3:$A$143,$B36,Journal!$F$3:$F$143,AY$3)=0,"",SUMIFS(Journal!$D$3:$D$143,Journal!$A$3:$A$143,$B36,Journal!$F$3:$F$143,AY$3))</f>
        <v/>
      </c>
      <c r="BA36" s="86" t="str">
        <f>IF(SUMIFS(Journal!$D$3:$D$143,Journal!$A$3:$A$143,$B36,Journal!$E$3:$E$143,BA$3)=0,"",SUMIFS(Journal!$D$3:$D$143,Journal!$A$3:$A$143,$B36,Journal!$E$3:$E$143,BA$3))</f>
        <v/>
      </c>
      <c r="BB36" s="86" t="str">
        <f>IF(SUMIFS(Journal!$D$3:$D$143,Journal!$A$3:$A$143,$B36,Journal!$F$3:$F$143,BA$3)=0,"",SUMIFS(Journal!$D$3:$D$143,Journal!$A$3:$A$143,$B36,Journal!$F$3:$F$143,BA$3))</f>
        <v/>
      </c>
    </row>
    <row r="37">
      <c r="A37" s="84">
        <f>VLOOKUP(B37,Journal!$A$3:$C$143,2,FALSE)</f>
        <v>45369</v>
      </c>
      <c r="B37" s="85" t="s">
        <v>298</v>
      </c>
      <c r="C37" s="86" t="str">
        <f>VLOOKUP(B37,Journal!$A$3:$C$143,3,FALSE)</f>
        <v>Fleet service and dispatch</v>
      </c>
      <c r="D37" s="86">
        <f>SUMIF(Journal!$A$3:$A$143,B37,Journal!$D$3:$D$143)</f>
        <v>2450</v>
      </c>
      <c r="E37" s="86" t="str">
        <f>IF(SUMIFS(Journal!$D$3:$D$143,Journal!$A$3:$A$143,$B37,Journal!$E$3:$E$143,E$3)=0,"",SUMIFS(Journal!$D$3:$D$143,Journal!$A$3:$A$143,$B37,Journal!$E$3:$E$143,E$3))</f>
        <v/>
      </c>
      <c r="F37" s="86">
        <f>IF(SUMIFS(Journal!$D$3:$D$143,Journal!$A$3:$A$143,$B37,Journal!$F$3:$F$143,E$3)=0,"",SUMIFS(Journal!$D$3:$D$143,Journal!$A$3:$A$143,$B37,Journal!$F$3:$F$143,E$3))</f>
        <v>2450</v>
      </c>
      <c r="G37" s="86" t="str">
        <f>IF(SUMIFS(Journal!$D$3:$D$143,Journal!$A$3:$A$143,$B37,Journal!$E$3:$E$143,G$3)=0,"",SUMIFS(Journal!$D$3:$D$143,Journal!$A$3:$A$143,$B37,Journal!$E$3:$E$143,G$3))</f>
        <v/>
      </c>
      <c r="H37" s="86" t="str">
        <f>IF(SUMIFS(Journal!$D$3:$D$143,Journal!$A$3:$A$143,$B37,Journal!$F$3:$F$143,G$3)=0,"",SUMIFS(Journal!$D$3:$D$143,Journal!$A$3:$A$143,$B37,Journal!$F$3:$F$143,G$3))</f>
        <v/>
      </c>
      <c r="I37" s="86" t="str">
        <f>IF(SUMIFS(Journal!$D$3:$D$143,Journal!$A$3:$A$143,$B37,Journal!$E$3:$E$143,I$3)=0,"",SUMIFS(Journal!$D$3:$D$143,Journal!$A$3:$A$143,$B37,Journal!$E$3:$E$143,I$3))</f>
        <v/>
      </c>
      <c r="J37" s="86" t="str">
        <f>IF(SUMIFS(Journal!$D$3:$D$143,Journal!$A$3:$A$143,$B37,Journal!$F$3:$F$143,I$3)=0,"",SUMIFS(Journal!$D$3:$D$143,Journal!$A$3:$A$143,$B37,Journal!$F$3:$F$143,I$3))</f>
        <v/>
      </c>
      <c r="K37" s="86" t="str">
        <f>IF(SUMIFS(Journal!$D$3:$D$143,Journal!$A$3:$A$143,$B37,Journal!$E$3:$E$143,K$3)=0,"",SUMIFS(Journal!$D$3:$D$143,Journal!$A$3:$A$143,$B37,Journal!$E$3:$E$143,K$3))</f>
        <v/>
      </c>
      <c r="L37" s="86" t="str">
        <f>IF(SUMIFS(Journal!$D$3:$D$143,Journal!$A$3:$A$143,$B37,Journal!$F$3:$F$143,K$3)=0,"",SUMIFS(Journal!$D$3:$D$143,Journal!$A$3:$A$143,$B37,Journal!$F$3:$F$143,K$3))</f>
        <v/>
      </c>
      <c r="M37" s="86" t="str">
        <f>IF(SUMIFS(Journal!$D$3:$D$143,Journal!$A$3:$A$143,$B37,Journal!$E$3:$E$143,M$3)=0,"",SUMIFS(Journal!$D$3:$D$143,Journal!$A$3:$A$143,$B37,Journal!$E$3:$E$143,M$3))</f>
        <v/>
      </c>
      <c r="N37" s="86" t="str">
        <f>IF(SUMIFS(Journal!$D$3:$D$143,Journal!$A$3:$A$143,$B37,Journal!$F$3:$F$143,M$3)=0,"",SUMIFS(Journal!$D$3:$D$143,Journal!$A$3:$A$143,$B37,Journal!$F$3:$F$143,M$3))</f>
        <v/>
      </c>
      <c r="O37" s="86" t="str">
        <f>IF(SUMIFS(Journal!$D$3:$D$143,Journal!$A$3:$A$143,$B37,Journal!$E$3:$E$143,O$3)=0,"",SUMIFS(Journal!$D$3:$D$143,Journal!$A$3:$A$143,$B37,Journal!$E$3:$E$143,O$3))</f>
        <v/>
      </c>
      <c r="P37" s="86" t="str">
        <f>IF(SUMIFS(Journal!$D$3:$D$143,Journal!$A$3:$A$143,$B37,Journal!$F$3:$F$143,O$3)=0,"",SUMIFS(Journal!$D$3:$D$143,Journal!$A$3:$A$143,$B37,Journal!$F$3:$F$143,O$3))</f>
        <v/>
      </c>
      <c r="Q37" s="86" t="str">
        <f>IF(SUMIFS(Journal!$D$3:$D$143,Journal!$A$3:$A$143,$B37,Journal!$E$3:$E$143,Q$3)=0,"",SUMIFS(Journal!$D$3:$D$143,Journal!$A$3:$A$143,$B37,Journal!$E$3:$E$143,Q$3))</f>
        <v/>
      </c>
      <c r="R37" s="86" t="str">
        <f>IF(SUMIFS(Journal!$D$3:$D$143,Journal!$A$3:$A$143,$B37,Journal!$F$3:$F$143,Q$3)=0,"",SUMIFS(Journal!$D$3:$D$143,Journal!$A$3:$A$143,$B37,Journal!$F$3:$F$143,Q$3))</f>
        <v/>
      </c>
      <c r="S37" s="86" t="str">
        <f>IF(SUMIFS(Journal!$D$3:$D$143,Journal!$A$3:$A$143,$B37,Journal!$E$3:$E$143,S$3)=0,"",SUMIFS(Journal!$D$3:$D$143,Journal!$A$3:$A$143,$B37,Journal!$E$3:$E$143,S$3))</f>
        <v/>
      </c>
      <c r="T37" s="86" t="str">
        <f>IF(SUMIFS(Journal!$D$3:$D$143,Journal!$A$3:$A$143,$B37,Journal!$F$3:$F$143,S$3)=0,"",SUMIFS(Journal!$D$3:$D$143,Journal!$A$3:$A$143,$B37,Journal!$F$3:$F$143,S$3))</f>
        <v/>
      </c>
      <c r="U37" s="86" t="str">
        <f>IF(SUMIFS(Journal!$D$3:$D$143,Journal!$A$3:$A$143,$B37,Journal!$E$3:$E$143,U$3)=0,"",SUMIFS(Journal!$D$3:$D$143,Journal!$A$3:$A$143,$B37,Journal!$E$3:$E$143,U$3))</f>
        <v/>
      </c>
      <c r="V37" s="86" t="str">
        <f>IF(SUMIFS(Journal!$D$3:$D$143,Journal!$A$3:$A$143,$B37,Journal!$F$3:$F$143,U$3)=0,"",SUMIFS(Journal!$D$3:$D$143,Journal!$A$3:$A$143,$B37,Journal!$F$3:$F$143,U$3))</f>
        <v/>
      </c>
      <c r="W37" s="86" t="str">
        <f>IF(SUMIFS(Journal!$D$3:$D$143,Journal!$A$3:$A$143,$B37,Journal!$E$3:$E$143,W$3)=0,"",SUMIFS(Journal!$D$3:$D$143,Journal!$A$3:$A$143,$B37,Journal!$E$3:$E$143,W$3))</f>
        <v/>
      </c>
      <c r="X37" s="86" t="str">
        <f>IF(SUMIFS(Journal!$D$3:$D$143,Journal!$A$3:$A$143,$B37,Journal!$F$3:$F$143,W$3)=0,"",SUMIFS(Journal!$D$3:$D$143,Journal!$A$3:$A$143,$B37,Journal!$F$3:$F$143,W$3))</f>
        <v/>
      </c>
      <c r="Y37" s="86" t="str">
        <f>IF(SUMIFS(Journal!$D$3:$D$143,Journal!$A$3:$A$143,$B37,Journal!$E$3:$E$143,Y$3)=0,"",SUMIFS(Journal!$D$3:$D$143,Journal!$A$3:$A$143,$B37,Journal!$E$3:$E$143,Y$3))</f>
        <v/>
      </c>
      <c r="Z37" s="86" t="str">
        <f>IF(SUMIFS(Journal!$D$3:$D$143,Journal!$A$3:$A$143,$B37,Journal!$F$3:$F$143,Y$3)=0,"",SUMIFS(Journal!$D$3:$D$143,Journal!$A$3:$A$143,$B37,Journal!$F$3:$F$143,Y$3))</f>
        <v/>
      </c>
      <c r="AA37" s="86" t="str">
        <f>IF(SUMIFS(Journal!$D$3:$D$143,Journal!$A$3:$A$143,$B37,Journal!$E$3:$E$143,AA$3)=0,"",SUMIFS(Journal!$D$3:$D$143,Journal!$A$3:$A$143,$B37,Journal!$E$3:$E$143,AA$3))</f>
        <v/>
      </c>
      <c r="AB37" s="86" t="str">
        <f>IF(SUMIFS(Journal!$D$3:$D$143,Journal!$A$3:$A$143,$B37,Journal!$F$3:$F$143,AA$3)=0,"",SUMIFS(Journal!$D$3:$D$143,Journal!$A$3:$A$143,$B37,Journal!$F$3:$F$143,AA$3))</f>
        <v/>
      </c>
      <c r="AC37" s="86" t="str">
        <f>IF(SUMIFS(Journal!$D$3:$D$143,Journal!$A$3:$A$143,$B37,Journal!$E$3:$E$143,AC$3)=0,"",SUMIFS(Journal!$D$3:$D$143,Journal!$A$3:$A$143,$B37,Journal!$E$3:$E$143,AC$3))</f>
        <v/>
      </c>
      <c r="AD37" s="86" t="str">
        <f>IF(SUMIFS(Journal!$D$3:$D$143,Journal!$A$3:$A$143,$B37,Journal!$F$3:$F$143,AC$3)=0,"",SUMIFS(Journal!$D$3:$D$143,Journal!$A$3:$A$143,$B37,Journal!$F$3:$F$143,AC$3))</f>
        <v/>
      </c>
      <c r="AE37" s="86" t="str">
        <f>IF(SUMIFS(Journal!$D$3:$D$143,Journal!$A$3:$A$143,$B37,Journal!$E$3:$E$143,AE$3)=0,"",SUMIFS(Journal!$D$3:$D$143,Journal!$A$3:$A$143,$B37,Journal!$E$3:$E$143,AE$3))</f>
        <v/>
      </c>
      <c r="AF37" s="86" t="str">
        <f>IF(SUMIFS(Journal!$D$3:$D$143,Journal!$A$3:$A$143,$B37,Journal!$F$3:$F$143,AE$3)=0,"",SUMIFS(Journal!$D$3:$D$143,Journal!$A$3:$A$143,$B37,Journal!$F$3:$F$143,AE$3))</f>
        <v/>
      </c>
      <c r="AG37" s="86" t="str">
        <f>IF(SUMIFS(Journal!$D$3:$D$143,Journal!$A$3:$A$143,$B37,Journal!$E$3:$E$143,AG$3)=0,"",SUMIFS(Journal!$D$3:$D$143,Journal!$A$3:$A$143,$B37,Journal!$E$3:$E$143,AG$3))</f>
        <v/>
      </c>
      <c r="AH37" s="86" t="str">
        <f>IF(SUMIFS(Journal!$D$3:$D$143,Journal!$A$3:$A$143,$B37,Journal!$F$3:$F$143,AG$3)=0,"",SUMIFS(Journal!$D$3:$D$143,Journal!$A$3:$A$143,$B37,Journal!$F$3:$F$143,AG$3))</f>
        <v/>
      </c>
      <c r="AI37" s="86" t="str">
        <f>IF(SUMIFS(Journal!$D$3:$D$143,Journal!$A$3:$A$143,$B37,Journal!$E$3:$E$143,AI$3)=0,"",SUMIFS(Journal!$D$3:$D$143,Journal!$A$3:$A$143,$B37,Journal!$E$3:$E$143,AI$3))</f>
        <v/>
      </c>
      <c r="AJ37" s="86" t="str">
        <f>IF(SUMIFS(Journal!$D$3:$D$143,Journal!$A$3:$A$143,$B37,Journal!$F$3:$F$143,AI$3)=0,"",SUMIFS(Journal!$D$3:$D$143,Journal!$A$3:$A$143,$B37,Journal!$F$3:$F$143,AI$3))</f>
        <v/>
      </c>
      <c r="AK37" s="86" t="str">
        <f>IF(SUMIFS(Journal!$D$3:$D$143,Journal!$A$3:$A$143,$B37,Journal!$E$3:$E$143,AK$3)=0,"",SUMIFS(Journal!$D$3:$D$143,Journal!$A$3:$A$143,$B37,Journal!$E$3:$E$143,AK$3))</f>
        <v/>
      </c>
      <c r="AL37" s="86" t="str">
        <f>IF(SUMIFS(Journal!$D$3:$D$143,Journal!$A$3:$A$143,$B37,Journal!$F$3:$F$143,AK$3)=0,"",SUMIFS(Journal!$D$3:$D$143,Journal!$A$3:$A$143,$B37,Journal!$F$3:$F$143,AK$3))</f>
        <v/>
      </c>
      <c r="AM37" s="86" t="str">
        <f>IF(SUMIFS(Journal!$D$3:$D$143,Journal!$A$3:$A$143,$B37,Journal!$E$3:$E$143,AM$3)=0,"",SUMIFS(Journal!$D$3:$D$143,Journal!$A$3:$A$143,$B37,Journal!$E$3:$E$143,AM$3))</f>
        <v/>
      </c>
      <c r="AN37" s="86" t="str">
        <f>IF(SUMIFS(Journal!$D$3:$D$143,Journal!$A$3:$A$143,$B37,Journal!$F$3:$F$143,AM$3)=0,"",SUMIFS(Journal!$D$3:$D$143,Journal!$A$3:$A$143,$B37,Journal!$F$3:$F$143,AM$3))</f>
        <v/>
      </c>
      <c r="AO37" s="86" t="str">
        <f>IF(SUMIFS(Journal!$D$3:$D$143,Journal!$A$3:$A$143,$B37,Journal!$E$3:$E$143,AO$3)=0,"",SUMIFS(Journal!$D$3:$D$143,Journal!$A$3:$A$143,$B37,Journal!$E$3:$E$143,AO$3))</f>
        <v/>
      </c>
      <c r="AP37" s="86" t="str">
        <f>IF(SUMIFS(Journal!$D$3:$D$143,Journal!$A$3:$A$143,$B37,Journal!$F$3:$F$143,AO$3)=0,"",SUMIFS(Journal!$D$3:$D$143,Journal!$A$3:$A$143,$B37,Journal!$F$3:$F$143,AO$3))</f>
        <v/>
      </c>
      <c r="AQ37" s="86" t="str">
        <f>IF(SUMIFS(Journal!$D$3:$D$143,Journal!$A$3:$A$143,$B37,Journal!$E$3:$E$143,AQ$3)=0,"",SUMIFS(Journal!$D$3:$D$143,Journal!$A$3:$A$143,$B37,Journal!$E$3:$E$143,AQ$3))</f>
        <v/>
      </c>
      <c r="AR37" s="86" t="str">
        <f>IF(SUMIFS(Journal!$D$3:$D$143,Journal!$A$3:$A$143,$B37,Journal!$F$3:$F$143,AQ$3)=0,"",SUMIFS(Journal!$D$3:$D$143,Journal!$A$3:$A$143,$B37,Journal!$F$3:$F$143,AQ$3))</f>
        <v/>
      </c>
      <c r="AS37" s="86" t="str">
        <f>IF(SUMIFS(Journal!$D$3:$D$143,Journal!$A$3:$A$143,$B37,Journal!$E$3:$E$143,AS$3)=0,"",SUMIFS(Journal!$D$3:$D$143,Journal!$A$3:$A$143,$B37,Journal!$E$3:$E$143,AS$3))</f>
        <v/>
      </c>
      <c r="AT37" s="86" t="str">
        <f>IF(SUMIFS(Journal!$D$3:$D$143,Journal!$A$3:$A$143,$B37,Journal!$F$3:$F$143,AS$3)=0,"",SUMIFS(Journal!$D$3:$D$143,Journal!$A$3:$A$143,$B37,Journal!$F$3:$F$143,AS$3))</f>
        <v/>
      </c>
      <c r="AU37" s="86">
        <f>IF(SUMIFS(Journal!$D$3:$D$143,Journal!$A$3:$A$143,$B37,Journal!$E$3:$E$143,AU$3)=0,"",SUMIFS(Journal!$D$3:$D$143,Journal!$A$3:$A$143,$B37,Journal!$E$3:$E$143,AU$3))</f>
        <v>1800</v>
      </c>
      <c r="AV37" s="86" t="str">
        <f>IF(SUMIFS(Journal!$D$3:$D$143,Journal!$A$3:$A$143,$B37,Journal!$F$3:$F$143,AU$3)=0,"",SUMIFS(Journal!$D$3:$D$143,Journal!$A$3:$A$143,$B37,Journal!$F$3:$F$143,AU$3))</f>
        <v/>
      </c>
      <c r="AW37" s="86">
        <f>IF(SUMIFS(Journal!$D$3:$D$143,Journal!$A$3:$A$143,$B37,Journal!$E$3:$E$143,AW$3)=0,"",SUMIFS(Journal!$D$3:$D$143,Journal!$A$3:$A$143,$B37,Journal!$E$3:$E$143,AW$3))</f>
        <v>650</v>
      </c>
      <c r="AX37" s="86" t="str">
        <f>IF(SUMIFS(Journal!$D$3:$D$143,Journal!$A$3:$A$143,$B37,Journal!$F$3:$F$143,AW$3)=0,"",SUMIFS(Journal!$D$3:$D$143,Journal!$A$3:$A$143,$B37,Journal!$F$3:$F$143,AW$3))</f>
        <v/>
      </c>
      <c r="AY37" s="86" t="str">
        <f>IF(SUMIFS(Journal!$D$3:$D$143,Journal!$A$3:$A$143,$B37,Journal!$E$3:$E$143,AY$3)=0,"",SUMIFS(Journal!$D$3:$D$143,Journal!$A$3:$A$143,$B37,Journal!$E$3:$E$143,AY$3))</f>
        <v/>
      </c>
      <c r="AZ37" s="86" t="str">
        <f>IF(SUMIFS(Journal!$D$3:$D$143,Journal!$A$3:$A$143,$B37,Journal!$F$3:$F$143,AY$3)=0,"",SUMIFS(Journal!$D$3:$D$143,Journal!$A$3:$A$143,$B37,Journal!$F$3:$F$143,AY$3))</f>
        <v/>
      </c>
      <c r="BA37" s="86" t="str">
        <f>IF(SUMIFS(Journal!$D$3:$D$143,Journal!$A$3:$A$143,$B37,Journal!$E$3:$E$143,BA$3)=0,"",SUMIFS(Journal!$D$3:$D$143,Journal!$A$3:$A$143,$B37,Journal!$E$3:$E$143,BA$3))</f>
        <v/>
      </c>
      <c r="BB37" s="86" t="str">
        <f>IF(SUMIFS(Journal!$D$3:$D$143,Journal!$A$3:$A$143,$B37,Journal!$F$3:$F$143,BA$3)=0,"",SUMIFS(Journal!$D$3:$D$143,Journal!$A$3:$A$143,$B37,Journal!$F$3:$F$143,BA$3))</f>
        <v/>
      </c>
    </row>
    <row r="38">
      <c r="A38" s="84">
        <f>VLOOKUP(B38,Journal!$A$3:$C$143,2,FALSE)</f>
        <v>45371</v>
      </c>
      <c r="B38" s="85" t="s">
        <v>302</v>
      </c>
      <c r="C38" s="86" t="str">
        <f>VLOOKUP(B38,Journal!$A$3:$C$143,3,FALSE)</f>
        <v>Corporate guided tour completed on account</v>
      </c>
      <c r="D38" s="86">
        <f>SUMIF(Journal!$A$3:$A$143,B38,Journal!$D$3:$D$143)</f>
        <v>6000</v>
      </c>
      <c r="E38" s="86" t="str">
        <f>IF(SUMIFS(Journal!$D$3:$D$143,Journal!$A$3:$A$143,$B38,Journal!$E$3:$E$143,E$3)=0,"",SUMIFS(Journal!$D$3:$D$143,Journal!$A$3:$A$143,$B38,Journal!$E$3:$E$143,E$3))</f>
        <v/>
      </c>
      <c r="F38" s="86" t="str">
        <f>IF(SUMIFS(Journal!$D$3:$D$143,Journal!$A$3:$A$143,$B38,Journal!$F$3:$F$143,E$3)=0,"",SUMIFS(Journal!$D$3:$D$143,Journal!$A$3:$A$143,$B38,Journal!$F$3:$F$143,E$3))</f>
        <v/>
      </c>
      <c r="G38" s="86">
        <f>IF(SUMIFS(Journal!$D$3:$D$143,Journal!$A$3:$A$143,$B38,Journal!$E$3:$E$143,G$3)=0,"",SUMIFS(Journal!$D$3:$D$143,Journal!$A$3:$A$143,$B38,Journal!$E$3:$E$143,G$3))</f>
        <v>6000</v>
      </c>
      <c r="H38" s="86" t="str">
        <f>IF(SUMIFS(Journal!$D$3:$D$143,Journal!$A$3:$A$143,$B38,Journal!$F$3:$F$143,G$3)=0,"",SUMIFS(Journal!$D$3:$D$143,Journal!$A$3:$A$143,$B38,Journal!$F$3:$F$143,G$3))</f>
        <v/>
      </c>
      <c r="I38" s="86" t="str">
        <f>IF(SUMIFS(Journal!$D$3:$D$143,Journal!$A$3:$A$143,$B38,Journal!$E$3:$E$143,I$3)=0,"",SUMIFS(Journal!$D$3:$D$143,Journal!$A$3:$A$143,$B38,Journal!$E$3:$E$143,I$3))</f>
        <v/>
      </c>
      <c r="J38" s="86" t="str">
        <f>IF(SUMIFS(Journal!$D$3:$D$143,Journal!$A$3:$A$143,$B38,Journal!$F$3:$F$143,I$3)=0,"",SUMIFS(Journal!$D$3:$D$143,Journal!$A$3:$A$143,$B38,Journal!$F$3:$F$143,I$3))</f>
        <v/>
      </c>
      <c r="K38" s="86" t="str">
        <f>IF(SUMIFS(Journal!$D$3:$D$143,Journal!$A$3:$A$143,$B38,Journal!$E$3:$E$143,K$3)=0,"",SUMIFS(Journal!$D$3:$D$143,Journal!$A$3:$A$143,$B38,Journal!$E$3:$E$143,K$3))</f>
        <v/>
      </c>
      <c r="L38" s="86" t="str">
        <f>IF(SUMIFS(Journal!$D$3:$D$143,Journal!$A$3:$A$143,$B38,Journal!$F$3:$F$143,K$3)=0,"",SUMIFS(Journal!$D$3:$D$143,Journal!$A$3:$A$143,$B38,Journal!$F$3:$F$143,K$3))</f>
        <v/>
      </c>
      <c r="M38" s="86" t="str">
        <f>IF(SUMIFS(Journal!$D$3:$D$143,Journal!$A$3:$A$143,$B38,Journal!$E$3:$E$143,M$3)=0,"",SUMIFS(Journal!$D$3:$D$143,Journal!$A$3:$A$143,$B38,Journal!$E$3:$E$143,M$3))</f>
        <v/>
      </c>
      <c r="N38" s="86" t="str">
        <f>IF(SUMIFS(Journal!$D$3:$D$143,Journal!$A$3:$A$143,$B38,Journal!$F$3:$F$143,M$3)=0,"",SUMIFS(Journal!$D$3:$D$143,Journal!$A$3:$A$143,$B38,Journal!$F$3:$F$143,M$3))</f>
        <v/>
      </c>
      <c r="O38" s="86" t="str">
        <f>IF(SUMIFS(Journal!$D$3:$D$143,Journal!$A$3:$A$143,$B38,Journal!$E$3:$E$143,O$3)=0,"",SUMIFS(Journal!$D$3:$D$143,Journal!$A$3:$A$143,$B38,Journal!$E$3:$E$143,O$3))</f>
        <v/>
      </c>
      <c r="P38" s="86" t="str">
        <f>IF(SUMIFS(Journal!$D$3:$D$143,Journal!$A$3:$A$143,$B38,Journal!$F$3:$F$143,O$3)=0,"",SUMIFS(Journal!$D$3:$D$143,Journal!$A$3:$A$143,$B38,Journal!$F$3:$F$143,O$3))</f>
        <v/>
      </c>
      <c r="Q38" s="86" t="str">
        <f>IF(SUMIFS(Journal!$D$3:$D$143,Journal!$A$3:$A$143,$B38,Journal!$E$3:$E$143,Q$3)=0,"",SUMIFS(Journal!$D$3:$D$143,Journal!$A$3:$A$143,$B38,Journal!$E$3:$E$143,Q$3))</f>
        <v/>
      </c>
      <c r="R38" s="86" t="str">
        <f>IF(SUMIFS(Journal!$D$3:$D$143,Journal!$A$3:$A$143,$B38,Journal!$F$3:$F$143,Q$3)=0,"",SUMIFS(Journal!$D$3:$D$143,Journal!$A$3:$A$143,$B38,Journal!$F$3:$F$143,Q$3))</f>
        <v/>
      </c>
      <c r="S38" s="86" t="str">
        <f>IF(SUMIFS(Journal!$D$3:$D$143,Journal!$A$3:$A$143,$B38,Journal!$E$3:$E$143,S$3)=0,"",SUMIFS(Journal!$D$3:$D$143,Journal!$A$3:$A$143,$B38,Journal!$E$3:$E$143,S$3))</f>
        <v/>
      </c>
      <c r="T38" s="86" t="str">
        <f>IF(SUMIFS(Journal!$D$3:$D$143,Journal!$A$3:$A$143,$B38,Journal!$F$3:$F$143,S$3)=0,"",SUMIFS(Journal!$D$3:$D$143,Journal!$A$3:$A$143,$B38,Journal!$F$3:$F$143,S$3))</f>
        <v/>
      </c>
      <c r="U38" s="86" t="str">
        <f>IF(SUMIFS(Journal!$D$3:$D$143,Journal!$A$3:$A$143,$B38,Journal!$E$3:$E$143,U$3)=0,"",SUMIFS(Journal!$D$3:$D$143,Journal!$A$3:$A$143,$B38,Journal!$E$3:$E$143,U$3))</f>
        <v/>
      </c>
      <c r="V38" s="86" t="str">
        <f>IF(SUMIFS(Journal!$D$3:$D$143,Journal!$A$3:$A$143,$B38,Journal!$F$3:$F$143,U$3)=0,"",SUMIFS(Journal!$D$3:$D$143,Journal!$A$3:$A$143,$B38,Journal!$F$3:$F$143,U$3))</f>
        <v/>
      </c>
      <c r="W38" s="86" t="str">
        <f>IF(SUMIFS(Journal!$D$3:$D$143,Journal!$A$3:$A$143,$B38,Journal!$E$3:$E$143,W$3)=0,"",SUMIFS(Journal!$D$3:$D$143,Journal!$A$3:$A$143,$B38,Journal!$E$3:$E$143,W$3))</f>
        <v/>
      </c>
      <c r="X38" s="86" t="str">
        <f>IF(SUMIFS(Journal!$D$3:$D$143,Journal!$A$3:$A$143,$B38,Journal!$F$3:$F$143,W$3)=0,"",SUMIFS(Journal!$D$3:$D$143,Journal!$A$3:$A$143,$B38,Journal!$F$3:$F$143,W$3))</f>
        <v/>
      </c>
      <c r="Y38" s="86" t="str">
        <f>IF(SUMIFS(Journal!$D$3:$D$143,Journal!$A$3:$A$143,$B38,Journal!$E$3:$E$143,Y$3)=0,"",SUMIFS(Journal!$D$3:$D$143,Journal!$A$3:$A$143,$B38,Journal!$E$3:$E$143,Y$3))</f>
        <v/>
      </c>
      <c r="Z38" s="86">
        <f>IF(SUMIFS(Journal!$D$3:$D$143,Journal!$A$3:$A$143,$B38,Journal!$F$3:$F$143,Y$3)=0,"",SUMIFS(Journal!$D$3:$D$143,Journal!$A$3:$A$143,$B38,Journal!$F$3:$F$143,Y$3))</f>
        <v>6000</v>
      </c>
      <c r="AA38" s="86" t="str">
        <f>IF(SUMIFS(Journal!$D$3:$D$143,Journal!$A$3:$A$143,$B38,Journal!$E$3:$E$143,AA$3)=0,"",SUMIFS(Journal!$D$3:$D$143,Journal!$A$3:$A$143,$B38,Journal!$E$3:$E$143,AA$3))</f>
        <v/>
      </c>
      <c r="AB38" s="86" t="str">
        <f>IF(SUMIFS(Journal!$D$3:$D$143,Journal!$A$3:$A$143,$B38,Journal!$F$3:$F$143,AA$3)=0,"",SUMIFS(Journal!$D$3:$D$143,Journal!$A$3:$A$143,$B38,Journal!$F$3:$F$143,AA$3))</f>
        <v/>
      </c>
      <c r="AC38" s="86" t="str">
        <f>IF(SUMIFS(Journal!$D$3:$D$143,Journal!$A$3:$A$143,$B38,Journal!$E$3:$E$143,AC$3)=0,"",SUMIFS(Journal!$D$3:$D$143,Journal!$A$3:$A$143,$B38,Journal!$E$3:$E$143,AC$3))</f>
        <v/>
      </c>
      <c r="AD38" s="86" t="str">
        <f>IF(SUMIFS(Journal!$D$3:$D$143,Journal!$A$3:$A$143,$B38,Journal!$F$3:$F$143,AC$3)=0,"",SUMIFS(Journal!$D$3:$D$143,Journal!$A$3:$A$143,$B38,Journal!$F$3:$F$143,AC$3))</f>
        <v/>
      </c>
      <c r="AE38" s="86" t="str">
        <f>IF(SUMIFS(Journal!$D$3:$D$143,Journal!$A$3:$A$143,$B38,Journal!$E$3:$E$143,AE$3)=0,"",SUMIFS(Journal!$D$3:$D$143,Journal!$A$3:$A$143,$B38,Journal!$E$3:$E$143,AE$3))</f>
        <v/>
      </c>
      <c r="AF38" s="86" t="str">
        <f>IF(SUMIFS(Journal!$D$3:$D$143,Journal!$A$3:$A$143,$B38,Journal!$F$3:$F$143,AE$3)=0,"",SUMIFS(Journal!$D$3:$D$143,Journal!$A$3:$A$143,$B38,Journal!$F$3:$F$143,AE$3))</f>
        <v/>
      </c>
      <c r="AG38" s="86" t="str">
        <f>IF(SUMIFS(Journal!$D$3:$D$143,Journal!$A$3:$A$143,$B38,Journal!$E$3:$E$143,AG$3)=0,"",SUMIFS(Journal!$D$3:$D$143,Journal!$A$3:$A$143,$B38,Journal!$E$3:$E$143,AG$3))</f>
        <v/>
      </c>
      <c r="AH38" s="86" t="str">
        <f>IF(SUMIFS(Journal!$D$3:$D$143,Journal!$A$3:$A$143,$B38,Journal!$F$3:$F$143,AG$3)=0,"",SUMIFS(Journal!$D$3:$D$143,Journal!$A$3:$A$143,$B38,Journal!$F$3:$F$143,AG$3))</f>
        <v/>
      </c>
      <c r="AI38" s="86" t="str">
        <f>IF(SUMIFS(Journal!$D$3:$D$143,Journal!$A$3:$A$143,$B38,Journal!$E$3:$E$143,AI$3)=0,"",SUMIFS(Journal!$D$3:$D$143,Journal!$A$3:$A$143,$B38,Journal!$E$3:$E$143,AI$3))</f>
        <v/>
      </c>
      <c r="AJ38" s="86" t="str">
        <f>IF(SUMIFS(Journal!$D$3:$D$143,Journal!$A$3:$A$143,$B38,Journal!$F$3:$F$143,AI$3)=0,"",SUMIFS(Journal!$D$3:$D$143,Journal!$A$3:$A$143,$B38,Journal!$F$3:$F$143,AI$3))</f>
        <v/>
      </c>
      <c r="AK38" s="86" t="str">
        <f>IF(SUMIFS(Journal!$D$3:$D$143,Journal!$A$3:$A$143,$B38,Journal!$E$3:$E$143,AK$3)=0,"",SUMIFS(Journal!$D$3:$D$143,Journal!$A$3:$A$143,$B38,Journal!$E$3:$E$143,AK$3))</f>
        <v/>
      </c>
      <c r="AL38" s="86" t="str">
        <f>IF(SUMIFS(Journal!$D$3:$D$143,Journal!$A$3:$A$143,$B38,Journal!$F$3:$F$143,AK$3)=0,"",SUMIFS(Journal!$D$3:$D$143,Journal!$A$3:$A$143,$B38,Journal!$F$3:$F$143,AK$3))</f>
        <v/>
      </c>
      <c r="AM38" s="86" t="str">
        <f>IF(SUMIFS(Journal!$D$3:$D$143,Journal!$A$3:$A$143,$B38,Journal!$E$3:$E$143,AM$3)=0,"",SUMIFS(Journal!$D$3:$D$143,Journal!$A$3:$A$143,$B38,Journal!$E$3:$E$143,AM$3))</f>
        <v/>
      </c>
      <c r="AN38" s="86" t="str">
        <f>IF(SUMIFS(Journal!$D$3:$D$143,Journal!$A$3:$A$143,$B38,Journal!$F$3:$F$143,AM$3)=0,"",SUMIFS(Journal!$D$3:$D$143,Journal!$A$3:$A$143,$B38,Journal!$F$3:$F$143,AM$3))</f>
        <v/>
      </c>
      <c r="AO38" s="86" t="str">
        <f>IF(SUMIFS(Journal!$D$3:$D$143,Journal!$A$3:$A$143,$B38,Journal!$E$3:$E$143,AO$3)=0,"",SUMIFS(Journal!$D$3:$D$143,Journal!$A$3:$A$143,$B38,Journal!$E$3:$E$143,AO$3))</f>
        <v/>
      </c>
      <c r="AP38" s="86" t="str">
        <f>IF(SUMIFS(Journal!$D$3:$D$143,Journal!$A$3:$A$143,$B38,Journal!$F$3:$F$143,AO$3)=0,"",SUMIFS(Journal!$D$3:$D$143,Journal!$A$3:$A$143,$B38,Journal!$F$3:$F$143,AO$3))</f>
        <v/>
      </c>
      <c r="AQ38" s="86" t="str">
        <f>IF(SUMIFS(Journal!$D$3:$D$143,Journal!$A$3:$A$143,$B38,Journal!$E$3:$E$143,AQ$3)=0,"",SUMIFS(Journal!$D$3:$D$143,Journal!$A$3:$A$143,$B38,Journal!$E$3:$E$143,AQ$3))</f>
        <v/>
      </c>
      <c r="AR38" s="86" t="str">
        <f>IF(SUMIFS(Journal!$D$3:$D$143,Journal!$A$3:$A$143,$B38,Journal!$F$3:$F$143,AQ$3)=0,"",SUMIFS(Journal!$D$3:$D$143,Journal!$A$3:$A$143,$B38,Journal!$F$3:$F$143,AQ$3))</f>
        <v/>
      </c>
      <c r="AS38" s="86" t="str">
        <f>IF(SUMIFS(Journal!$D$3:$D$143,Journal!$A$3:$A$143,$B38,Journal!$E$3:$E$143,AS$3)=0,"",SUMIFS(Journal!$D$3:$D$143,Journal!$A$3:$A$143,$B38,Journal!$E$3:$E$143,AS$3))</f>
        <v/>
      </c>
      <c r="AT38" s="86" t="str">
        <f>IF(SUMIFS(Journal!$D$3:$D$143,Journal!$A$3:$A$143,$B38,Journal!$F$3:$F$143,AS$3)=0,"",SUMIFS(Journal!$D$3:$D$143,Journal!$A$3:$A$143,$B38,Journal!$F$3:$F$143,AS$3))</f>
        <v/>
      </c>
      <c r="AU38" s="86" t="str">
        <f>IF(SUMIFS(Journal!$D$3:$D$143,Journal!$A$3:$A$143,$B38,Journal!$E$3:$E$143,AU$3)=0,"",SUMIFS(Journal!$D$3:$D$143,Journal!$A$3:$A$143,$B38,Journal!$E$3:$E$143,AU$3))</f>
        <v/>
      </c>
      <c r="AV38" s="86" t="str">
        <f>IF(SUMIFS(Journal!$D$3:$D$143,Journal!$A$3:$A$143,$B38,Journal!$F$3:$F$143,AU$3)=0,"",SUMIFS(Journal!$D$3:$D$143,Journal!$A$3:$A$143,$B38,Journal!$F$3:$F$143,AU$3))</f>
        <v/>
      </c>
      <c r="AW38" s="86" t="str">
        <f>IF(SUMIFS(Journal!$D$3:$D$143,Journal!$A$3:$A$143,$B38,Journal!$E$3:$E$143,AW$3)=0,"",SUMIFS(Journal!$D$3:$D$143,Journal!$A$3:$A$143,$B38,Journal!$E$3:$E$143,AW$3))</f>
        <v/>
      </c>
      <c r="AX38" s="86" t="str">
        <f>IF(SUMIFS(Journal!$D$3:$D$143,Journal!$A$3:$A$143,$B38,Journal!$F$3:$F$143,AW$3)=0,"",SUMIFS(Journal!$D$3:$D$143,Journal!$A$3:$A$143,$B38,Journal!$F$3:$F$143,AW$3))</f>
        <v/>
      </c>
      <c r="AY38" s="86" t="str">
        <f>IF(SUMIFS(Journal!$D$3:$D$143,Journal!$A$3:$A$143,$B38,Journal!$E$3:$E$143,AY$3)=0,"",SUMIFS(Journal!$D$3:$D$143,Journal!$A$3:$A$143,$B38,Journal!$E$3:$E$143,AY$3))</f>
        <v/>
      </c>
      <c r="AZ38" s="86" t="str">
        <f>IF(SUMIFS(Journal!$D$3:$D$143,Journal!$A$3:$A$143,$B38,Journal!$F$3:$F$143,AY$3)=0,"",SUMIFS(Journal!$D$3:$D$143,Journal!$A$3:$A$143,$B38,Journal!$F$3:$F$143,AY$3))</f>
        <v/>
      </c>
      <c r="BA38" s="86" t="str">
        <f>IF(SUMIFS(Journal!$D$3:$D$143,Journal!$A$3:$A$143,$B38,Journal!$E$3:$E$143,BA$3)=0,"",SUMIFS(Journal!$D$3:$D$143,Journal!$A$3:$A$143,$B38,Journal!$E$3:$E$143,BA$3))</f>
        <v/>
      </c>
      <c r="BB38" s="86" t="str">
        <f>IF(SUMIFS(Journal!$D$3:$D$143,Journal!$A$3:$A$143,$B38,Journal!$F$3:$F$143,BA$3)=0,"",SUMIFS(Journal!$D$3:$D$143,Journal!$A$3:$A$143,$B38,Journal!$F$3:$F$143,BA$3))</f>
        <v/>
      </c>
    </row>
    <row r="39">
      <c r="A39" s="84">
        <f>VLOOKUP(B39,Journal!$A$3:$C$143,2,FALSE)</f>
        <v>45375</v>
      </c>
      <c r="B39" s="85" t="s">
        <v>310</v>
      </c>
      <c r="C39" s="86" t="str">
        <f>VLOOKUP(B39,Journal!$A$3:$C$143,3,FALSE)</f>
        <v>Employee payroll settlement</v>
      </c>
      <c r="D39" s="86">
        <f>SUMIF(Journal!$A$3:$A$143,B39,Journal!$D$3:$D$143)</f>
        <v>9200</v>
      </c>
      <c r="E39" s="86" t="str">
        <f>IF(SUMIFS(Journal!$D$3:$D$143,Journal!$A$3:$A$143,$B39,Journal!$E$3:$E$143,E$3)=0,"",SUMIFS(Journal!$D$3:$D$143,Journal!$A$3:$A$143,$B39,Journal!$E$3:$E$143,E$3))</f>
        <v/>
      </c>
      <c r="F39" s="86">
        <f>IF(SUMIFS(Journal!$D$3:$D$143,Journal!$A$3:$A$143,$B39,Journal!$F$3:$F$143,E$3)=0,"",SUMIFS(Journal!$D$3:$D$143,Journal!$A$3:$A$143,$B39,Journal!$F$3:$F$143,E$3))</f>
        <v>9200</v>
      </c>
      <c r="G39" s="86" t="str">
        <f>IF(SUMIFS(Journal!$D$3:$D$143,Journal!$A$3:$A$143,$B39,Journal!$E$3:$E$143,G$3)=0,"",SUMIFS(Journal!$D$3:$D$143,Journal!$A$3:$A$143,$B39,Journal!$E$3:$E$143,G$3))</f>
        <v/>
      </c>
      <c r="H39" s="86" t="str">
        <f>IF(SUMIFS(Journal!$D$3:$D$143,Journal!$A$3:$A$143,$B39,Journal!$F$3:$F$143,G$3)=0,"",SUMIFS(Journal!$D$3:$D$143,Journal!$A$3:$A$143,$B39,Journal!$F$3:$F$143,G$3))</f>
        <v/>
      </c>
      <c r="I39" s="86" t="str">
        <f>IF(SUMIFS(Journal!$D$3:$D$143,Journal!$A$3:$A$143,$B39,Journal!$E$3:$E$143,I$3)=0,"",SUMIFS(Journal!$D$3:$D$143,Journal!$A$3:$A$143,$B39,Journal!$E$3:$E$143,I$3))</f>
        <v/>
      </c>
      <c r="J39" s="86" t="str">
        <f>IF(SUMIFS(Journal!$D$3:$D$143,Journal!$A$3:$A$143,$B39,Journal!$F$3:$F$143,I$3)=0,"",SUMIFS(Journal!$D$3:$D$143,Journal!$A$3:$A$143,$B39,Journal!$F$3:$F$143,I$3))</f>
        <v/>
      </c>
      <c r="K39" s="86" t="str">
        <f>IF(SUMIFS(Journal!$D$3:$D$143,Journal!$A$3:$A$143,$B39,Journal!$E$3:$E$143,K$3)=0,"",SUMIFS(Journal!$D$3:$D$143,Journal!$A$3:$A$143,$B39,Journal!$E$3:$E$143,K$3))</f>
        <v/>
      </c>
      <c r="L39" s="86" t="str">
        <f>IF(SUMIFS(Journal!$D$3:$D$143,Journal!$A$3:$A$143,$B39,Journal!$F$3:$F$143,K$3)=0,"",SUMIFS(Journal!$D$3:$D$143,Journal!$A$3:$A$143,$B39,Journal!$F$3:$F$143,K$3))</f>
        <v/>
      </c>
      <c r="M39" s="86" t="str">
        <f>IF(SUMIFS(Journal!$D$3:$D$143,Journal!$A$3:$A$143,$B39,Journal!$E$3:$E$143,M$3)=0,"",SUMIFS(Journal!$D$3:$D$143,Journal!$A$3:$A$143,$B39,Journal!$E$3:$E$143,M$3))</f>
        <v/>
      </c>
      <c r="N39" s="86" t="str">
        <f>IF(SUMIFS(Journal!$D$3:$D$143,Journal!$A$3:$A$143,$B39,Journal!$F$3:$F$143,M$3)=0,"",SUMIFS(Journal!$D$3:$D$143,Journal!$A$3:$A$143,$B39,Journal!$F$3:$F$143,M$3))</f>
        <v/>
      </c>
      <c r="O39" s="86" t="str">
        <f>IF(SUMIFS(Journal!$D$3:$D$143,Journal!$A$3:$A$143,$B39,Journal!$E$3:$E$143,O$3)=0,"",SUMIFS(Journal!$D$3:$D$143,Journal!$A$3:$A$143,$B39,Journal!$E$3:$E$143,O$3))</f>
        <v/>
      </c>
      <c r="P39" s="86" t="str">
        <f>IF(SUMIFS(Journal!$D$3:$D$143,Journal!$A$3:$A$143,$B39,Journal!$F$3:$F$143,O$3)=0,"",SUMIFS(Journal!$D$3:$D$143,Journal!$A$3:$A$143,$B39,Journal!$F$3:$F$143,O$3))</f>
        <v/>
      </c>
      <c r="Q39" s="86" t="str">
        <f>IF(SUMIFS(Journal!$D$3:$D$143,Journal!$A$3:$A$143,$B39,Journal!$E$3:$E$143,Q$3)=0,"",SUMIFS(Journal!$D$3:$D$143,Journal!$A$3:$A$143,$B39,Journal!$E$3:$E$143,Q$3))</f>
        <v/>
      </c>
      <c r="R39" s="86" t="str">
        <f>IF(SUMIFS(Journal!$D$3:$D$143,Journal!$A$3:$A$143,$B39,Journal!$F$3:$F$143,Q$3)=0,"",SUMIFS(Journal!$D$3:$D$143,Journal!$A$3:$A$143,$B39,Journal!$F$3:$F$143,Q$3))</f>
        <v/>
      </c>
      <c r="S39" s="86" t="str">
        <f>IF(SUMIFS(Journal!$D$3:$D$143,Journal!$A$3:$A$143,$B39,Journal!$E$3:$E$143,S$3)=0,"",SUMIFS(Journal!$D$3:$D$143,Journal!$A$3:$A$143,$B39,Journal!$E$3:$E$143,S$3))</f>
        <v/>
      </c>
      <c r="T39" s="86" t="str">
        <f>IF(SUMIFS(Journal!$D$3:$D$143,Journal!$A$3:$A$143,$B39,Journal!$F$3:$F$143,S$3)=0,"",SUMIFS(Journal!$D$3:$D$143,Journal!$A$3:$A$143,$B39,Journal!$F$3:$F$143,S$3))</f>
        <v/>
      </c>
      <c r="U39" s="86" t="str">
        <f>IF(SUMIFS(Journal!$D$3:$D$143,Journal!$A$3:$A$143,$B39,Journal!$E$3:$E$143,U$3)=0,"",SUMIFS(Journal!$D$3:$D$143,Journal!$A$3:$A$143,$B39,Journal!$E$3:$E$143,U$3))</f>
        <v/>
      </c>
      <c r="V39" s="86" t="str">
        <f>IF(SUMIFS(Journal!$D$3:$D$143,Journal!$A$3:$A$143,$B39,Journal!$F$3:$F$143,U$3)=0,"",SUMIFS(Journal!$D$3:$D$143,Journal!$A$3:$A$143,$B39,Journal!$F$3:$F$143,U$3))</f>
        <v/>
      </c>
      <c r="W39" s="86" t="str">
        <f>IF(SUMIFS(Journal!$D$3:$D$143,Journal!$A$3:$A$143,$B39,Journal!$E$3:$E$143,W$3)=0,"",SUMIFS(Journal!$D$3:$D$143,Journal!$A$3:$A$143,$B39,Journal!$E$3:$E$143,W$3))</f>
        <v/>
      </c>
      <c r="X39" s="86" t="str">
        <f>IF(SUMIFS(Journal!$D$3:$D$143,Journal!$A$3:$A$143,$B39,Journal!$F$3:$F$143,W$3)=0,"",SUMIFS(Journal!$D$3:$D$143,Journal!$A$3:$A$143,$B39,Journal!$F$3:$F$143,W$3))</f>
        <v/>
      </c>
      <c r="Y39" s="86" t="str">
        <f>IF(SUMIFS(Journal!$D$3:$D$143,Journal!$A$3:$A$143,$B39,Journal!$E$3:$E$143,Y$3)=0,"",SUMIFS(Journal!$D$3:$D$143,Journal!$A$3:$A$143,$B39,Journal!$E$3:$E$143,Y$3))</f>
        <v/>
      </c>
      <c r="Z39" s="86" t="str">
        <f>IF(SUMIFS(Journal!$D$3:$D$143,Journal!$A$3:$A$143,$B39,Journal!$F$3:$F$143,Y$3)=0,"",SUMIFS(Journal!$D$3:$D$143,Journal!$A$3:$A$143,$B39,Journal!$F$3:$F$143,Y$3))</f>
        <v/>
      </c>
      <c r="AA39" s="86" t="str">
        <f>IF(SUMIFS(Journal!$D$3:$D$143,Journal!$A$3:$A$143,$B39,Journal!$E$3:$E$143,AA$3)=0,"",SUMIFS(Journal!$D$3:$D$143,Journal!$A$3:$A$143,$B39,Journal!$E$3:$E$143,AA$3))</f>
        <v/>
      </c>
      <c r="AB39" s="86" t="str">
        <f>IF(SUMIFS(Journal!$D$3:$D$143,Journal!$A$3:$A$143,$B39,Journal!$F$3:$F$143,AA$3)=0,"",SUMIFS(Journal!$D$3:$D$143,Journal!$A$3:$A$143,$B39,Journal!$F$3:$F$143,AA$3))</f>
        <v/>
      </c>
      <c r="AC39" s="86" t="str">
        <f>IF(SUMIFS(Journal!$D$3:$D$143,Journal!$A$3:$A$143,$B39,Journal!$E$3:$E$143,AC$3)=0,"",SUMIFS(Journal!$D$3:$D$143,Journal!$A$3:$A$143,$B39,Journal!$E$3:$E$143,AC$3))</f>
        <v/>
      </c>
      <c r="AD39" s="86" t="str">
        <f>IF(SUMIFS(Journal!$D$3:$D$143,Journal!$A$3:$A$143,$B39,Journal!$F$3:$F$143,AC$3)=0,"",SUMIFS(Journal!$D$3:$D$143,Journal!$A$3:$A$143,$B39,Journal!$F$3:$F$143,AC$3))</f>
        <v/>
      </c>
      <c r="AE39" s="86" t="str">
        <f>IF(SUMIFS(Journal!$D$3:$D$143,Journal!$A$3:$A$143,$B39,Journal!$E$3:$E$143,AE$3)=0,"",SUMIFS(Journal!$D$3:$D$143,Journal!$A$3:$A$143,$B39,Journal!$E$3:$E$143,AE$3))</f>
        <v/>
      </c>
      <c r="AF39" s="86" t="str">
        <f>IF(SUMIFS(Journal!$D$3:$D$143,Journal!$A$3:$A$143,$B39,Journal!$F$3:$F$143,AE$3)=0,"",SUMIFS(Journal!$D$3:$D$143,Journal!$A$3:$A$143,$B39,Journal!$F$3:$F$143,AE$3))</f>
        <v/>
      </c>
      <c r="AG39" s="86">
        <f>IF(SUMIFS(Journal!$D$3:$D$143,Journal!$A$3:$A$143,$B39,Journal!$E$3:$E$143,AG$3)=0,"",SUMIFS(Journal!$D$3:$D$143,Journal!$A$3:$A$143,$B39,Journal!$E$3:$E$143,AG$3))</f>
        <v>9200</v>
      </c>
      <c r="AH39" s="86" t="str">
        <f>IF(SUMIFS(Journal!$D$3:$D$143,Journal!$A$3:$A$143,$B39,Journal!$F$3:$F$143,AG$3)=0,"",SUMIFS(Journal!$D$3:$D$143,Journal!$A$3:$A$143,$B39,Journal!$F$3:$F$143,AG$3))</f>
        <v/>
      </c>
      <c r="AI39" s="86" t="str">
        <f>IF(SUMIFS(Journal!$D$3:$D$143,Journal!$A$3:$A$143,$B39,Journal!$E$3:$E$143,AI$3)=0,"",SUMIFS(Journal!$D$3:$D$143,Journal!$A$3:$A$143,$B39,Journal!$E$3:$E$143,AI$3))</f>
        <v/>
      </c>
      <c r="AJ39" s="86" t="str">
        <f>IF(SUMIFS(Journal!$D$3:$D$143,Journal!$A$3:$A$143,$B39,Journal!$F$3:$F$143,AI$3)=0,"",SUMIFS(Journal!$D$3:$D$143,Journal!$A$3:$A$143,$B39,Journal!$F$3:$F$143,AI$3))</f>
        <v/>
      </c>
      <c r="AK39" s="86" t="str">
        <f>IF(SUMIFS(Journal!$D$3:$D$143,Journal!$A$3:$A$143,$B39,Journal!$E$3:$E$143,AK$3)=0,"",SUMIFS(Journal!$D$3:$D$143,Journal!$A$3:$A$143,$B39,Journal!$E$3:$E$143,AK$3))</f>
        <v/>
      </c>
      <c r="AL39" s="86" t="str">
        <f>IF(SUMIFS(Journal!$D$3:$D$143,Journal!$A$3:$A$143,$B39,Journal!$F$3:$F$143,AK$3)=0,"",SUMIFS(Journal!$D$3:$D$143,Journal!$A$3:$A$143,$B39,Journal!$F$3:$F$143,AK$3))</f>
        <v/>
      </c>
      <c r="AM39" s="86" t="str">
        <f>IF(SUMIFS(Journal!$D$3:$D$143,Journal!$A$3:$A$143,$B39,Journal!$E$3:$E$143,AM$3)=0,"",SUMIFS(Journal!$D$3:$D$143,Journal!$A$3:$A$143,$B39,Journal!$E$3:$E$143,AM$3))</f>
        <v/>
      </c>
      <c r="AN39" s="86" t="str">
        <f>IF(SUMIFS(Journal!$D$3:$D$143,Journal!$A$3:$A$143,$B39,Journal!$F$3:$F$143,AM$3)=0,"",SUMIFS(Journal!$D$3:$D$143,Journal!$A$3:$A$143,$B39,Journal!$F$3:$F$143,AM$3))</f>
        <v/>
      </c>
      <c r="AO39" s="86" t="str">
        <f>IF(SUMIFS(Journal!$D$3:$D$143,Journal!$A$3:$A$143,$B39,Journal!$E$3:$E$143,AO$3)=0,"",SUMIFS(Journal!$D$3:$D$143,Journal!$A$3:$A$143,$B39,Journal!$E$3:$E$143,AO$3))</f>
        <v/>
      </c>
      <c r="AP39" s="86" t="str">
        <f>IF(SUMIFS(Journal!$D$3:$D$143,Journal!$A$3:$A$143,$B39,Journal!$F$3:$F$143,AO$3)=0,"",SUMIFS(Journal!$D$3:$D$143,Journal!$A$3:$A$143,$B39,Journal!$F$3:$F$143,AO$3))</f>
        <v/>
      </c>
      <c r="AQ39" s="86" t="str">
        <f>IF(SUMIFS(Journal!$D$3:$D$143,Journal!$A$3:$A$143,$B39,Journal!$E$3:$E$143,AQ$3)=0,"",SUMIFS(Journal!$D$3:$D$143,Journal!$A$3:$A$143,$B39,Journal!$E$3:$E$143,AQ$3))</f>
        <v/>
      </c>
      <c r="AR39" s="86" t="str">
        <f>IF(SUMIFS(Journal!$D$3:$D$143,Journal!$A$3:$A$143,$B39,Journal!$F$3:$F$143,AQ$3)=0,"",SUMIFS(Journal!$D$3:$D$143,Journal!$A$3:$A$143,$B39,Journal!$F$3:$F$143,AQ$3))</f>
        <v/>
      </c>
      <c r="AS39" s="86" t="str">
        <f>IF(SUMIFS(Journal!$D$3:$D$143,Journal!$A$3:$A$143,$B39,Journal!$E$3:$E$143,AS$3)=0,"",SUMIFS(Journal!$D$3:$D$143,Journal!$A$3:$A$143,$B39,Journal!$E$3:$E$143,AS$3))</f>
        <v/>
      </c>
      <c r="AT39" s="86" t="str">
        <f>IF(SUMIFS(Journal!$D$3:$D$143,Journal!$A$3:$A$143,$B39,Journal!$F$3:$F$143,AS$3)=0,"",SUMIFS(Journal!$D$3:$D$143,Journal!$A$3:$A$143,$B39,Journal!$F$3:$F$143,AS$3))</f>
        <v/>
      </c>
      <c r="AU39" s="86" t="str">
        <f>IF(SUMIFS(Journal!$D$3:$D$143,Journal!$A$3:$A$143,$B39,Journal!$E$3:$E$143,AU$3)=0,"",SUMIFS(Journal!$D$3:$D$143,Journal!$A$3:$A$143,$B39,Journal!$E$3:$E$143,AU$3))</f>
        <v/>
      </c>
      <c r="AV39" s="86" t="str">
        <f>IF(SUMIFS(Journal!$D$3:$D$143,Journal!$A$3:$A$143,$B39,Journal!$F$3:$F$143,AU$3)=0,"",SUMIFS(Journal!$D$3:$D$143,Journal!$A$3:$A$143,$B39,Journal!$F$3:$F$143,AU$3))</f>
        <v/>
      </c>
      <c r="AW39" s="86" t="str">
        <f>IF(SUMIFS(Journal!$D$3:$D$143,Journal!$A$3:$A$143,$B39,Journal!$E$3:$E$143,AW$3)=0,"",SUMIFS(Journal!$D$3:$D$143,Journal!$A$3:$A$143,$B39,Journal!$E$3:$E$143,AW$3))</f>
        <v/>
      </c>
      <c r="AX39" s="86" t="str">
        <f>IF(SUMIFS(Journal!$D$3:$D$143,Journal!$A$3:$A$143,$B39,Journal!$F$3:$F$143,AW$3)=0,"",SUMIFS(Journal!$D$3:$D$143,Journal!$A$3:$A$143,$B39,Journal!$F$3:$F$143,AW$3))</f>
        <v/>
      </c>
      <c r="AY39" s="86" t="str">
        <f>IF(SUMIFS(Journal!$D$3:$D$143,Journal!$A$3:$A$143,$B39,Journal!$E$3:$E$143,AY$3)=0,"",SUMIFS(Journal!$D$3:$D$143,Journal!$A$3:$A$143,$B39,Journal!$E$3:$E$143,AY$3))</f>
        <v/>
      </c>
      <c r="AZ39" s="86" t="str">
        <f>IF(SUMIFS(Journal!$D$3:$D$143,Journal!$A$3:$A$143,$B39,Journal!$F$3:$F$143,AY$3)=0,"",SUMIFS(Journal!$D$3:$D$143,Journal!$A$3:$A$143,$B39,Journal!$F$3:$F$143,AY$3))</f>
        <v/>
      </c>
      <c r="BA39" s="86" t="str">
        <f>IF(SUMIFS(Journal!$D$3:$D$143,Journal!$A$3:$A$143,$B39,Journal!$E$3:$E$143,BA$3)=0,"",SUMIFS(Journal!$D$3:$D$143,Journal!$A$3:$A$143,$B39,Journal!$E$3:$E$143,BA$3))</f>
        <v/>
      </c>
      <c r="BB39" s="86" t="str">
        <f>IF(SUMIFS(Journal!$D$3:$D$143,Journal!$A$3:$A$143,$B39,Journal!$F$3:$F$143,BA$3)=0,"",SUMIFS(Journal!$D$3:$D$143,Journal!$A$3:$A$143,$B39,Journal!$F$3:$F$143,BA$3))</f>
        <v/>
      </c>
    </row>
    <row r="40">
      <c r="A40" s="84">
        <f>VLOOKUP(B40,Journal!$A$3:$C$143,2,FALSE)</f>
        <v>45382</v>
      </c>
      <c r="B40" s="85" t="s">
        <v>315</v>
      </c>
      <c r="C40" s="86" t="str">
        <f>VLOOKUP(B40,Journal!$A$3:$C$143,3,FALSE)</f>
        <v>Monthly utility settlement</v>
      </c>
      <c r="D40" s="86">
        <f>SUMIF(Journal!$A$3:$A$143,B40,Journal!$D$3:$D$143)</f>
        <v>833</v>
      </c>
      <c r="E40" s="86" t="str">
        <f>IF(SUMIFS(Journal!$D$3:$D$143,Journal!$A$3:$A$143,$B40,Journal!$E$3:$E$143,E$3)=0,"",SUMIFS(Journal!$D$3:$D$143,Journal!$A$3:$A$143,$B40,Journal!$E$3:$E$143,E$3))</f>
        <v/>
      </c>
      <c r="F40" s="86">
        <f>IF(SUMIFS(Journal!$D$3:$D$143,Journal!$A$3:$A$143,$B40,Journal!$F$3:$F$143,E$3)=0,"",SUMIFS(Journal!$D$3:$D$143,Journal!$A$3:$A$143,$B40,Journal!$F$3:$F$143,E$3))</f>
        <v>833</v>
      </c>
      <c r="G40" s="86" t="str">
        <f>IF(SUMIFS(Journal!$D$3:$D$143,Journal!$A$3:$A$143,$B40,Journal!$E$3:$E$143,G$3)=0,"",SUMIFS(Journal!$D$3:$D$143,Journal!$A$3:$A$143,$B40,Journal!$E$3:$E$143,G$3))</f>
        <v/>
      </c>
      <c r="H40" s="86" t="str">
        <f>IF(SUMIFS(Journal!$D$3:$D$143,Journal!$A$3:$A$143,$B40,Journal!$F$3:$F$143,G$3)=0,"",SUMIFS(Journal!$D$3:$D$143,Journal!$A$3:$A$143,$B40,Journal!$F$3:$F$143,G$3))</f>
        <v/>
      </c>
      <c r="I40" s="86" t="str">
        <f>IF(SUMIFS(Journal!$D$3:$D$143,Journal!$A$3:$A$143,$B40,Journal!$E$3:$E$143,I$3)=0,"",SUMIFS(Journal!$D$3:$D$143,Journal!$A$3:$A$143,$B40,Journal!$E$3:$E$143,I$3))</f>
        <v/>
      </c>
      <c r="J40" s="86" t="str">
        <f>IF(SUMIFS(Journal!$D$3:$D$143,Journal!$A$3:$A$143,$B40,Journal!$F$3:$F$143,I$3)=0,"",SUMIFS(Journal!$D$3:$D$143,Journal!$A$3:$A$143,$B40,Journal!$F$3:$F$143,I$3))</f>
        <v/>
      </c>
      <c r="K40" s="86" t="str">
        <f>IF(SUMIFS(Journal!$D$3:$D$143,Journal!$A$3:$A$143,$B40,Journal!$E$3:$E$143,K$3)=0,"",SUMIFS(Journal!$D$3:$D$143,Journal!$A$3:$A$143,$B40,Journal!$E$3:$E$143,K$3))</f>
        <v/>
      </c>
      <c r="L40" s="86" t="str">
        <f>IF(SUMIFS(Journal!$D$3:$D$143,Journal!$A$3:$A$143,$B40,Journal!$F$3:$F$143,K$3)=0,"",SUMIFS(Journal!$D$3:$D$143,Journal!$A$3:$A$143,$B40,Journal!$F$3:$F$143,K$3))</f>
        <v/>
      </c>
      <c r="M40" s="86" t="str">
        <f>IF(SUMIFS(Journal!$D$3:$D$143,Journal!$A$3:$A$143,$B40,Journal!$E$3:$E$143,M$3)=0,"",SUMIFS(Journal!$D$3:$D$143,Journal!$A$3:$A$143,$B40,Journal!$E$3:$E$143,M$3))</f>
        <v/>
      </c>
      <c r="N40" s="86" t="str">
        <f>IF(SUMIFS(Journal!$D$3:$D$143,Journal!$A$3:$A$143,$B40,Journal!$F$3:$F$143,M$3)=0,"",SUMIFS(Journal!$D$3:$D$143,Journal!$A$3:$A$143,$B40,Journal!$F$3:$F$143,M$3))</f>
        <v/>
      </c>
      <c r="O40" s="86" t="str">
        <f>IF(SUMIFS(Journal!$D$3:$D$143,Journal!$A$3:$A$143,$B40,Journal!$E$3:$E$143,O$3)=0,"",SUMIFS(Journal!$D$3:$D$143,Journal!$A$3:$A$143,$B40,Journal!$E$3:$E$143,O$3))</f>
        <v/>
      </c>
      <c r="P40" s="86" t="str">
        <f>IF(SUMIFS(Journal!$D$3:$D$143,Journal!$A$3:$A$143,$B40,Journal!$F$3:$F$143,O$3)=0,"",SUMIFS(Journal!$D$3:$D$143,Journal!$A$3:$A$143,$B40,Journal!$F$3:$F$143,O$3))</f>
        <v/>
      </c>
      <c r="Q40" s="86" t="str">
        <f>IF(SUMIFS(Journal!$D$3:$D$143,Journal!$A$3:$A$143,$B40,Journal!$E$3:$E$143,Q$3)=0,"",SUMIFS(Journal!$D$3:$D$143,Journal!$A$3:$A$143,$B40,Journal!$E$3:$E$143,Q$3))</f>
        <v/>
      </c>
      <c r="R40" s="86" t="str">
        <f>IF(SUMIFS(Journal!$D$3:$D$143,Journal!$A$3:$A$143,$B40,Journal!$F$3:$F$143,Q$3)=0,"",SUMIFS(Journal!$D$3:$D$143,Journal!$A$3:$A$143,$B40,Journal!$F$3:$F$143,Q$3))</f>
        <v/>
      </c>
      <c r="S40" s="86" t="str">
        <f>IF(SUMIFS(Journal!$D$3:$D$143,Journal!$A$3:$A$143,$B40,Journal!$E$3:$E$143,S$3)=0,"",SUMIFS(Journal!$D$3:$D$143,Journal!$A$3:$A$143,$B40,Journal!$E$3:$E$143,S$3))</f>
        <v/>
      </c>
      <c r="T40" s="86" t="str">
        <f>IF(SUMIFS(Journal!$D$3:$D$143,Journal!$A$3:$A$143,$B40,Journal!$F$3:$F$143,S$3)=0,"",SUMIFS(Journal!$D$3:$D$143,Journal!$A$3:$A$143,$B40,Journal!$F$3:$F$143,S$3))</f>
        <v/>
      </c>
      <c r="U40" s="86" t="str">
        <f>IF(SUMIFS(Journal!$D$3:$D$143,Journal!$A$3:$A$143,$B40,Journal!$E$3:$E$143,U$3)=0,"",SUMIFS(Journal!$D$3:$D$143,Journal!$A$3:$A$143,$B40,Journal!$E$3:$E$143,U$3))</f>
        <v/>
      </c>
      <c r="V40" s="86" t="str">
        <f>IF(SUMIFS(Journal!$D$3:$D$143,Journal!$A$3:$A$143,$B40,Journal!$F$3:$F$143,U$3)=0,"",SUMIFS(Journal!$D$3:$D$143,Journal!$A$3:$A$143,$B40,Journal!$F$3:$F$143,U$3))</f>
        <v/>
      </c>
      <c r="W40" s="86" t="str">
        <f>IF(SUMIFS(Journal!$D$3:$D$143,Journal!$A$3:$A$143,$B40,Journal!$E$3:$E$143,W$3)=0,"",SUMIFS(Journal!$D$3:$D$143,Journal!$A$3:$A$143,$B40,Journal!$E$3:$E$143,W$3))</f>
        <v/>
      </c>
      <c r="X40" s="86" t="str">
        <f>IF(SUMIFS(Journal!$D$3:$D$143,Journal!$A$3:$A$143,$B40,Journal!$F$3:$F$143,W$3)=0,"",SUMIFS(Journal!$D$3:$D$143,Journal!$A$3:$A$143,$B40,Journal!$F$3:$F$143,W$3))</f>
        <v/>
      </c>
      <c r="Y40" s="86" t="str">
        <f>IF(SUMIFS(Journal!$D$3:$D$143,Journal!$A$3:$A$143,$B40,Journal!$E$3:$E$143,Y$3)=0,"",SUMIFS(Journal!$D$3:$D$143,Journal!$A$3:$A$143,$B40,Journal!$E$3:$E$143,Y$3))</f>
        <v/>
      </c>
      <c r="Z40" s="86" t="str">
        <f>IF(SUMIFS(Journal!$D$3:$D$143,Journal!$A$3:$A$143,$B40,Journal!$F$3:$F$143,Y$3)=0,"",SUMIFS(Journal!$D$3:$D$143,Journal!$A$3:$A$143,$B40,Journal!$F$3:$F$143,Y$3))</f>
        <v/>
      </c>
      <c r="AA40" s="86" t="str">
        <f>IF(SUMIFS(Journal!$D$3:$D$143,Journal!$A$3:$A$143,$B40,Journal!$E$3:$E$143,AA$3)=0,"",SUMIFS(Journal!$D$3:$D$143,Journal!$A$3:$A$143,$B40,Journal!$E$3:$E$143,AA$3))</f>
        <v/>
      </c>
      <c r="AB40" s="86" t="str">
        <f>IF(SUMIFS(Journal!$D$3:$D$143,Journal!$A$3:$A$143,$B40,Journal!$F$3:$F$143,AA$3)=0,"",SUMIFS(Journal!$D$3:$D$143,Journal!$A$3:$A$143,$B40,Journal!$F$3:$F$143,AA$3))</f>
        <v/>
      </c>
      <c r="AC40" s="86" t="str">
        <f>IF(SUMIFS(Journal!$D$3:$D$143,Journal!$A$3:$A$143,$B40,Journal!$E$3:$E$143,AC$3)=0,"",SUMIFS(Journal!$D$3:$D$143,Journal!$A$3:$A$143,$B40,Journal!$E$3:$E$143,AC$3))</f>
        <v/>
      </c>
      <c r="AD40" s="86" t="str">
        <f>IF(SUMIFS(Journal!$D$3:$D$143,Journal!$A$3:$A$143,$B40,Journal!$F$3:$F$143,AC$3)=0,"",SUMIFS(Journal!$D$3:$D$143,Journal!$A$3:$A$143,$B40,Journal!$F$3:$F$143,AC$3))</f>
        <v/>
      </c>
      <c r="AE40" s="86" t="str">
        <f>IF(SUMIFS(Journal!$D$3:$D$143,Journal!$A$3:$A$143,$B40,Journal!$E$3:$E$143,AE$3)=0,"",SUMIFS(Journal!$D$3:$D$143,Journal!$A$3:$A$143,$B40,Journal!$E$3:$E$143,AE$3))</f>
        <v/>
      </c>
      <c r="AF40" s="86" t="str">
        <f>IF(SUMIFS(Journal!$D$3:$D$143,Journal!$A$3:$A$143,$B40,Journal!$F$3:$F$143,AE$3)=0,"",SUMIFS(Journal!$D$3:$D$143,Journal!$A$3:$A$143,$B40,Journal!$F$3:$F$143,AE$3))</f>
        <v/>
      </c>
      <c r="AG40" s="86" t="str">
        <f>IF(SUMIFS(Journal!$D$3:$D$143,Journal!$A$3:$A$143,$B40,Journal!$E$3:$E$143,AG$3)=0,"",SUMIFS(Journal!$D$3:$D$143,Journal!$A$3:$A$143,$B40,Journal!$E$3:$E$143,AG$3))</f>
        <v/>
      </c>
      <c r="AH40" s="86" t="str">
        <f>IF(SUMIFS(Journal!$D$3:$D$143,Journal!$A$3:$A$143,$B40,Journal!$F$3:$F$143,AG$3)=0,"",SUMIFS(Journal!$D$3:$D$143,Journal!$A$3:$A$143,$B40,Journal!$F$3:$F$143,AG$3))</f>
        <v/>
      </c>
      <c r="AI40" s="86" t="str">
        <f>IF(SUMIFS(Journal!$D$3:$D$143,Journal!$A$3:$A$143,$B40,Journal!$E$3:$E$143,AI$3)=0,"",SUMIFS(Journal!$D$3:$D$143,Journal!$A$3:$A$143,$B40,Journal!$E$3:$E$143,AI$3))</f>
        <v/>
      </c>
      <c r="AJ40" s="86" t="str">
        <f>IF(SUMIFS(Journal!$D$3:$D$143,Journal!$A$3:$A$143,$B40,Journal!$F$3:$F$143,AI$3)=0,"",SUMIFS(Journal!$D$3:$D$143,Journal!$A$3:$A$143,$B40,Journal!$F$3:$F$143,AI$3))</f>
        <v/>
      </c>
      <c r="AK40" s="86" t="str">
        <f>IF(SUMIFS(Journal!$D$3:$D$143,Journal!$A$3:$A$143,$B40,Journal!$E$3:$E$143,AK$3)=0,"",SUMIFS(Journal!$D$3:$D$143,Journal!$A$3:$A$143,$B40,Journal!$E$3:$E$143,AK$3))</f>
        <v/>
      </c>
      <c r="AL40" s="86" t="str">
        <f>IF(SUMIFS(Journal!$D$3:$D$143,Journal!$A$3:$A$143,$B40,Journal!$F$3:$F$143,AK$3)=0,"",SUMIFS(Journal!$D$3:$D$143,Journal!$A$3:$A$143,$B40,Journal!$F$3:$F$143,AK$3))</f>
        <v/>
      </c>
      <c r="AM40" s="86">
        <f>IF(SUMIFS(Journal!$D$3:$D$143,Journal!$A$3:$A$143,$B40,Journal!$E$3:$E$143,AM$3)=0,"",SUMIFS(Journal!$D$3:$D$143,Journal!$A$3:$A$143,$B40,Journal!$E$3:$E$143,AM$3))</f>
        <v>833</v>
      </c>
      <c r="AN40" s="86" t="str">
        <f>IF(SUMIFS(Journal!$D$3:$D$143,Journal!$A$3:$A$143,$B40,Journal!$F$3:$F$143,AM$3)=0,"",SUMIFS(Journal!$D$3:$D$143,Journal!$A$3:$A$143,$B40,Journal!$F$3:$F$143,AM$3))</f>
        <v/>
      </c>
      <c r="AO40" s="86" t="str">
        <f>IF(SUMIFS(Journal!$D$3:$D$143,Journal!$A$3:$A$143,$B40,Journal!$E$3:$E$143,AO$3)=0,"",SUMIFS(Journal!$D$3:$D$143,Journal!$A$3:$A$143,$B40,Journal!$E$3:$E$143,AO$3))</f>
        <v/>
      </c>
      <c r="AP40" s="86" t="str">
        <f>IF(SUMIFS(Journal!$D$3:$D$143,Journal!$A$3:$A$143,$B40,Journal!$F$3:$F$143,AO$3)=0,"",SUMIFS(Journal!$D$3:$D$143,Journal!$A$3:$A$143,$B40,Journal!$F$3:$F$143,AO$3))</f>
        <v/>
      </c>
      <c r="AQ40" s="86" t="str">
        <f>IF(SUMIFS(Journal!$D$3:$D$143,Journal!$A$3:$A$143,$B40,Journal!$E$3:$E$143,AQ$3)=0,"",SUMIFS(Journal!$D$3:$D$143,Journal!$A$3:$A$143,$B40,Journal!$E$3:$E$143,AQ$3))</f>
        <v/>
      </c>
      <c r="AR40" s="86" t="str">
        <f>IF(SUMIFS(Journal!$D$3:$D$143,Journal!$A$3:$A$143,$B40,Journal!$F$3:$F$143,AQ$3)=0,"",SUMIFS(Journal!$D$3:$D$143,Journal!$A$3:$A$143,$B40,Journal!$F$3:$F$143,AQ$3))</f>
        <v/>
      </c>
      <c r="AS40" s="86" t="str">
        <f>IF(SUMIFS(Journal!$D$3:$D$143,Journal!$A$3:$A$143,$B40,Journal!$E$3:$E$143,AS$3)=0,"",SUMIFS(Journal!$D$3:$D$143,Journal!$A$3:$A$143,$B40,Journal!$E$3:$E$143,AS$3))</f>
        <v/>
      </c>
      <c r="AT40" s="86" t="str">
        <f>IF(SUMIFS(Journal!$D$3:$D$143,Journal!$A$3:$A$143,$B40,Journal!$F$3:$F$143,AS$3)=0,"",SUMIFS(Journal!$D$3:$D$143,Journal!$A$3:$A$143,$B40,Journal!$F$3:$F$143,AS$3))</f>
        <v/>
      </c>
      <c r="AU40" s="86" t="str">
        <f>IF(SUMIFS(Journal!$D$3:$D$143,Journal!$A$3:$A$143,$B40,Journal!$E$3:$E$143,AU$3)=0,"",SUMIFS(Journal!$D$3:$D$143,Journal!$A$3:$A$143,$B40,Journal!$E$3:$E$143,AU$3))</f>
        <v/>
      </c>
      <c r="AV40" s="86" t="str">
        <f>IF(SUMIFS(Journal!$D$3:$D$143,Journal!$A$3:$A$143,$B40,Journal!$F$3:$F$143,AU$3)=0,"",SUMIFS(Journal!$D$3:$D$143,Journal!$A$3:$A$143,$B40,Journal!$F$3:$F$143,AU$3))</f>
        <v/>
      </c>
      <c r="AW40" s="86" t="str">
        <f>IF(SUMIFS(Journal!$D$3:$D$143,Journal!$A$3:$A$143,$B40,Journal!$E$3:$E$143,AW$3)=0,"",SUMIFS(Journal!$D$3:$D$143,Journal!$A$3:$A$143,$B40,Journal!$E$3:$E$143,AW$3))</f>
        <v/>
      </c>
      <c r="AX40" s="86" t="str">
        <f>IF(SUMIFS(Journal!$D$3:$D$143,Journal!$A$3:$A$143,$B40,Journal!$F$3:$F$143,AW$3)=0,"",SUMIFS(Journal!$D$3:$D$143,Journal!$A$3:$A$143,$B40,Journal!$F$3:$F$143,AW$3))</f>
        <v/>
      </c>
      <c r="AY40" s="86" t="str">
        <f>IF(SUMIFS(Journal!$D$3:$D$143,Journal!$A$3:$A$143,$B40,Journal!$E$3:$E$143,AY$3)=0,"",SUMIFS(Journal!$D$3:$D$143,Journal!$A$3:$A$143,$B40,Journal!$E$3:$E$143,AY$3))</f>
        <v/>
      </c>
      <c r="AZ40" s="86" t="str">
        <f>IF(SUMIFS(Journal!$D$3:$D$143,Journal!$A$3:$A$143,$B40,Journal!$F$3:$F$143,AY$3)=0,"",SUMIFS(Journal!$D$3:$D$143,Journal!$A$3:$A$143,$B40,Journal!$F$3:$F$143,AY$3))</f>
        <v/>
      </c>
      <c r="BA40" s="86" t="str">
        <f>IF(SUMIFS(Journal!$D$3:$D$143,Journal!$A$3:$A$143,$B40,Journal!$E$3:$E$143,BA$3)=0,"",SUMIFS(Journal!$D$3:$D$143,Journal!$A$3:$A$143,$B40,Journal!$E$3:$E$143,BA$3))</f>
        <v/>
      </c>
      <c r="BB40" s="86" t="str">
        <f>IF(SUMIFS(Journal!$D$3:$D$143,Journal!$A$3:$A$143,$B40,Journal!$F$3:$F$143,BA$3)=0,"",SUMIFS(Journal!$D$3:$D$143,Journal!$A$3:$A$143,$B40,Journal!$F$3:$F$143,BA$3))</f>
        <v/>
      </c>
    </row>
    <row r="41">
      <c r="A41" s="84">
        <f>VLOOKUP(B41,Journal!$A$3:$C$143,2,FALSE)</f>
        <v>45383</v>
      </c>
      <c r="B41" s="85" t="s">
        <v>320</v>
      </c>
      <c r="C41" s="86" t="str">
        <f>VLOOKUP(B41,Journal!$A$3:$C$143,3,FALSE)</f>
        <v>Monthly facility rent</v>
      </c>
      <c r="D41" s="86">
        <f>SUMIF(Journal!$A$3:$A$143,B41,Journal!$D$3:$D$143)</f>
        <v>5400</v>
      </c>
      <c r="E41" s="86" t="str">
        <f>IF(SUMIFS(Journal!$D$3:$D$143,Journal!$A$3:$A$143,$B41,Journal!$E$3:$E$143,E$3)=0,"",SUMIFS(Journal!$D$3:$D$143,Journal!$A$3:$A$143,$B41,Journal!$E$3:$E$143,E$3))</f>
        <v/>
      </c>
      <c r="F41" s="86">
        <f>IF(SUMIFS(Journal!$D$3:$D$143,Journal!$A$3:$A$143,$B41,Journal!$F$3:$F$143,E$3)=0,"",SUMIFS(Journal!$D$3:$D$143,Journal!$A$3:$A$143,$B41,Journal!$F$3:$F$143,E$3))</f>
        <v>5400</v>
      </c>
      <c r="G41" s="86" t="str">
        <f>IF(SUMIFS(Journal!$D$3:$D$143,Journal!$A$3:$A$143,$B41,Journal!$E$3:$E$143,G$3)=0,"",SUMIFS(Journal!$D$3:$D$143,Journal!$A$3:$A$143,$B41,Journal!$E$3:$E$143,G$3))</f>
        <v/>
      </c>
      <c r="H41" s="86" t="str">
        <f>IF(SUMIFS(Journal!$D$3:$D$143,Journal!$A$3:$A$143,$B41,Journal!$F$3:$F$143,G$3)=0,"",SUMIFS(Journal!$D$3:$D$143,Journal!$A$3:$A$143,$B41,Journal!$F$3:$F$143,G$3))</f>
        <v/>
      </c>
      <c r="I41" s="86" t="str">
        <f>IF(SUMIFS(Journal!$D$3:$D$143,Journal!$A$3:$A$143,$B41,Journal!$E$3:$E$143,I$3)=0,"",SUMIFS(Journal!$D$3:$D$143,Journal!$A$3:$A$143,$B41,Journal!$E$3:$E$143,I$3))</f>
        <v/>
      </c>
      <c r="J41" s="86" t="str">
        <f>IF(SUMIFS(Journal!$D$3:$D$143,Journal!$A$3:$A$143,$B41,Journal!$F$3:$F$143,I$3)=0,"",SUMIFS(Journal!$D$3:$D$143,Journal!$A$3:$A$143,$B41,Journal!$F$3:$F$143,I$3))</f>
        <v/>
      </c>
      <c r="K41" s="86" t="str">
        <f>IF(SUMIFS(Journal!$D$3:$D$143,Journal!$A$3:$A$143,$B41,Journal!$E$3:$E$143,K$3)=0,"",SUMIFS(Journal!$D$3:$D$143,Journal!$A$3:$A$143,$B41,Journal!$E$3:$E$143,K$3))</f>
        <v/>
      </c>
      <c r="L41" s="86" t="str">
        <f>IF(SUMIFS(Journal!$D$3:$D$143,Journal!$A$3:$A$143,$B41,Journal!$F$3:$F$143,K$3)=0,"",SUMIFS(Journal!$D$3:$D$143,Journal!$A$3:$A$143,$B41,Journal!$F$3:$F$143,K$3))</f>
        <v/>
      </c>
      <c r="M41" s="86" t="str">
        <f>IF(SUMIFS(Journal!$D$3:$D$143,Journal!$A$3:$A$143,$B41,Journal!$E$3:$E$143,M$3)=0,"",SUMIFS(Journal!$D$3:$D$143,Journal!$A$3:$A$143,$B41,Journal!$E$3:$E$143,M$3))</f>
        <v/>
      </c>
      <c r="N41" s="86" t="str">
        <f>IF(SUMIFS(Journal!$D$3:$D$143,Journal!$A$3:$A$143,$B41,Journal!$F$3:$F$143,M$3)=0,"",SUMIFS(Journal!$D$3:$D$143,Journal!$A$3:$A$143,$B41,Journal!$F$3:$F$143,M$3))</f>
        <v/>
      </c>
      <c r="O41" s="86" t="str">
        <f>IF(SUMIFS(Journal!$D$3:$D$143,Journal!$A$3:$A$143,$B41,Journal!$E$3:$E$143,O$3)=0,"",SUMIFS(Journal!$D$3:$D$143,Journal!$A$3:$A$143,$B41,Journal!$E$3:$E$143,O$3))</f>
        <v/>
      </c>
      <c r="P41" s="86" t="str">
        <f>IF(SUMIFS(Journal!$D$3:$D$143,Journal!$A$3:$A$143,$B41,Journal!$F$3:$F$143,O$3)=0,"",SUMIFS(Journal!$D$3:$D$143,Journal!$A$3:$A$143,$B41,Journal!$F$3:$F$143,O$3))</f>
        <v/>
      </c>
      <c r="Q41" s="86" t="str">
        <f>IF(SUMIFS(Journal!$D$3:$D$143,Journal!$A$3:$A$143,$B41,Journal!$E$3:$E$143,Q$3)=0,"",SUMIFS(Journal!$D$3:$D$143,Journal!$A$3:$A$143,$B41,Journal!$E$3:$E$143,Q$3))</f>
        <v/>
      </c>
      <c r="R41" s="86" t="str">
        <f>IF(SUMIFS(Journal!$D$3:$D$143,Journal!$A$3:$A$143,$B41,Journal!$F$3:$F$143,Q$3)=0,"",SUMIFS(Journal!$D$3:$D$143,Journal!$A$3:$A$143,$B41,Journal!$F$3:$F$143,Q$3))</f>
        <v/>
      </c>
      <c r="S41" s="86" t="str">
        <f>IF(SUMIFS(Journal!$D$3:$D$143,Journal!$A$3:$A$143,$B41,Journal!$E$3:$E$143,S$3)=0,"",SUMIFS(Journal!$D$3:$D$143,Journal!$A$3:$A$143,$B41,Journal!$E$3:$E$143,S$3))</f>
        <v/>
      </c>
      <c r="T41" s="86" t="str">
        <f>IF(SUMIFS(Journal!$D$3:$D$143,Journal!$A$3:$A$143,$B41,Journal!$F$3:$F$143,S$3)=0,"",SUMIFS(Journal!$D$3:$D$143,Journal!$A$3:$A$143,$B41,Journal!$F$3:$F$143,S$3))</f>
        <v/>
      </c>
      <c r="U41" s="86" t="str">
        <f>IF(SUMIFS(Journal!$D$3:$D$143,Journal!$A$3:$A$143,$B41,Journal!$E$3:$E$143,U$3)=0,"",SUMIFS(Journal!$D$3:$D$143,Journal!$A$3:$A$143,$B41,Journal!$E$3:$E$143,U$3))</f>
        <v/>
      </c>
      <c r="V41" s="86" t="str">
        <f>IF(SUMIFS(Journal!$D$3:$D$143,Journal!$A$3:$A$143,$B41,Journal!$F$3:$F$143,U$3)=0,"",SUMIFS(Journal!$D$3:$D$143,Journal!$A$3:$A$143,$B41,Journal!$F$3:$F$143,U$3))</f>
        <v/>
      </c>
      <c r="W41" s="86" t="str">
        <f>IF(SUMIFS(Journal!$D$3:$D$143,Journal!$A$3:$A$143,$B41,Journal!$E$3:$E$143,W$3)=0,"",SUMIFS(Journal!$D$3:$D$143,Journal!$A$3:$A$143,$B41,Journal!$E$3:$E$143,W$3))</f>
        <v/>
      </c>
      <c r="X41" s="86" t="str">
        <f>IF(SUMIFS(Journal!$D$3:$D$143,Journal!$A$3:$A$143,$B41,Journal!$F$3:$F$143,W$3)=0,"",SUMIFS(Journal!$D$3:$D$143,Journal!$A$3:$A$143,$B41,Journal!$F$3:$F$143,W$3))</f>
        <v/>
      </c>
      <c r="Y41" s="86" t="str">
        <f>IF(SUMIFS(Journal!$D$3:$D$143,Journal!$A$3:$A$143,$B41,Journal!$E$3:$E$143,Y$3)=0,"",SUMIFS(Journal!$D$3:$D$143,Journal!$A$3:$A$143,$B41,Journal!$E$3:$E$143,Y$3))</f>
        <v/>
      </c>
      <c r="Z41" s="86" t="str">
        <f>IF(SUMIFS(Journal!$D$3:$D$143,Journal!$A$3:$A$143,$B41,Journal!$F$3:$F$143,Y$3)=0,"",SUMIFS(Journal!$D$3:$D$143,Journal!$A$3:$A$143,$B41,Journal!$F$3:$F$143,Y$3))</f>
        <v/>
      </c>
      <c r="AA41" s="86" t="str">
        <f>IF(SUMIFS(Journal!$D$3:$D$143,Journal!$A$3:$A$143,$B41,Journal!$E$3:$E$143,AA$3)=0,"",SUMIFS(Journal!$D$3:$D$143,Journal!$A$3:$A$143,$B41,Journal!$E$3:$E$143,AA$3))</f>
        <v/>
      </c>
      <c r="AB41" s="86" t="str">
        <f>IF(SUMIFS(Journal!$D$3:$D$143,Journal!$A$3:$A$143,$B41,Journal!$F$3:$F$143,AA$3)=0,"",SUMIFS(Journal!$D$3:$D$143,Journal!$A$3:$A$143,$B41,Journal!$F$3:$F$143,AA$3))</f>
        <v/>
      </c>
      <c r="AC41" s="86" t="str">
        <f>IF(SUMIFS(Journal!$D$3:$D$143,Journal!$A$3:$A$143,$B41,Journal!$E$3:$E$143,AC$3)=0,"",SUMIFS(Journal!$D$3:$D$143,Journal!$A$3:$A$143,$B41,Journal!$E$3:$E$143,AC$3))</f>
        <v/>
      </c>
      <c r="AD41" s="86" t="str">
        <f>IF(SUMIFS(Journal!$D$3:$D$143,Journal!$A$3:$A$143,$B41,Journal!$F$3:$F$143,AC$3)=0,"",SUMIFS(Journal!$D$3:$D$143,Journal!$A$3:$A$143,$B41,Journal!$F$3:$F$143,AC$3))</f>
        <v/>
      </c>
      <c r="AE41" s="86" t="str">
        <f>IF(SUMIFS(Journal!$D$3:$D$143,Journal!$A$3:$A$143,$B41,Journal!$E$3:$E$143,AE$3)=0,"",SUMIFS(Journal!$D$3:$D$143,Journal!$A$3:$A$143,$B41,Journal!$E$3:$E$143,AE$3))</f>
        <v/>
      </c>
      <c r="AF41" s="86" t="str">
        <f>IF(SUMIFS(Journal!$D$3:$D$143,Journal!$A$3:$A$143,$B41,Journal!$F$3:$F$143,AE$3)=0,"",SUMIFS(Journal!$D$3:$D$143,Journal!$A$3:$A$143,$B41,Journal!$F$3:$F$143,AE$3))</f>
        <v/>
      </c>
      <c r="AG41" s="86" t="str">
        <f>IF(SUMIFS(Journal!$D$3:$D$143,Journal!$A$3:$A$143,$B41,Journal!$E$3:$E$143,AG$3)=0,"",SUMIFS(Journal!$D$3:$D$143,Journal!$A$3:$A$143,$B41,Journal!$E$3:$E$143,AG$3))</f>
        <v/>
      </c>
      <c r="AH41" s="86" t="str">
        <f>IF(SUMIFS(Journal!$D$3:$D$143,Journal!$A$3:$A$143,$B41,Journal!$F$3:$F$143,AG$3)=0,"",SUMIFS(Journal!$D$3:$D$143,Journal!$A$3:$A$143,$B41,Journal!$F$3:$F$143,AG$3))</f>
        <v/>
      </c>
      <c r="AI41" s="86">
        <f>IF(SUMIFS(Journal!$D$3:$D$143,Journal!$A$3:$A$143,$B41,Journal!$E$3:$E$143,AI$3)=0,"",SUMIFS(Journal!$D$3:$D$143,Journal!$A$3:$A$143,$B41,Journal!$E$3:$E$143,AI$3))</f>
        <v>5400</v>
      </c>
      <c r="AJ41" s="86" t="str">
        <f>IF(SUMIFS(Journal!$D$3:$D$143,Journal!$A$3:$A$143,$B41,Journal!$F$3:$F$143,AI$3)=0,"",SUMIFS(Journal!$D$3:$D$143,Journal!$A$3:$A$143,$B41,Journal!$F$3:$F$143,AI$3))</f>
        <v/>
      </c>
      <c r="AK41" s="86" t="str">
        <f>IF(SUMIFS(Journal!$D$3:$D$143,Journal!$A$3:$A$143,$B41,Journal!$E$3:$E$143,AK$3)=0,"",SUMIFS(Journal!$D$3:$D$143,Journal!$A$3:$A$143,$B41,Journal!$E$3:$E$143,AK$3))</f>
        <v/>
      </c>
      <c r="AL41" s="86" t="str">
        <f>IF(SUMIFS(Journal!$D$3:$D$143,Journal!$A$3:$A$143,$B41,Journal!$F$3:$F$143,AK$3)=0,"",SUMIFS(Journal!$D$3:$D$143,Journal!$A$3:$A$143,$B41,Journal!$F$3:$F$143,AK$3))</f>
        <v/>
      </c>
      <c r="AM41" s="86" t="str">
        <f>IF(SUMIFS(Journal!$D$3:$D$143,Journal!$A$3:$A$143,$B41,Journal!$E$3:$E$143,AM$3)=0,"",SUMIFS(Journal!$D$3:$D$143,Journal!$A$3:$A$143,$B41,Journal!$E$3:$E$143,AM$3))</f>
        <v/>
      </c>
      <c r="AN41" s="86" t="str">
        <f>IF(SUMIFS(Journal!$D$3:$D$143,Journal!$A$3:$A$143,$B41,Journal!$F$3:$F$143,AM$3)=0,"",SUMIFS(Journal!$D$3:$D$143,Journal!$A$3:$A$143,$B41,Journal!$F$3:$F$143,AM$3))</f>
        <v/>
      </c>
      <c r="AO41" s="86" t="str">
        <f>IF(SUMIFS(Journal!$D$3:$D$143,Journal!$A$3:$A$143,$B41,Journal!$E$3:$E$143,AO$3)=0,"",SUMIFS(Journal!$D$3:$D$143,Journal!$A$3:$A$143,$B41,Journal!$E$3:$E$143,AO$3))</f>
        <v/>
      </c>
      <c r="AP41" s="86" t="str">
        <f>IF(SUMIFS(Journal!$D$3:$D$143,Journal!$A$3:$A$143,$B41,Journal!$F$3:$F$143,AO$3)=0,"",SUMIFS(Journal!$D$3:$D$143,Journal!$A$3:$A$143,$B41,Journal!$F$3:$F$143,AO$3))</f>
        <v/>
      </c>
      <c r="AQ41" s="86" t="str">
        <f>IF(SUMIFS(Journal!$D$3:$D$143,Journal!$A$3:$A$143,$B41,Journal!$E$3:$E$143,AQ$3)=0,"",SUMIFS(Journal!$D$3:$D$143,Journal!$A$3:$A$143,$B41,Journal!$E$3:$E$143,AQ$3))</f>
        <v/>
      </c>
      <c r="AR41" s="86" t="str">
        <f>IF(SUMIFS(Journal!$D$3:$D$143,Journal!$A$3:$A$143,$B41,Journal!$F$3:$F$143,AQ$3)=0,"",SUMIFS(Journal!$D$3:$D$143,Journal!$A$3:$A$143,$B41,Journal!$F$3:$F$143,AQ$3))</f>
        <v/>
      </c>
      <c r="AS41" s="86" t="str">
        <f>IF(SUMIFS(Journal!$D$3:$D$143,Journal!$A$3:$A$143,$B41,Journal!$E$3:$E$143,AS$3)=0,"",SUMIFS(Journal!$D$3:$D$143,Journal!$A$3:$A$143,$B41,Journal!$E$3:$E$143,AS$3))</f>
        <v/>
      </c>
      <c r="AT41" s="86" t="str">
        <f>IF(SUMIFS(Journal!$D$3:$D$143,Journal!$A$3:$A$143,$B41,Journal!$F$3:$F$143,AS$3)=0,"",SUMIFS(Journal!$D$3:$D$143,Journal!$A$3:$A$143,$B41,Journal!$F$3:$F$143,AS$3))</f>
        <v/>
      </c>
      <c r="AU41" s="86" t="str">
        <f>IF(SUMIFS(Journal!$D$3:$D$143,Journal!$A$3:$A$143,$B41,Journal!$E$3:$E$143,AU$3)=0,"",SUMIFS(Journal!$D$3:$D$143,Journal!$A$3:$A$143,$B41,Journal!$E$3:$E$143,AU$3))</f>
        <v/>
      </c>
      <c r="AV41" s="86" t="str">
        <f>IF(SUMIFS(Journal!$D$3:$D$143,Journal!$A$3:$A$143,$B41,Journal!$F$3:$F$143,AU$3)=0,"",SUMIFS(Journal!$D$3:$D$143,Journal!$A$3:$A$143,$B41,Journal!$F$3:$F$143,AU$3))</f>
        <v/>
      </c>
      <c r="AW41" s="86" t="str">
        <f>IF(SUMIFS(Journal!$D$3:$D$143,Journal!$A$3:$A$143,$B41,Journal!$E$3:$E$143,AW$3)=0,"",SUMIFS(Journal!$D$3:$D$143,Journal!$A$3:$A$143,$B41,Journal!$E$3:$E$143,AW$3))</f>
        <v/>
      </c>
      <c r="AX41" s="86" t="str">
        <f>IF(SUMIFS(Journal!$D$3:$D$143,Journal!$A$3:$A$143,$B41,Journal!$F$3:$F$143,AW$3)=0,"",SUMIFS(Journal!$D$3:$D$143,Journal!$A$3:$A$143,$B41,Journal!$F$3:$F$143,AW$3))</f>
        <v/>
      </c>
      <c r="AY41" s="86" t="str">
        <f>IF(SUMIFS(Journal!$D$3:$D$143,Journal!$A$3:$A$143,$B41,Journal!$E$3:$E$143,AY$3)=0,"",SUMIFS(Journal!$D$3:$D$143,Journal!$A$3:$A$143,$B41,Journal!$E$3:$E$143,AY$3))</f>
        <v/>
      </c>
      <c r="AZ41" s="86" t="str">
        <f>IF(SUMIFS(Journal!$D$3:$D$143,Journal!$A$3:$A$143,$B41,Journal!$F$3:$F$143,AY$3)=0,"",SUMIFS(Journal!$D$3:$D$143,Journal!$A$3:$A$143,$B41,Journal!$F$3:$F$143,AY$3))</f>
        <v/>
      </c>
      <c r="BA41" s="86" t="str">
        <f>IF(SUMIFS(Journal!$D$3:$D$143,Journal!$A$3:$A$143,$B41,Journal!$E$3:$E$143,BA$3)=0,"",SUMIFS(Journal!$D$3:$D$143,Journal!$A$3:$A$143,$B41,Journal!$E$3:$E$143,BA$3))</f>
        <v/>
      </c>
      <c r="BB41" s="86" t="str">
        <f>IF(SUMIFS(Journal!$D$3:$D$143,Journal!$A$3:$A$143,$B41,Journal!$F$3:$F$143,BA$3)=0,"",SUMIFS(Journal!$D$3:$D$143,Journal!$A$3:$A$143,$B41,Journal!$F$3:$F$143,BA$3))</f>
        <v/>
      </c>
    </row>
    <row r="42">
      <c r="A42" s="84">
        <f>VLOOKUP(B42,Journal!$A$3:$C$143,2,FALSE)</f>
        <v>45387</v>
      </c>
      <c r="B42" s="85" t="s">
        <v>325</v>
      </c>
      <c r="C42" s="86" t="str">
        <f>VLOOKUP(B42,Journal!$A$3:$C$143,3,FALSE)</f>
        <v>Fleet service work order</v>
      </c>
      <c r="D42" s="86">
        <f>SUMIF(Journal!$A$3:$A$143,B42,Journal!$D$3:$D$143)</f>
        <v>2000</v>
      </c>
      <c r="E42" s="86" t="str">
        <f>IF(SUMIFS(Journal!$D$3:$D$143,Journal!$A$3:$A$143,$B42,Journal!$E$3:$E$143,E$3)=0,"",SUMIFS(Journal!$D$3:$D$143,Journal!$A$3:$A$143,$B42,Journal!$E$3:$E$143,E$3))</f>
        <v/>
      </c>
      <c r="F42" s="86">
        <f>IF(SUMIFS(Journal!$D$3:$D$143,Journal!$A$3:$A$143,$B42,Journal!$F$3:$F$143,E$3)=0,"",SUMIFS(Journal!$D$3:$D$143,Journal!$A$3:$A$143,$B42,Journal!$F$3:$F$143,E$3))</f>
        <v>2000</v>
      </c>
      <c r="G42" s="86" t="str">
        <f>IF(SUMIFS(Journal!$D$3:$D$143,Journal!$A$3:$A$143,$B42,Journal!$E$3:$E$143,G$3)=0,"",SUMIFS(Journal!$D$3:$D$143,Journal!$A$3:$A$143,$B42,Journal!$E$3:$E$143,G$3))</f>
        <v/>
      </c>
      <c r="H42" s="86" t="str">
        <f>IF(SUMIFS(Journal!$D$3:$D$143,Journal!$A$3:$A$143,$B42,Journal!$F$3:$F$143,G$3)=0,"",SUMIFS(Journal!$D$3:$D$143,Journal!$A$3:$A$143,$B42,Journal!$F$3:$F$143,G$3))</f>
        <v/>
      </c>
      <c r="I42" s="86" t="str">
        <f>IF(SUMIFS(Journal!$D$3:$D$143,Journal!$A$3:$A$143,$B42,Journal!$E$3:$E$143,I$3)=0,"",SUMIFS(Journal!$D$3:$D$143,Journal!$A$3:$A$143,$B42,Journal!$E$3:$E$143,I$3))</f>
        <v/>
      </c>
      <c r="J42" s="86" t="str">
        <f>IF(SUMIFS(Journal!$D$3:$D$143,Journal!$A$3:$A$143,$B42,Journal!$F$3:$F$143,I$3)=0,"",SUMIFS(Journal!$D$3:$D$143,Journal!$A$3:$A$143,$B42,Journal!$F$3:$F$143,I$3))</f>
        <v/>
      </c>
      <c r="K42" s="86" t="str">
        <f>IF(SUMIFS(Journal!$D$3:$D$143,Journal!$A$3:$A$143,$B42,Journal!$E$3:$E$143,K$3)=0,"",SUMIFS(Journal!$D$3:$D$143,Journal!$A$3:$A$143,$B42,Journal!$E$3:$E$143,K$3))</f>
        <v/>
      </c>
      <c r="L42" s="86" t="str">
        <f>IF(SUMIFS(Journal!$D$3:$D$143,Journal!$A$3:$A$143,$B42,Journal!$F$3:$F$143,K$3)=0,"",SUMIFS(Journal!$D$3:$D$143,Journal!$A$3:$A$143,$B42,Journal!$F$3:$F$143,K$3))</f>
        <v/>
      </c>
      <c r="M42" s="86" t="str">
        <f>IF(SUMIFS(Journal!$D$3:$D$143,Journal!$A$3:$A$143,$B42,Journal!$E$3:$E$143,M$3)=0,"",SUMIFS(Journal!$D$3:$D$143,Journal!$A$3:$A$143,$B42,Journal!$E$3:$E$143,M$3))</f>
        <v/>
      </c>
      <c r="N42" s="86" t="str">
        <f>IF(SUMIFS(Journal!$D$3:$D$143,Journal!$A$3:$A$143,$B42,Journal!$F$3:$F$143,M$3)=0,"",SUMIFS(Journal!$D$3:$D$143,Journal!$A$3:$A$143,$B42,Journal!$F$3:$F$143,M$3))</f>
        <v/>
      </c>
      <c r="O42" s="86" t="str">
        <f>IF(SUMIFS(Journal!$D$3:$D$143,Journal!$A$3:$A$143,$B42,Journal!$E$3:$E$143,O$3)=0,"",SUMIFS(Journal!$D$3:$D$143,Journal!$A$3:$A$143,$B42,Journal!$E$3:$E$143,O$3))</f>
        <v/>
      </c>
      <c r="P42" s="86" t="str">
        <f>IF(SUMIFS(Journal!$D$3:$D$143,Journal!$A$3:$A$143,$B42,Journal!$F$3:$F$143,O$3)=0,"",SUMIFS(Journal!$D$3:$D$143,Journal!$A$3:$A$143,$B42,Journal!$F$3:$F$143,O$3))</f>
        <v/>
      </c>
      <c r="Q42" s="86" t="str">
        <f>IF(SUMIFS(Journal!$D$3:$D$143,Journal!$A$3:$A$143,$B42,Journal!$E$3:$E$143,Q$3)=0,"",SUMIFS(Journal!$D$3:$D$143,Journal!$A$3:$A$143,$B42,Journal!$E$3:$E$143,Q$3))</f>
        <v/>
      </c>
      <c r="R42" s="86" t="str">
        <f>IF(SUMIFS(Journal!$D$3:$D$143,Journal!$A$3:$A$143,$B42,Journal!$F$3:$F$143,Q$3)=0,"",SUMIFS(Journal!$D$3:$D$143,Journal!$A$3:$A$143,$B42,Journal!$F$3:$F$143,Q$3))</f>
        <v/>
      </c>
      <c r="S42" s="86" t="str">
        <f>IF(SUMIFS(Journal!$D$3:$D$143,Journal!$A$3:$A$143,$B42,Journal!$E$3:$E$143,S$3)=0,"",SUMIFS(Journal!$D$3:$D$143,Journal!$A$3:$A$143,$B42,Journal!$E$3:$E$143,S$3))</f>
        <v/>
      </c>
      <c r="T42" s="86" t="str">
        <f>IF(SUMIFS(Journal!$D$3:$D$143,Journal!$A$3:$A$143,$B42,Journal!$F$3:$F$143,S$3)=0,"",SUMIFS(Journal!$D$3:$D$143,Journal!$A$3:$A$143,$B42,Journal!$F$3:$F$143,S$3))</f>
        <v/>
      </c>
      <c r="U42" s="86" t="str">
        <f>IF(SUMIFS(Journal!$D$3:$D$143,Journal!$A$3:$A$143,$B42,Journal!$E$3:$E$143,U$3)=0,"",SUMIFS(Journal!$D$3:$D$143,Journal!$A$3:$A$143,$B42,Journal!$E$3:$E$143,U$3))</f>
        <v/>
      </c>
      <c r="V42" s="86" t="str">
        <f>IF(SUMIFS(Journal!$D$3:$D$143,Journal!$A$3:$A$143,$B42,Journal!$F$3:$F$143,U$3)=0,"",SUMIFS(Journal!$D$3:$D$143,Journal!$A$3:$A$143,$B42,Journal!$F$3:$F$143,U$3))</f>
        <v/>
      </c>
      <c r="W42" s="86" t="str">
        <f>IF(SUMIFS(Journal!$D$3:$D$143,Journal!$A$3:$A$143,$B42,Journal!$E$3:$E$143,W$3)=0,"",SUMIFS(Journal!$D$3:$D$143,Journal!$A$3:$A$143,$B42,Journal!$E$3:$E$143,W$3))</f>
        <v/>
      </c>
      <c r="X42" s="86" t="str">
        <f>IF(SUMIFS(Journal!$D$3:$D$143,Journal!$A$3:$A$143,$B42,Journal!$F$3:$F$143,W$3)=0,"",SUMIFS(Journal!$D$3:$D$143,Journal!$A$3:$A$143,$B42,Journal!$F$3:$F$143,W$3))</f>
        <v/>
      </c>
      <c r="Y42" s="86" t="str">
        <f>IF(SUMIFS(Journal!$D$3:$D$143,Journal!$A$3:$A$143,$B42,Journal!$E$3:$E$143,Y$3)=0,"",SUMIFS(Journal!$D$3:$D$143,Journal!$A$3:$A$143,$B42,Journal!$E$3:$E$143,Y$3))</f>
        <v/>
      </c>
      <c r="Z42" s="86" t="str">
        <f>IF(SUMIFS(Journal!$D$3:$D$143,Journal!$A$3:$A$143,$B42,Journal!$F$3:$F$143,Y$3)=0,"",SUMIFS(Journal!$D$3:$D$143,Journal!$A$3:$A$143,$B42,Journal!$F$3:$F$143,Y$3))</f>
        <v/>
      </c>
      <c r="AA42" s="86" t="str">
        <f>IF(SUMIFS(Journal!$D$3:$D$143,Journal!$A$3:$A$143,$B42,Journal!$E$3:$E$143,AA$3)=0,"",SUMIFS(Journal!$D$3:$D$143,Journal!$A$3:$A$143,$B42,Journal!$E$3:$E$143,AA$3))</f>
        <v/>
      </c>
      <c r="AB42" s="86" t="str">
        <f>IF(SUMIFS(Journal!$D$3:$D$143,Journal!$A$3:$A$143,$B42,Journal!$F$3:$F$143,AA$3)=0,"",SUMIFS(Journal!$D$3:$D$143,Journal!$A$3:$A$143,$B42,Journal!$F$3:$F$143,AA$3))</f>
        <v/>
      </c>
      <c r="AC42" s="86" t="str">
        <f>IF(SUMIFS(Journal!$D$3:$D$143,Journal!$A$3:$A$143,$B42,Journal!$E$3:$E$143,AC$3)=0,"",SUMIFS(Journal!$D$3:$D$143,Journal!$A$3:$A$143,$B42,Journal!$E$3:$E$143,AC$3))</f>
        <v/>
      </c>
      <c r="AD42" s="86" t="str">
        <f>IF(SUMIFS(Journal!$D$3:$D$143,Journal!$A$3:$A$143,$B42,Journal!$F$3:$F$143,AC$3)=0,"",SUMIFS(Journal!$D$3:$D$143,Journal!$A$3:$A$143,$B42,Journal!$F$3:$F$143,AC$3))</f>
        <v/>
      </c>
      <c r="AE42" s="86" t="str">
        <f>IF(SUMIFS(Journal!$D$3:$D$143,Journal!$A$3:$A$143,$B42,Journal!$E$3:$E$143,AE$3)=0,"",SUMIFS(Journal!$D$3:$D$143,Journal!$A$3:$A$143,$B42,Journal!$E$3:$E$143,AE$3))</f>
        <v/>
      </c>
      <c r="AF42" s="86" t="str">
        <f>IF(SUMIFS(Journal!$D$3:$D$143,Journal!$A$3:$A$143,$B42,Journal!$F$3:$F$143,AE$3)=0,"",SUMIFS(Journal!$D$3:$D$143,Journal!$A$3:$A$143,$B42,Journal!$F$3:$F$143,AE$3))</f>
        <v/>
      </c>
      <c r="AG42" s="86" t="str">
        <f>IF(SUMIFS(Journal!$D$3:$D$143,Journal!$A$3:$A$143,$B42,Journal!$E$3:$E$143,AG$3)=0,"",SUMIFS(Journal!$D$3:$D$143,Journal!$A$3:$A$143,$B42,Journal!$E$3:$E$143,AG$3))</f>
        <v/>
      </c>
      <c r="AH42" s="86" t="str">
        <f>IF(SUMIFS(Journal!$D$3:$D$143,Journal!$A$3:$A$143,$B42,Journal!$F$3:$F$143,AG$3)=0,"",SUMIFS(Journal!$D$3:$D$143,Journal!$A$3:$A$143,$B42,Journal!$F$3:$F$143,AG$3))</f>
        <v/>
      </c>
      <c r="AI42" s="86" t="str">
        <f>IF(SUMIFS(Journal!$D$3:$D$143,Journal!$A$3:$A$143,$B42,Journal!$E$3:$E$143,AI$3)=0,"",SUMIFS(Journal!$D$3:$D$143,Journal!$A$3:$A$143,$B42,Journal!$E$3:$E$143,AI$3))</f>
        <v/>
      </c>
      <c r="AJ42" s="86" t="str">
        <f>IF(SUMIFS(Journal!$D$3:$D$143,Journal!$A$3:$A$143,$B42,Journal!$F$3:$F$143,AI$3)=0,"",SUMIFS(Journal!$D$3:$D$143,Journal!$A$3:$A$143,$B42,Journal!$F$3:$F$143,AI$3))</f>
        <v/>
      </c>
      <c r="AK42" s="86" t="str">
        <f>IF(SUMIFS(Journal!$D$3:$D$143,Journal!$A$3:$A$143,$B42,Journal!$E$3:$E$143,AK$3)=0,"",SUMIFS(Journal!$D$3:$D$143,Journal!$A$3:$A$143,$B42,Journal!$E$3:$E$143,AK$3))</f>
        <v/>
      </c>
      <c r="AL42" s="86" t="str">
        <f>IF(SUMIFS(Journal!$D$3:$D$143,Journal!$A$3:$A$143,$B42,Journal!$F$3:$F$143,AK$3)=0,"",SUMIFS(Journal!$D$3:$D$143,Journal!$A$3:$A$143,$B42,Journal!$F$3:$F$143,AK$3))</f>
        <v/>
      </c>
      <c r="AM42" s="86" t="str">
        <f>IF(SUMIFS(Journal!$D$3:$D$143,Journal!$A$3:$A$143,$B42,Journal!$E$3:$E$143,AM$3)=0,"",SUMIFS(Journal!$D$3:$D$143,Journal!$A$3:$A$143,$B42,Journal!$E$3:$E$143,AM$3))</f>
        <v/>
      </c>
      <c r="AN42" s="86" t="str">
        <f>IF(SUMIFS(Journal!$D$3:$D$143,Journal!$A$3:$A$143,$B42,Journal!$F$3:$F$143,AM$3)=0,"",SUMIFS(Journal!$D$3:$D$143,Journal!$A$3:$A$143,$B42,Journal!$F$3:$F$143,AM$3))</f>
        <v/>
      </c>
      <c r="AO42" s="86" t="str">
        <f>IF(SUMIFS(Journal!$D$3:$D$143,Journal!$A$3:$A$143,$B42,Journal!$E$3:$E$143,AO$3)=0,"",SUMIFS(Journal!$D$3:$D$143,Journal!$A$3:$A$143,$B42,Journal!$E$3:$E$143,AO$3))</f>
        <v/>
      </c>
      <c r="AP42" s="86" t="str">
        <f>IF(SUMIFS(Journal!$D$3:$D$143,Journal!$A$3:$A$143,$B42,Journal!$F$3:$F$143,AO$3)=0,"",SUMIFS(Journal!$D$3:$D$143,Journal!$A$3:$A$143,$B42,Journal!$F$3:$F$143,AO$3))</f>
        <v/>
      </c>
      <c r="AQ42" s="86" t="str">
        <f>IF(SUMIFS(Journal!$D$3:$D$143,Journal!$A$3:$A$143,$B42,Journal!$E$3:$E$143,AQ$3)=0,"",SUMIFS(Journal!$D$3:$D$143,Journal!$A$3:$A$143,$B42,Journal!$E$3:$E$143,AQ$3))</f>
        <v/>
      </c>
      <c r="AR42" s="86" t="str">
        <f>IF(SUMIFS(Journal!$D$3:$D$143,Journal!$A$3:$A$143,$B42,Journal!$F$3:$F$143,AQ$3)=0,"",SUMIFS(Journal!$D$3:$D$143,Journal!$A$3:$A$143,$B42,Journal!$F$3:$F$143,AQ$3))</f>
        <v/>
      </c>
      <c r="AS42" s="86" t="str">
        <f>IF(SUMIFS(Journal!$D$3:$D$143,Journal!$A$3:$A$143,$B42,Journal!$E$3:$E$143,AS$3)=0,"",SUMIFS(Journal!$D$3:$D$143,Journal!$A$3:$A$143,$B42,Journal!$E$3:$E$143,AS$3))</f>
        <v/>
      </c>
      <c r="AT42" s="86" t="str">
        <f>IF(SUMIFS(Journal!$D$3:$D$143,Journal!$A$3:$A$143,$B42,Journal!$F$3:$F$143,AS$3)=0,"",SUMIFS(Journal!$D$3:$D$143,Journal!$A$3:$A$143,$B42,Journal!$F$3:$F$143,AS$3))</f>
        <v/>
      </c>
      <c r="AU42" s="86">
        <f>IF(SUMIFS(Journal!$D$3:$D$143,Journal!$A$3:$A$143,$B42,Journal!$E$3:$E$143,AU$3)=0,"",SUMIFS(Journal!$D$3:$D$143,Journal!$A$3:$A$143,$B42,Journal!$E$3:$E$143,AU$3))</f>
        <v>2000</v>
      </c>
      <c r="AV42" s="86" t="str">
        <f>IF(SUMIFS(Journal!$D$3:$D$143,Journal!$A$3:$A$143,$B42,Journal!$F$3:$F$143,AU$3)=0,"",SUMIFS(Journal!$D$3:$D$143,Journal!$A$3:$A$143,$B42,Journal!$F$3:$F$143,AU$3))</f>
        <v/>
      </c>
      <c r="AW42" s="86" t="str">
        <f>IF(SUMIFS(Journal!$D$3:$D$143,Journal!$A$3:$A$143,$B42,Journal!$E$3:$E$143,AW$3)=0,"",SUMIFS(Journal!$D$3:$D$143,Journal!$A$3:$A$143,$B42,Journal!$E$3:$E$143,AW$3))</f>
        <v/>
      </c>
      <c r="AX42" s="86" t="str">
        <f>IF(SUMIFS(Journal!$D$3:$D$143,Journal!$A$3:$A$143,$B42,Journal!$F$3:$F$143,AW$3)=0,"",SUMIFS(Journal!$D$3:$D$143,Journal!$A$3:$A$143,$B42,Journal!$F$3:$F$143,AW$3))</f>
        <v/>
      </c>
      <c r="AY42" s="86" t="str">
        <f>IF(SUMIFS(Journal!$D$3:$D$143,Journal!$A$3:$A$143,$B42,Journal!$E$3:$E$143,AY$3)=0,"",SUMIFS(Journal!$D$3:$D$143,Journal!$A$3:$A$143,$B42,Journal!$E$3:$E$143,AY$3))</f>
        <v/>
      </c>
      <c r="AZ42" s="86" t="str">
        <f>IF(SUMIFS(Journal!$D$3:$D$143,Journal!$A$3:$A$143,$B42,Journal!$F$3:$F$143,AY$3)=0,"",SUMIFS(Journal!$D$3:$D$143,Journal!$A$3:$A$143,$B42,Journal!$F$3:$F$143,AY$3))</f>
        <v/>
      </c>
      <c r="BA42" s="86" t="str">
        <f>IF(SUMIFS(Journal!$D$3:$D$143,Journal!$A$3:$A$143,$B42,Journal!$E$3:$E$143,BA$3)=0,"",SUMIFS(Journal!$D$3:$D$143,Journal!$A$3:$A$143,$B42,Journal!$E$3:$E$143,BA$3))</f>
        <v/>
      </c>
      <c r="BB42" s="86" t="str">
        <f>IF(SUMIFS(Journal!$D$3:$D$143,Journal!$A$3:$A$143,$B42,Journal!$F$3:$F$143,BA$3)=0,"",SUMIFS(Journal!$D$3:$D$143,Journal!$A$3:$A$143,$B42,Journal!$F$3:$F$143,BA$3))</f>
        <v/>
      </c>
    </row>
    <row r="43">
      <c r="A43" s="84">
        <f>VLOOKUP(B43,Journal!$A$3:$C$143,2,FALSE)</f>
        <v>45388</v>
      </c>
      <c r="B43" s="85" t="s">
        <v>332</v>
      </c>
      <c r="C43" s="86" t="str">
        <f>VLOOKUP(B43,Journal!$A$3:$C$143,3,FALSE)</f>
        <v>Monthly business insurance premium</v>
      </c>
      <c r="D43" s="86">
        <f>SUMIF(Journal!$A$3:$A$143,B43,Journal!$D$3:$D$143)</f>
        <v>600</v>
      </c>
      <c r="E43" s="86" t="str">
        <f>IF(SUMIFS(Journal!$D$3:$D$143,Journal!$A$3:$A$143,$B43,Journal!$E$3:$E$143,E$3)=0,"",SUMIFS(Journal!$D$3:$D$143,Journal!$A$3:$A$143,$B43,Journal!$E$3:$E$143,E$3))</f>
        <v/>
      </c>
      <c r="F43" s="86">
        <f>IF(SUMIFS(Journal!$D$3:$D$143,Journal!$A$3:$A$143,$B43,Journal!$F$3:$F$143,E$3)=0,"",SUMIFS(Journal!$D$3:$D$143,Journal!$A$3:$A$143,$B43,Journal!$F$3:$F$143,E$3))</f>
        <v>600</v>
      </c>
      <c r="G43" s="86" t="str">
        <f>IF(SUMIFS(Journal!$D$3:$D$143,Journal!$A$3:$A$143,$B43,Journal!$E$3:$E$143,G$3)=0,"",SUMIFS(Journal!$D$3:$D$143,Journal!$A$3:$A$143,$B43,Journal!$E$3:$E$143,G$3))</f>
        <v/>
      </c>
      <c r="H43" s="86" t="str">
        <f>IF(SUMIFS(Journal!$D$3:$D$143,Journal!$A$3:$A$143,$B43,Journal!$F$3:$F$143,G$3)=0,"",SUMIFS(Journal!$D$3:$D$143,Journal!$A$3:$A$143,$B43,Journal!$F$3:$F$143,G$3))</f>
        <v/>
      </c>
      <c r="I43" s="86" t="str">
        <f>IF(SUMIFS(Journal!$D$3:$D$143,Journal!$A$3:$A$143,$B43,Journal!$E$3:$E$143,I$3)=0,"",SUMIFS(Journal!$D$3:$D$143,Journal!$A$3:$A$143,$B43,Journal!$E$3:$E$143,I$3))</f>
        <v/>
      </c>
      <c r="J43" s="86" t="str">
        <f>IF(SUMIFS(Journal!$D$3:$D$143,Journal!$A$3:$A$143,$B43,Journal!$F$3:$F$143,I$3)=0,"",SUMIFS(Journal!$D$3:$D$143,Journal!$A$3:$A$143,$B43,Journal!$F$3:$F$143,I$3))</f>
        <v/>
      </c>
      <c r="K43" s="86" t="str">
        <f>IF(SUMIFS(Journal!$D$3:$D$143,Journal!$A$3:$A$143,$B43,Journal!$E$3:$E$143,K$3)=0,"",SUMIFS(Journal!$D$3:$D$143,Journal!$A$3:$A$143,$B43,Journal!$E$3:$E$143,K$3))</f>
        <v/>
      </c>
      <c r="L43" s="86" t="str">
        <f>IF(SUMIFS(Journal!$D$3:$D$143,Journal!$A$3:$A$143,$B43,Journal!$F$3:$F$143,K$3)=0,"",SUMIFS(Journal!$D$3:$D$143,Journal!$A$3:$A$143,$B43,Journal!$F$3:$F$143,K$3))</f>
        <v/>
      </c>
      <c r="M43" s="86" t="str">
        <f>IF(SUMIFS(Journal!$D$3:$D$143,Journal!$A$3:$A$143,$B43,Journal!$E$3:$E$143,M$3)=0,"",SUMIFS(Journal!$D$3:$D$143,Journal!$A$3:$A$143,$B43,Journal!$E$3:$E$143,M$3))</f>
        <v/>
      </c>
      <c r="N43" s="86" t="str">
        <f>IF(SUMIFS(Journal!$D$3:$D$143,Journal!$A$3:$A$143,$B43,Journal!$F$3:$F$143,M$3)=0,"",SUMIFS(Journal!$D$3:$D$143,Journal!$A$3:$A$143,$B43,Journal!$F$3:$F$143,M$3))</f>
        <v/>
      </c>
      <c r="O43" s="86" t="str">
        <f>IF(SUMIFS(Journal!$D$3:$D$143,Journal!$A$3:$A$143,$B43,Journal!$E$3:$E$143,O$3)=0,"",SUMIFS(Journal!$D$3:$D$143,Journal!$A$3:$A$143,$B43,Journal!$E$3:$E$143,O$3))</f>
        <v/>
      </c>
      <c r="P43" s="86" t="str">
        <f>IF(SUMIFS(Journal!$D$3:$D$143,Journal!$A$3:$A$143,$B43,Journal!$F$3:$F$143,O$3)=0,"",SUMIFS(Journal!$D$3:$D$143,Journal!$A$3:$A$143,$B43,Journal!$F$3:$F$143,O$3))</f>
        <v/>
      </c>
      <c r="Q43" s="86" t="str">
        <f>IF(SUMIFS(Journal!$D$3:$D$143,Journal!$A$3:$A$143,$B43,Journal!$E$3:$E$143,Q$3)=0,"",SUMIFS(Journal!$D$3:$D$143,Journal!$A$3:$A$143,$B43,Journal!$E$3:$E$143,Q$3))</f>
        <v/>
      </c>
      <c r="R43" s="86" t="str">
        <f>IF(SUMIFS(Journal!$D$3:$D$143,Journal!$A$3:$A$143,$B43,Journal!$F$3:$F$143,Q$3)=0,"",SUMIFS(Journal!$D$3:$D$143,Journal!$A$3:$A$143,$B43,Journal!$F$3:$F$143,Q$3))</f>
        <v/>
      </c>
      <c r="S43" s="86" t="str">
        <f>IF(SUMIFS(Journal!$D$3:$D$143,Journal!$A$3:$A$143,$B43,Journal!$E$3:$E$143,S$3)=0,"",SUMIFS(Journal!$D$3:$D$143,Journal!$A$3:$A$143,$B43,Journal!$E$3:$E$143,S$3))</f>
        <v/>
      </c>
      <c r="T43" s="86" t="str">
        <f>IF(SUMIFS(Journal!$D$3:$D$143,Journal!$A$3:$A$143,$B43,Journal!$F$3:$F$143,S$3)=0,"",SUMIFS(Journal!$D$3:$D$143,Journal!$A$3:$A$143,$B43,Journal!$F$3:$F$143,S$3))</f>
        <v/>
      </c>
      <c r="U43" s="86" t="str">
        <f>IF(SUMIFS(Journal!$D$3:$D$143,Journal!$A$3:$A$143,$B43,Journal!$E$3:$E$143,U$3)=0,"",SUMIFS(Journal!$D$3:$D$143,Journal!$A$3:$A$143,$B43,Journal!$E$3:$E$143,U$3))</f>
        <v/>
      </c>
      <c r="V43" s="86" t="str">
        <f>IF(SUMIFS(Journal!$D$3:$D$143,Journal!$A$3:$A$143,$B43,Journal!$F$3:$F$143,U$3)=0,"",SUMIFS(Journal!$D$3:$D$143,Journal!$A$3:$A$143,$B43,Journal!$F$3:$F$143,U$3))</f>
        <v/>
      </c>
      <c r="W43" s="86" t="str">
        <f>IF(SUMIFS(Journal!$D$3:$D$143,Journal!$A$3:$A$143,$B43,Journal!$E$3:$E$143,W$3)=0,"",SUMIFS(Journal!$D$3:$D$143,Journal!$A$3:$A$143,$B43,Journal!$E$3:$E$143,W$3))</f>
        <v/>
      </c>
      <c r="X43" s="86" t="str">
        <f>IF(SUMIFS(Journal!$D$3:$D$143,Journal!$A$3:$A$143,$B43,Journal!$F$3:$F$143,W$3)=0,"",SUMIFS(Journal!$D$3:$D$143,Journal!$A$3:$A$143,$B43,Journal!$F$3:$F$143,W$3))</f>
        <v/>
      </c>
      <c r="Y43" s="86" t="str">
        <f>IF(SUMIFS(Journal!$D$3:$D$143,Journal!$A$3:$A$143,$B43,Journal!$E$3:$E$143,Y$3)=0,"",SUMIFS(Journal!$D$3:$D$143,Journal!$A$3:$A$143,$B43,Journal!$E$3:$E$143,Y$3))</f>
        <v/>
      </c>
      <c r="Z43" s="86" t="str">
        <f>IF(SUMIFS(Journal!$D$3:$D$143,Journal!$A$3:$A$143,$B43,Journal!$F$3:$F$143,Y$3)=0,"",SUMIFS(Journal!$D$3:$D$143,Journal!$A$3:$A$143,$B43,Journal!$F$3:$F$143,Y$3))</f>
        <v/>
      </c>
      <c r="AA43" s="86" t="str">
        <f>IF(SUMIFS(Journal!$D$3:$D$143,Journal!$A$3:$A$143,$B43,Journal!$E$3:$E$143,AA$3)=0,"",SUMIFS(Journal!$D$3:$D$143,Journal!$A$3:$A$143,$B43,Journal!$E$3:$E$143,AA$3))</f>
        <v/>
      </c>
      <c r="AB43" s="86" t="str">
        <f>IF(SUMIFS(Journal!$D$3:$D$143,Journal!$A$3:$A$143,$B43,Journal!$F$3:$F$143,AA$3)=0,"",SUMIFS(Journal!$D$3:$D$143,Journal!$A$3:$A$143,$B43,Journal!$F$3:$F$143,AA$3))</f>
        <v/>
      </c>
      <c r="AC43" s="86" t="str">
        <f>IF(SUMIFS(Journal!$D$3:$D$143,Journal!$A$3:$A$143,$B43,Journal!$E$3:$E$143,AC$3)=0,"",SUMIFS(Journal!$D$3:$D$143,Journal!$A$3:$A$143,$B43,Journal!$E$3:$E$143,AC$3))</f>
        <v/>
      </c>
      <c r="AD43" s="86" t="str">
        <f>IF(SUMIFS(Journal!$D$3:$D$143,Journal!$A$3:$A$143,$B43,Journal!$F$3:$F$143,AC$3)=0,"",SUMIFS(Journal!$D$3:$D$143,Journal!$A$3:$A$143,$B43,Journal!$F$3:$F$143,AC$3))</f>
        <v/>
      </c>
      <c r="AE43" s="86" t="str">
        <f>IF(SUMIFS(Journal!$D$3:$D$143,Journal!$A$3:$A$143,$B43,Journal!$E$3:$E$143,AE$3)=0,"",SUMIFS(Journal!$D$3:$D$143,Journal!$A$3:$A$143,$B43,Journal!$E$3:$E$143,AE$3))</f>
        <v/>
      </c>
      <c r="AF43" s="86" t="str">
        <f>IF(SUMIFS(Journal!$D$3:$D$143,Journal!$A$3:$A$143,$B43,Journal!$F$3:$F$143,AE$3)=0,"",SUMIFS(Journal!$D$3:$D$143,Journal!$A$3:$A$143,$B43,Journal!$F$3:$F$143,AE$3))</f>
        <v/>
      </c>
      <c r="AG43" s="86" t="str">
        <f>IF(SUMIFS(Journal!$D$3:$D$143,Journal!$A$3:$A$143,$B43,Journal!$E$3:$E$143,AG$3)=0,"",SUMIFS(Journal!$D$3:$D$143,Journal!$A$3:$A$143,$B43,Journal!$E$3:$E$143,AG$3))</f>
        <v/>
      </c>
      <c r="AH43" s="86" t="str">
        <f>IF(SUMIFS(Journal!$D$3:$D$143,Journal!$A$3:$A$143,$B43,Journal!$F$3:$F$143,AG$3)=0,"",SUMIFS(Journal!$D$3:$D$143,Journal!$A$3:$A$143,$B43,Journal!$F$3:$F$143,AG$3))</f>
        <v/>
      </c>
      <c r="AI43" s="86" t="str">
        <f>IF(SUMIFS(Journal!$D$3:$D$143,Journal!$A$3:$A$143,$B43,Journal!$E$3:$E$143,AI$3)=0,"",SUMIFS(Journal!$D$3:$D$143,Journal!$A$3:$A$143,$B43,Journal!$E$3:$E$143,AI$3))</f>
        <v/>
      </c>
      <c r="AJ43" s="86" t="str">
        <f>IF(SUMIFS(Journal!$D$3:$D$143,Journal!$A$3:$A$143,$B43,Journal!$F$3:$F$143,AI$3)=0,"",SUMIFS(Journal!$D$3:$D$143,Journal!$A$3:$A$143,$B43,Journal!$F$3:$F$143,AI$3))</f>
        <v/>
      </c>
      <c r="AK43" s="86">
        <f>IF(SUMIFS(Journal!$D$3:$D$143,Journal!$A$3:$A$143,$B43,Journal!$E$3:$E$143,AK$3)=0,"",SUMIFS(Journal!$D$3:$D$143,Journal!$A$3:$A$143,$B43,Journal!$E$3:$E$143,AK$3))</f>
        <v>600</v>
      </c>
      <c r="AL43" s="86" t="str">
        <f>IF(SUMIFS(Journal!$D$3:$D$143,Journal!$A$3:$A$143,$B43,Journal!$F$3:$F$143,AK$3)=0,"",SUMIFS(Journal!$D$3:$D$143,Journal!$A$3:$A$143,$B43,Journal!$F$3:$F$143,AK$3))</f>
        <v/>
      </c>
      <c r="AM43" s="86" t="str">
        <f>IF(SUMIFS(Journal!$D$3:$D$143,Journal!$A$3:$A$143,$B43,Journal!$E$3:$E$143,AM$3)=0,"",SUMIFS(Journal!$D$3:$D$143,Journal!$A$3:$A$143,$B43,Journal!$E$3:$E$143,AM$3))</f>
        <v/>
      </c>
      <c r="AN43" s="86" t="str">
        <f>IF(SUMIFS(Journal!$D$3:$D$143,Journal!$A$3:$A$143,$B43,Journal!$F$3:$F$143,AM$3)=0,"",SUMIFS(Journal!$D$3:$D$143,Journal!$A$3:$A$143,$B43,Journal!$F$3:$F$143,AM$3))</f>
        <v/>
      </c>
      <c r="AO43" s="86" t="str">
        <f>IF(SUMIFS(Journal!$D$3:$D$143,Journal!$A$3:$A$143,$B43,Journal!$E$3:$E$143,AO$3)=0,"",SUMIFS(Journal!$D$3:$D$143,Journal!$A$3:$A$143,$B43,Journal!$E$3:$E$143,AO$3))</f>
        <v/>
      </c>
      <c r="AP43" s="86" t="str">
        <f>IF(SUMIFS(Journal!$D$3:$D$143,Journal!$A$3:$A$143,$B43,Journal!$F$3:$F$143,AO$3)=0,"",SUMIFS(Journal!$D$3:$D$143,Journal!$A$3:$A$143,$B43,Journal!$F$3:$F$143,AO$3))</f>
        <v/>
      </c>
      <c r="AQ43" s="86" t="str">
        <f>IF(SUMIFS(Journal!$D$3:$D$143,Journal!$A$3:$A$143,$B43,Journal!$E$3:$E$143,AQ$3)=0,"",SUMIFS(Journal!$D$3:$D$143,Journal!$A$3:$A$143,$B43,Journal!$E$3:$E$143,AQ$3))</f>
        <v/>
      </c>
      <c r="AR43" s="86" t="str">
        <f>IF(SUMIFS(Journal!$D$3:$D$143,Journal!$A$3:$A$143,$B43,Journal!$F$3:$F$143,AQ$3)=0,"",SUMIFS(Journal!$D$3:$D$143,Journal!$A$3:$A$143,$B43,Journal!$F$3:$F$143,AQ$3))</f>
        <v/>
      </c>
      <c r="AS43" s="86" t="str">
        <f>IF(SUMIFS(Journal!$D$3:$D$143,Journal!$A$3:$A$143,$B43,Journal!$E$3:$E$143,AS$3)=0,"",SUMIFS(Journal!$D$3:$D$143,Journal!$A$3:$A$143,$B43,Journal!$E$3:$E$143,AS$3))</f>
        <v/>
      </c>
      <c r="AT43" s="86" t="str">
        <f>IF(SUMIFS(Journal!$D$3:$D$143,Journal!$A$3:$A$143,$B43,Journal!$F$3:$F$143,AS$3)=0,"",SUMIFS(Journal!$D$3:$D$143,Journal!$A$3:$A$143,$B43,Journal!$F$3:$F$143,AS$3))</f>
        <v/>
      </c>
      <c r="AU43" s="86" t="str">
        <f>IF(SUMIFS(Journal!$D$3:$D$143,Journal!$A$3:$A$143,$B43,Journal!$E$3:$E$143,AU$3)=0,"",SUMIFS(Journal!$D$3:$D$143,Journal!$A$3:$A$143,$B43,Journal!$E$3:$E$143,AU$3))</f>
        <v/>
      </c>
      <c r="AV43" s="86" t="str">
        <f>IF(SUMIFS(Journal!$D$3:$D$143,Journal!$A$3:$A$143,$B43,Journal!$F$3:$F$143,AU$3)=0,"",SUMIFS(Journal!$D$3:$D$143,Journal!$A$3:$A$143,$B43,Journal!$F$3:$F$143,AU$3))</f>
        <v/>
      </c>
      <c r="AW43" s="86" t="str">
        <f>IF(SUMIFS(Journal!$D$3:$D$143,Journal!$A$3:$A$143,$B43,Journal!$E$3:$E$143,AW$3)=0,"",SUMIFS(Journal!$D$3:$D$143,Journal!$A$3:$A$143,$B43,Journal!$E$3:$E$143,AW$3))</f>
        <v/>
      </c>
      <c r="AX43" s="86" t="str">
        <f>IF(SUMIFS(Journal!$D$3:$D$143,Journal!$A$3:$A$143,$B43,Journal!$F$3:$F$143,AW$3)=0,"",SUMIFS(Journal!$D$3:$D$143,Journal!$A$3:$A$143,$B43,Journal!$F$3:$F$143,AW$3))</f>
        <v/>
      </c>
      <c r="AY43" s="86" t="str">
        <f>IF(SUMIFS(Journal!$D$3:$D$143,Journal!$A$3:$A$143,$B43,Journal!$E$3:$E$143,AY$3)=0,"",SUMIFS(Journal!$D$3:$D$143,Journal!$A$3:$A$143,$B43,Journal!$E$3:$E$143,AY$3))</f>
        <v/>
      </c>
      <c r="AZ43" s="86" t="str">
        <f>IF(SUMIFS(Journal!$D$3:$D$143,Journal!$A$3:$A$143,$B43,Journal!$F$3:$F$143,AY$3)=0,"",SUMIFS(Journal!$D$3:$D$143,Journal!$A$3:$A$143,$B43,Journal!$F$3:$F$143,AY$3))</f>
        <v/>
      </c>
      <c r="BA43" s="86" t="str">
        <f>IF(SUMIFS(Journal!$D$3:$D$143,Journal!$A$3:$A$143,$B43,Journal!$E$3:$E$143,BA$3)=0,"",SUMIFS(Journal!$D$3:$D$143,Journal!$A$3:$A$143,$B43,Journal!$E$3:$E$143,BA$3))</f>
        <v/>
      </c>
      <c r="BB43" s="86" t="str">
        <f>IF(SUMIFS(Journal!$D$3:$D$143,Journal!$A$3:$A$143,$B43,Journal!$F$3:$F$143,BA$3)=0,"",SUMIFS(Journal!$D$3:$D$143,Journal!$A$3:$A$143,$B43,Journal!$F$3:$F$143,BA$3))</f>
        <v/>
      </c>
    </row>
    <row r="44">
      <c r="A44" s="84">
        <f>VLOOKUP(B44,Journal!$A$3:$C$143,2,FALSE)</f>
        <v>45394</v>
      </c>
      <c r="B44" s="85" t="s">
        <v>337</v>
      </c>
      <c r="C44" s="86" t="str">
        <f>VLOOKUP(B44,Journal!$A$3:$C$143,3,FALSE)</f>
        <v>Equipment rental receipts batch</v>
      </c>
      <c r="D44" s="86">
        <f>SUMIF(Journal!$A$3:$A$143,B44,Journal!$D$3:$D$143)</f>
        <v>10000</v>
      </c>
      <c r="E44" s="86">
        <f>IF(SUMIFS(Journal!$D$3:$D$143,Journal!$A$3:$A$143,$B44,Journal!$E$3:$E$143,E$3)=0,"",SUMIFS(Journal!$D$3:$D$143,Journal!$A$3:$A$143,$B44,Journal!$E$3:$E$143,E$3))</f>
        <v>10000</v>
      </c>
      <c r="F44" s="86" t="str">
        <f>IF(SUMIFS(Journal!$D$3:$D$143,Journal!$A$3:$A$143,$B44,Journal!$F$3:$F$143,E$3)=0,"",SUMIFS(Journal!$D$3:$D$143,Journal!$A$3:$A$143,$B44,Journal!$F$3:$F$143,E$3))</f>
        <v/>
      </c>
      <c r="G44" s="86" t="str">
        <f>IF(SUMIFS(Journal!$D$3:$D$143,Journal!$A$3:$A$143,$B44,Journal!$E$3:$E$143,G$3)=0,"",SUMIFS(Journal!$D$3:$D$143,Journal!$A$3:$A$143,$B44,Journal!$E$3:$E$143,G$3))</f>
        <v/>
      </c>
      <c r="H44" s="86" t="str">
        <f>IF(SUMIFS(Journal!$D$3:$D$143,Journal!$A$3:$A$143,$B44,Journal!$F$3:$F$143,G$3)=0,"",SUMIFS(Journal!$D$3:$D$143,Journal!$A$3:$A$143,$B44,Journal!$F$3:$F$143,G$3))</f>
        <v/>
      </c>
      <c r="I44" s="86" t="str">
        <f>IF(SUMIFS(Journal!$D$3:$D$143,Journal!$A$3:$A$143,$B44,Journal!$E$3:$E$143,I$3)=0,"",SUMIFS(Journal!$D$3:$D$143,Journal!$A$3:$A$143,$B44,Journal!$E$3:$E$143,I$3))</f>
        <v/>
      </c>
      <c r="J44" s="86" t="str">
        <f>IF(SUMIFS(Journal!$D$3:$D$143,Journal!$A$3:$A$143,$B44,Journal!$F$3:$F$143,I$3)=0,"",SUMIFS(Journal!$D$3:$D$143,Journal!$A$3:$A$143,$B44,Journal!$F$3:$F$143,I$3))</f>
        <v/>
      </c>
      <c r="K44" s="86" t="str">
        <f>IF(SUMIFS(Journal!$D$3:$D$143,Journal!$A$3:$A$143,$B44,Journal!$E$3:$E$143,K$3)=0,"",SUMIFS(Journal!$D$3:$D$143,Journal!$A$3:$A$143,$B44,Journal!$E$3:$E$143,K$3))</f>
        <v/>
      </c>
      <c r="L44" s="86" t="str">
        <f>IF(SUMIFS(Journal!$D$3:$D$143,Journal!$A$3:$A$143,$B44,Journal!$F$3:$F$143,K$3)=0,"",SUMIFS(Journal!$D$3:$D$143,Journal!$A$3:$A$143,$B44,Journal!$F$3:$F$143,K$3))</f>
        <v/>
      </c>
      <c r="M44" s="86" t="str">
        <f>IF(SUMIFS(Journal!$D$3:$D$143,Journal!$A$3:$A$143,$B44,Journal!$E$3:$E$143,M$3)=0,"",SUMIFS(Journal!$D$3:$D$143,Journal!$A$3:$A$143,$B44,Journal!$E$3:$E$143,M$3))</f>
        <v/>
      </c>
      <c r="N44" s="86" t="str">
        <f>IF(SUMIFS(Journal!$D$3:$D$143,Journal!$A$3:$A$143,$B44,Journal!$F$3:$F$143,M$3)=0,"",SUMIFS(Journal!$D$3:$D$143,Journal!$A$3:$A$143,$B44,Journal!$F$3:$F$143,M$3))</f>
        <v/>
      </c>
      <c r="O44" s="86" t="str">
        <f>IF(SUMIFS(Journal!$D$3:$D$143,Journal!$A$3:$A$143,$B44,Journal!$E$3:$E$143,O$3)=0,"",SUMIFS(Journal!$D$3:$D$143,Journal!$A$3:$A$143,$B44,Journal!$E$3:$E$143,O$3))</f>
        <v/>
      </c>
      <c r="P44" s="86" t="str">
        <f>IF(SUMIFS(Journal!$D$3:$D$143,Journal!$A$3:$A$143,$B44,Journal!$F$3:$F$143,O$3)=0,"",SUMIFS(Journal!$D$3:$D$143,Journal!$A$3:$A$143,$B44,Journal!$F$3:$F$143,O$3))</f>
        <v/>
      </c>
      <c r="Q44" s="86" t="str">
        <f>IF(SUMIFS(Journal!$D$3:$D$143,Journal!$A$3:$A$143,$B44,Journal!$E$3:$E$143,Q$3)=0,"",SUMIFS(Journal!$D$3:$D$143,Journal!$A$3:$A$143,$B44,Journal!$E$3:$E$143,Q$3))</f>
        <v/>
      </c>
      <c r="R44" s="86" t="str">
        <f>IF(SUMIFS(Journal!$D$3:$D$143,Journal!$A$3:$A$143,$B44,Journal!$F$3:$F$143,Q$3)=0,"",SUMIFS(Journal!$D$3:$D$143,Journal!$A$3:$A$143,$B44,Journal!$F$3:$F$143,Q$3))</f>
        <v/>
      </c>
      <c r="S44" s="86" t="str">
        <f>IF(SUMIFS(Journal!$D$3:$D$143,Journal!$A$3:$A$143,$B44,Journal!$E$3:$E$143,S$3)=0,"",SUMIFS(Journal!$D$3:$D$143,Journal!$A$3:$A$143,$B44,Journal!$E$3:$E$143,S$3))</f>
        <v/>
      </c>
      <c r="T44" s="86" t="str">
        <f>IF(SUMIFS(Journal!$D$3:$D$143,Journal!$A$3:$A$143,$B44,Journal!$F$3:$F$143,S$3)=0,"",SUMIFS(Journal!$D$3:$D$143,Journal!$A$3:$A$143,$B44,Journal!$F$3:$F$143,S$3))</f>
        <v/>
      </c>
      <c r="U44" s="86" t="str">
        <f>IF(SUMIFS(Journal!$D$3:$D$143,Journal!$A$3:$A$143,$B44,Journal!$E$3:$E$143,U$3)=0,"",SUMIFS(Journal!$D$3:$D$143,Journal!$A$3:$A$143,$B44,Journal!$E$3:$E$143,U$3))</f>
        <v/>
      </c>
      <c r="V44" s="86" t="str">
        <f>IF(SUMIFS(Journal!$D$3:$D$143,Journal!$A$3:$A$143,$B44,Journal!$F$3:$F$143,U$3)=0,"",SUMIFS(Journal!$D$3:$D$143,Journal!$A$3:$A$143,$B44,Journal!$F$3:$F$143,U$3))</f>
        <v/>
      </c>
      <c r="W44" s="86" t="str">
        <f>IF(SUMIFS(Journal!$D$3:$D$143,Journal!$A$3:$A$143,$B44,Journal!$E$3:$E$143,W$3)=0,"",SUMIFS(Journal!$D$3:$D$143,Journal!$A$3:$A$143,$B44,Journal!$E$3:$E$143,W$3))</f>
        <v/>
      </c>
      <c r="X44" s="86">
        <f>IF(SUMIFS(Journal!$D$3:$D$143,Journal!$A$3:$A$143,$B44,Journal!$F$3:$F$143,W$3)=0,"",SUMIFS(Journal!$D$3:$D$143,Journal!$A$3:$A$143,$B44,Journal!$F$3:$F$143,W$3))</f>
        <v>10000</v>
      </c>
      <c r="Y44" s="86" t="str">
        <f>IF(SUMIFS(Journal!$D$3:$D$143,Journal!$A$3:$A$143,$B44,Journal!$E$3:$E$143,Y$3)=0,"",SUMIFS(Journal!$D$3:$D$143,Journal!$A$3:$A$143,$B44,Journal!$E$3:$E$143,Y$3))</f>
        <v/>
      </c>
      <c r="Z44" s="86" t="str">
        <f>IF(SUMIFS(Journal!$D$3:$D$143,Journal!$A$3:$A$143,$B44,Journal!$F$3:$F$143,Y$3)=0,"",SUMIFS(Journal!$D$3:$D$143,Journal!$A$3:$A$143,$B44,Journal!$F$3:$F$143,Y$3))</f>
        <v/>
      </c>
      <c r="AA44" s="86" t="str">
        <f>IF(SUMIFS(Journal!$D$3:$D$143,Journal!$A$3:$A$143,$B44,Journal!$E$3:$E$143,AA$3)=0,"",SUMIFS(Journal!$D$3:$D$143,Journal!$A$3:$A$143,$B44,Journal!$E$3:$E$143,AA$3))</f>
        <v/>
      </c>
      <c r="AB44" s="86" t="str">
        <f>IF(SUMIFS(Journal!$D$3:$D$143,Journal!$A$3:$A$143,$B44,Journal!$F$3:$F$143,AA$3)=0,"",SUMIFS(Journal!$D$3:$D$143,Journal!$A$3:$A$143,$B44,Journal!$F$3:$F$143,AA$3))</f>
        <v/>
      </c>
      <c r="AC44" s="86" t="str">
        <f>IF(SUMIFS(Journal!$D$3:$D$143,Journal!$A$3:$A$143,$B44,Journal!$E$3:$E$143,AC$3)=0,"",SUMIFS(Journal!$D$3:$D$143,Journal!$A$3:$A$143,$B44,Journal!$E$3:$E$143,AC$3))</f>
        <v/>
      </c>
      <c r="AD44" s="86" t="str">
        <f>IF(SUMIFS(Journal!$D$3:$D$143,Journal!$A$3:$A$143,$B44,Journal!$F$3:$F$143,AC$3)=0,"",SUMIFS(Journal!$D$3:$D$143,Journal!$A$3:$A$143,$B44,Journal!$F$3:$F$143,AC$3))</f>
        <v/>
      </c>
      <c r="AE44" s="86" t="str">
        <f>IF(SUMIFS(Journal!$D$3:$D$143,Journal!$A$3:$A$143,$B44,Journal!$E$3:$E$143,AE$3)=0,"",SUMIFS(Journal!$D$3:$D$143,Journal!$A$3:$A$143,$B44,Journal!$E$3:$E$143,AE$3))</f>
        <v/>
      </c>
      <c r="AF44" s="86" t="str">
        <f>IF(SUMIFS(Journal!$D$3:$D$143,Journal!$A$3:$A$143,$B44,Journal!$F$3:$F$143,AE$3)=0,"",SUMIFS(Journal!$D$3:$D$143,Journal!$A$3:$A$143,$B44,Journal!$F$3:$F$143,AE$3))</f>
        <v/>
      </c>
      <c r="AG44" s="86" t="str">
        <f>IF(SUMIFS(Journal!$D$3:$D$143,Journal!$A$3:$A$143,$B44,Journal!$E$3:$E$143,AG$3)=0,"",SUMIFS(Journal!$D$3:$D$143,Journal!$A$3:$A$143,$B44,Journal!$E$3:$E$143,AG$3))</f>
        <v/>
      </c>
      <c r="AH44" s="86" t="str">
        <f>IF(SUMIFS(Journal!$D$3:$D$143,Journal!$A$3:$A$143,$B44,Journal!$F$3:$F$143,AG$3)=0,"",SUMIFS(Journal!$D$3:$D$143,Journal!$A$3:$A$143,$B44,Journal!$F$3:$F$143,AG$3))</f>
        <v/>
      </c>
      <c r="AI44" s="86" t="str">
        <f>IF(SUMIFS(Journal!$D$3:$D$143,Journal!$A$3:$A$143,$B44,Journal!$E$3:$E$143,AI$3)=0,"",SUMIFS(Journal!$D$3:$D$143,Journal!$A$3:$A$143,$B44,Journal!$E$3:$E$143,AI$3))</f>
        <v/>
      </c>
      <c r="AJ44" s="86" t="str">
        <f>IF(SUMIFS(Journal!$D$3:$D$143,Journal!$A$3:$A$143,$B44,Journal!$F$3:$F$143,AI$3)=0,"",SUMIFS(Journal!$D$3:$D$143,Journal!$A$3:$A$143,$B44,Journal!$F$3:$F$143,AI$3))</f>
        <v/>
      </c>
      <c r="AK44" s="86" t="str">
        <f>IF(SUMIFS(Journal!$D$3:$D$143,Journal!$A$3:$A$143,$B44,Journal!$E$3:$E$143,AK$3)=0,"",SUMIFS(Journal!$D$3:$D$143,Journal!$A$3:$A$143,$B44,Journal!$E$3:$E$143,AK$3))</f>
        <v/>
      </c>
      <c r="AL44" s="86" t="str">
        <f>IF(SUMIFS(Journal!$D$3:$D$143,Journal!$A$3:$A$143,$B44,Journal!$F$3:$F$143,AK$3)=0,"",SUMIFS(Journal!$D$3:$D$143,Journal!$A$3:$A$143,$B44,Journal!$F$3:$F$143,AK$3))</f>
        <v/>
      </c>
      <c r="AM44" s="86" t="str">
        <f>IF(SUMIFS(Journal!$D$3:$D$143,Journal!$A$3:$A$143,$B44,Journal!$E$3:$E$143,AM$3)=0,"",SUMIFS(Journal!$D$3:$D$143,Journal!$A$3:$A$143,$B44,Journal!$E$3:$E$143,AM$3))</f>
        <v/>
      </c>
      <c r="AN44" s="86" t="str">
        <f>IF(SUMIFS(Journal!$D$3:$D$143,Journal!$A$3:$A$143,$B44,Journal!$F$3:$F$143,AM$3)=0,"",SUMIFS(Journal!$D$3:$D$143,Journal!$A$3:$A$143,$B44,Journal!$F$3:$F$143,AM$3))</f>
        <v/>
      </c>
      <c r="AO44" s="86" t="str">
        <f>IF(SUMIFS(Journal!$D$3:$D$143,Journal!$A$3:$A$143,$B44,Journal!$E$3:$E$143,AO$3)=0,"",SUMIFS(Journal!$D$3:$D$143,Journal!$A$3:$A$143,$B44,Journal!$E$3:$E$143,AO$3))</f>
        <v/>
      </c>
      <c r="AP44" s="86" t="str">
        <f>IF(SUMIFS(Journal!$D$3:$D$143,Journal!$A$3:$A$143,$B44,Journal!$F$3:$F$143,AO$3)=0,"",SUMIFS(Journal!$D$3:$D$143,Journal!$A$3:$A$143,$B44,Journal!$F$3:$F$143,AO$3))</f>
        <v/>
      </c>
      <c r="AQ44" s="86" t="str">
        <f>IF(SUMIFS(Journal!$D$3:$D$143,Journal!$A$3:$A$143,$B44,Journal!$E$3:$E$143,AQ$3)=0,"",SUMIFS(Journal!$D$3:$D$143,Journal!$A$3:$A$143,$B44,Journal!$E$3:$E$143,AQ$3))</f>
        <v/>
      </c>
      <c r="AR44" s="86" t="str">
        <f>IF(SUMIFS(Journal!$D$3:$D$143,Journal!$A$3:$A$143,$B44,Journal!$F$3:$F$143,AQ$3)=0,"",SUMIFS(Journal!$D$3:$D$143,Journal!$A$3:$A$143,$B44,Journal!$F$3:$F$143,AQ$3))</f>
        <v/>
      </c>
      <c r="AS44" s="86" t="str">
        <f>IF(SUMIFS(Journal!$D$3:$D$143,Journal!$A$3:$A$143,$B44,Journal!$E$3:$E$143,AS$3)=0,"",SUMIFS(Journal!$D$3:$D$143,Journal!$A$3:$A$143,$B44,Journal!$E$3:$E$143,AS$3))</f>
        <v/>
      </c>
      <c r="AT44" s="86" t="str">
        <f>IF(SUMIFS(Journal!$D$3:$D$143,Journal!$A$3:$A$143,$B44,Journal!$F$3:$F$143,AS$3)=0,"",SUMIFS(Journal!$D$3:$D$143,Journal!$A$3:$A$143,$B44,Journal!$F$3:$F$143,AS$3))</f>
        <v/>
      </c>
      <c r="AU44" s="86" t="str">
        <f>IF(SUMIFS(Journal!$D$3:$D$143,Journal!$A$3:$A$143,$B44,Journal!$E$3:$E$143,AU$3)=0,"",SUMIFS(Journal!$D$3:$D$143,Journal!$A$3:$A$143,$B44,Journal!$E$3:$E$143,AU$3))</f>
        <v/>
      </c>
      <c r="AV44" s="86" t="str">
        <f>IF(SUMIFS(Journal!$D$3:$D$143,Journal!$A$3:$A$143,$B44,Journal!$F$3:$F$143,AU$3)=0,"",SUMIFS(Journal!$D$3:$D$143,Journal!$A$3:$A$143,$B44,Journal!$F$3:$F$143,AU$3))</f>
        <v/>
      </c>
      <c r="AW44" s="86" t="str">
        <f>IF(SUMIFS(Journal!$D$3:$D$143,Journal!$A$3:$A$143,$B44,Journal!$E$3:$E$143,AW$3)=0,"",SUMIFS(Journal!$D$3:$D$143,Journal!$A$3:$A$143,$B44,Journal!$E$3:$E$143,AW$3))</f>
        <v/>
      </c>
      <c r="AX44" s="86" t="str">
        <f>IF(SUMIFS(Journal!$D$3:$D$143,Journal!$A$3:$A$143,$B44,Journal!$F$3:$F$143,AW$3)=0,"",SUMIFS(Journal!$D$3:$D$143,Journal!$A$3:$A$143,$B44,Journal!$F$3:$F$143,AW$3))</f>
        <v/>
      </c>
      <c r="AY44" s="86" t="str">
        <f>IF(SUMIFS(Journal!$D$3:$D$143,Journal!$A$3:$A$143,$B44,Journal!$E$3:$E$143,AY$3)=0,"",SUMIFS(Journal!$D$3:$D$143,Journal!$A$3:$A$143,$B44,Journal!$E$3:$E$143,AY$3))</f>
        <v/>
      </c>
      <c r="AZ44" s="86" t="str">
        <f>IF(SUMIFS(Journal!$D$3:$D$143,Journal!$A$3:$A$143,$B44,Journal!$F$3:$F$143,AY$3)=0,"",SUMIFS(Journal!$D$3:$D$143,Journal!$A$3:$A$143,$B44,Journal!$F$3:$F$143,AY$3))</f>
        <v/>
      </c>
      <c r="BA44" s="86" t="str">
        <f>IF(SUMIFS(Journal!$D$3:$D$143,Journal!$A$3:$A$143,$B44,Journal!$E$3:$E$143,BA$3)=0,"",SUMIFS(Journal!$D$3:$D$143,Journal!$A$3:$A$143,$B44,Journal!$E$3:$E$143,BA$3))</f>
        <v/>
      </c>
      <c r="BB44" s="86" t="str">
        <f>IF(SUMIFS(Journal!$D$3:$D$143,Journal!$A$3:$A$143,$B44,Journal!$F$3:$F$143,BA$3)=0,"",SUMIFS(Journal!$D$3:$D$143,Journal!$A$3:$A$143,$B44,Journal!$F$3:$F$143,BA$3))</f>
        <v/>
      </c>
    </row>
    <row r="45">
      <c r="A45" s="84">
        <f>VLOOKUP(B45,Journal!$A$3:$C$143,2,FALSE)</f>
        <v>45397</v>
      </c>
      <c r="B45" s="85" t="s">
        <v>342</v>
      </c>
      <c r="C45" s="86" t="str">
        <f>VLOOKUP(B45,Journal!$A$3:$C$143,3,FALSE)</f>
        <v>Purchased additional retail inventory</v>
      </c>
      <c r="D45" s="86">
        <f>SUMIF(Journal!$A$3:$A$143,B45,Journal!$D$3:$D$143)</f>
        <v>8000</v>
      </c>
      <c r="E45" s="86" t="str">
        <f>IF(SUMIFS(Journal!$D$3:$D$143,Journal!$A$3:$A$143,$B45,Journal!$E$3:$E$143,E$3)=0,"",SUMIFS(Journal!$D$3:$D$143,Journal!$A$3:$A$143,$B45,Journal!$E$3:$E$143,E$3))</f>
        <v/>
      </c>
      <c r="F45" s="86">
        <f>IF(SUMIFS(Journal!$D$3:$D$143,Journal!$A$3:$A$143,$B45,Journal!$F$3:$F$143,E$3)=0,"",SUMIFS(Journal!$D$3:$D$143,Journal!$A$3:$A$143,$B45,Journal!$F$3:$F$143,E$3))</f>
        <v>8000</v>
      </c>
      <c r="G45" s="86" t="str">
        <f>IF(SUMIFS(Journal!$D$3:$D$143,Journal!$A$3:$A$143,$B45,Journal!$E$3:$E$143,G$3)=0,"",SUMIFS(Journal!$D$3:$D$143,Journal!$A$3:$A$143,$B45,Journal!$E$3:$E$143,G$3))</f>
        <v/>
      </c>
      <c r="H45" s="86" t="str">
        <f>IF(SUMIFS(Journal!$D$3:$D$143,Journal!$A$3:$A$143,$B45,Journal!$F$3:$F$143,G$3)=0,"",SUMIFS(Journal!$D$3:$D$143,Journal!$A$3:$A$143,$B45,Journal!$F$3:$F$143,G$3))</f>
        <v/>
      </c>
      <c r="I45" s="86">
        <f>IF(SUMIFS(Journal!$D$3:$D$143,Journal!$A$3:$A$143,$B45,Journal!$E$3:$E$143,I$3)=0,"",SUMIFS(Journal!$D$3:$D$143,Journal!$A$3:$A$143,$B45,Journal!$E$3:$E$143,I$3))</f>
        <v>8000</v>
      </c>
      <c r="J45" s="86" t="str">
        <f>IF(SUMIFS(Journal!$D$3:$D$143,Journal!$A$3:$A$143,$B45,Journal!$F$3:$F$143,I$3)=0,"",SUMIFS(Journal!$D$3:$D$143,Journal!$A$3:$A$143,$B45,Journal!$F$3:$F$143,I$3))</f>
        <v/>
      </c>
      <c r="K45" s="86" t="str">
        <f>IF(SUMIFS(Journal!$D$3:$D$143,Journal!$A$3:$A$143,$B45,Journal!$E$3:$E$143,K$3)=0,"",SUMIFS(Journal!$D$3:$D$143,Journal!$A$3:$A$143,$B45,Journal!$E$3:$E$143,K$3))</f>
        <v/>
      </c>
      <c r="L45" s="86" t="str">
        <f>IF(SUMIFS(Journal!$D$3:$D$143,Journal!$A$3:$A$143,$B45,Journal!$F$3:$F$143,K$3)=0,"",SUMIFS(Journal!$D$3:$D$143,Journal!$A$3:$A$143,$B45,Journal!$F$3:$F$143,K$3))</f>
        <v/>
      </c>
      <c r="M45" s="86" t="str">
        <f>IF(SUMIFS(Journal!$D$3:$D$143,Journal!$A$3:$A$143,$B45,Journal!$E$3:$E$143,M$3)=0,"",SUMIFS(Journal!$D$3:$D$143,Journal!$A$3:$A$143,$B45,Journal!$E$3:$E$143,M$3))</f>
        <v/>
      </c>
      <c r="N45" s="86" t="str">
        <f>IF(SUMIFS(Journal!$D$3:$D$143,Journal!$A$3:$A$143,$B45,Journal!$F$3:$F$143,M$3)=0,"",SUMIFS(Journal!$D$3:$D$143,Journal!$A$3:$A$143,$B45,Journal!$F$3:$F$143,M$3))</f>
        <v/>
      </c>
      <c r="O45" s="86" t="str">
        <f>IF(SUMIFS(Journal!$D$3:$D$143,Journal!$A$3:$A$143,$B45,Journal!$E$3:$E$143,O$3)=0,"",SUMIFS(Journal!$D$3:$D$143,Journal!$A$3:$A$143,$B45,Journal!$E$3:$E$143,O$3))</f>
        <v/>
      </c>
      <c r="P45" s="86" t="str">
        <f>IF(SUMIFS(Journal!$D$3:$D$143,Journal!$A$3:$A$143,$B45,Journal!$F$3:$F$143,O$3)=0,"",SUMIFS(Journal!$D$3:$D$143,Journal!$A$3:$A$143,$B45,Journal!$F$3:$F$143,O$3))</f>
        <v/>
      </c>
      <c r="Q45" s="86" t="str">
        <f>IF(SUMIFS(Journal!$D$3:$D$143,Journal!$A$3:$A$143,$B45,Journal!$E$3:$E$143,Q$3)=0,"",SUMIFS(Journal!$D$3:$D$143,Journal!$A$3:$A$143,$B45,Journal!$E$3:$E$143,Q$3))</f>
        <v/>
      </c>
      <c r="R45" s="86" t="str">
        <f>IF(SUMIFS(Journal!$D$3:$D$143,Journal!$A$3:$A$143,$B45,Journal!$F$3:$F$143,Q$3)=0,"",SUMIFS(Journal!$D$3:$D$143,Journal!$A$3:$A$143,$B45,Journal!$F$3:$F$143,Q$3))</f>
        <v/>
      </c>
      <c r="S45" s="86" t="str">
        <f>IF(SUMIFS(Journal!$D$3:$D$143,Journal!$A$3:$A$143,$B45,Journal!$E$3:$E$143,S$3)=0,"",SUMIFS(Journal!$D$3:$D$143,Journal!$A$3:$A$143,$B45,Journal!$E$3:$E$143,S$3))</f>
        <v/>
      </c>
      <c r="T45" s="86" t="str">
        <f>IF(SUMIFS(Journal!$D$3:$D$143,Journal!$A$3:$A$143,$B45,Journal!$F$3:$F$143,S$3)=0,"",SUMIFS(Journal!$D$3:$D$143,Journal!$A$3:$A$143,$B45,Journal!$F$3:$F$143,S$3))</f>
        <v/>
      </c>
      <c r="U45" s="86" t="str">
        <f>IF(SUMIFS(Journal!$D$3:$D$143,Journal!$A$3:$A$143,$B45,Journal!$E$3:$E$143,U$3)=0,"",SUMIFS(Journal!$D$3:$D$143,Journal!$A$3:$A$143,$B45,Journal!$E$3:$E$143,U$3))</f>
        <v/>
      </c>
      <c r="V45" s="86" t="str">
        <f>IF(SUMIFS(Journal!$D$3:$D$143,Journal!$A$3:$A$143,$B45,Journal!$F$3:$F$143,U$3)=0,"",SUMIFS(Journal!$D$3:$D$143,Journal!$A$3:$A$143,$B45,Journal!$F$3:$F$143,U$3))</f>
        <v/>
      </c>
      <c r="W45" s="86" t="str">
        <f>IF(SUMIFS(Journal!$D$3:$D$143,Journal!$A$3:$A$143,$B45,Journal!$E$3:$E$143,W$3)=0,"",SUMIFS(Journal!$D$3:$D$143,Journal!$A$3:$A$143,$B45,Journal!$E$3:$E$143,W$3))</f>
        <v/>
      </c>
      <c r="X45" s="86" t="str">
        <f>IF(SUMIFS(Journal!$D$3:$D$143,Journal!$A$3:$A$143,$B45,Journal!$F$3:$F$143,W$3)=0,"",SUMIFS(Journal!$D$3:$D$143,Journal!$A$3:$A$143,$B45,Journal!$F$3:$F$143,W$3))</f>
        <v/>
      </c>
      <c r="Y45" s="86" t="str">
        <f>IF(SUMIFS(Journal!$D$3:$D$143,Journal!$A$3:$A$143,$B45,Journal!$E$3:$E$143,Y$3)=0,"",SUMIFS(Journal!$D$3:$D$143,Journal!$A$3:$A$143,$B45,Journal!$E$3:$E$143,Y$3))</f>
        <v/>
      </c>
      <c r="Z45" s="86" t="str">
        <f>IF(SUMIFS(Journal!$D$3:$D$143,Journal!$A$3:$A$143,$B45,Journal!$F$3:$F$143,Y$3)=0,"",SUMIFS(Journal!$D$3:$D$143,Journal!$A$3:$A$143,$B45,Journal!$F$3:$F$143,Y$3))</f>
        <v/>
      </c>
      <c r="AA45" s="86" t="str">
        <f>IF(SUMIFS(Journal!$D$3:$D$143,Journal!$A$3:$A$143,$B45,Journal!$E$3:$E$143,AA$3)=0,"",SUMIFS(Journal!$D$3:$D$143,Journal!$A$3:$A$143,$B45,Journal!$E$3:$E$143,AA$3))</f>
        <v/>
      </c>
      <c r="AB45" s="86" t="str">
        <f>IF(SUMIFS(Journal!$D$3:$D$143,Journal!$A$3:$A$143,$B45,Journal!$F$3:$F$143,AA$3)=0,"",SUMIFS(Journal!$D$3:$D$143,Journal!$A$3:$A$143,$B45,Journal!$F$3:$F$143,AA$3))</f>
        <v/>
      </c>
      <c r="AC45" s="86" t="str">
        <f>IF(SUMIFS(Journal!$D$3:$D$143,Journal!$A$3:$A$143,$B45,Journal!$E$3:$E$143,AC$3)=0,"",SUMIFS(Journal!$D$3:$D$143,Journal!$A$3:$A$143,$B45,Journal!$E$3:$E$143,AC$3))</f>
        <v/>
      </c>
      <c r="AD45" s="86" t="str">
        <f>IF(SUMIFS(Journal!$D$3:$D$143,Journal!$A$3:$A$143,$B45,Journal!$F$3:$F$143,AC$3)=0,"",SUMIFS(Journal!$D$3:$D$143,Journal!$A$3:$A$143,$B45,Journal!$F$3:$F$143,AC$3))</f>
        <v/>
      </c>
      <c r="AE45" s="86" t="str">
        <f>IF(SUMIFS(Journal!$D$3:$D$143,Journal!$A$3:$A$143,$B45,Journal!$E$3:$E$143,AE$3)=0,"",SUMIFS(Journal!$D$3:$D$143,Journal!$A$3:$A$143,$B45,Journal!$E$3:$E$143,AE$3))</f>
        <v/>
      </c>
      <c r="AF45" s="86" t="str">
        <f>IF(SUMIFS(Journal!$D$3:$D$143,Journal!$A$3:$A$143,$B45,Journal!$F$3:$F$143,AE$3)=0,"",SUMIFS(Journal!$D$3:$D$143,Journal!$A$3:$A$143,$B45,Journal!$F$3:$F$143,AE$3))</f>
        <v/>
      </c>
      <c r="AG45" s="86" t="str">
        <f>IF(SUMIFS(Journal!$D$3:$D$143,Journal!$A$3:$A$143,$B45,Journal!$E$3:$E$143,AG$3)=0,"",SUMIFS(Journal!$D$3:$D$143,Journal!$A$3:$A$143,$B45,Journal!$E$3:$E$143,AG$3))</f>
        <v/>
      </c>
      <c r="AH45" s="86" t="str">
        <f>IF(SUMIFS(Journal!$D$3:$D$143,Journal!$A$3:$A$143,$B45,Journal!$F$3:$F$143,AG$3)=0,"",SUMIFS(Journal!$D$3:$D$143,Journal!$A$3:$A$143,$B45,Journal!$F$3:$F$143,AG$3))</f>
        <v/>
      </c>
      <c r="AI45" s="86" t="str">
        <f>IF(SUMIFS(Journal!$D$3:$D$143,Journal!$A$3:$A$143,$B45,Journal!$E$3:$E$143,AI$3)=0,"",SUMIFS(Journal!$D$3:$D$143,Journal!$A$3:$A$143,$B45,Journal!$E$3:$E$143,AI$3))</f>
        <v/>
      </c>
      <c r="AJ45" s="86" t="str">
        <f>IF(SUMIFS(Journal!$D$3:$D$143,Journal!$A$3:$A$143,$B45,Journal!$F$3:$F$143,AI$3)=0,"",SUMIFS(Journal!$D$3:$D$143,Journal!$A$3:$A$143,$B45,Journal!$F$3:$F$143,AI$3))</f>
        <v/>
      </c>
      <c r="AK45" s="86" t="str">
        <f>IF(SUMIFS(Journal!$D$3:$D$143,Journal!$A$3:$A$143,$B45,Journal!$E$3:$E$143,AK$3)=0,"",SUMIFS(Journal!$D$3:$D$143,Journal!$A$3:$A$143,$B45,Journal!$E$3:$E$143,AK$3))</f>
        <v/>
      </c>
      <c r="AL45" s="86" t="str">
        <f>IF(SUMIFS(Journal!$D$3:$D$143,Journal!$A$3:$A$143,$B45,Journal!$F$3:$F$143,AK$3)=0,"",SUMIFS(Journal!$D$3:$D$143,Journal!$A$3:$A$143,$B45,Journal!$F$3:$F$143,AK$3))</f>
        <v/>
      </c>
      <c r="AM45" s="86" t="str">
        <f>IF(SUMIFS(Journal!$D$3:$D$143,Journal!$A$3:$A$143,$B45,Journal!$E$3:$E$143,AM$3)=0,"",SUMIFS(Journal!$D$3:$D$143,Journal!$A$3:$A$143,$B45,Journal!$E$3:$E$143,AM$3))</f>
        <v/>
      </c>
      <c r="AN45" s="86" t="str">
        <f>IF(SUMIFS(Journal!$D$3:$D$143,Journal!$A$3:$A$143,$B45,Journal!$F$3:$F$143,AM$3)=0,"",SUMIFS(Journal!$D$3:$D$143,Journal!$A$3:$A$143,$B45,Journal!$F$3:$F$143,AM$3))</f>
        <v/>
      </c>
      <c r="AO45" s="86" t="str">
        <f>IF(SUMIFS(Journal!$D$3:$D$143,Journal!$A$3:$A$143,$B45,Journal!$E$3:$E$143,AO$3)=0,"",SUMIFS(Journal!$D$3:$D$143,Journal!$A$3:$A$143,$B45,Journal!$E$3:$E$143,AO$3))</f>
        <v/>
      </c>
      <c r="AP45" s="86" t="str">
        <f>IF(SUMIFS(Journal!$D$3:$D$143,Journal!$A$3:$A$143,$B45,Journal!$F$3:$F$143,AO$3)=0,"",SUMIFS(Journal!$D$3:$D$143,Journal!$A$3:$A$143,$B45,Journal!$F$3:$F$143,AO$3))</f>
        <v/>
      </c>
      <c r="AQ45" s="86" t="str">
        <f>IF(SUMIFS(Journal!$D$3:$D$143,Journal!$A$3:$A$143,$B45,Journal!$E$3:$E$143,AQ$3)=0,"",SUMIFS(Journal!$D$3:$D$143,Journal!$A$3:$A$143,$B45,Journal!$E$3:$E$143,AQ$3))</f>
        <v/>
      </c>
      <c r="AR45" s="86" t="str">
        <f>IF(SUMIFS(Journal!$D$3:$D$143,Journal!$A$3:$A$143,$B45,Journal!$F$3:$F$143,AQ$3)=0,"",SUMIFS(Journal!$D$3:$D$143,Journal!$A$3:$A$143,$B45,Journal!$F$3:$F$143,AQ$3))</f>
        <v/>
      </c>
      <c r="AS45" s="86" t="str">
        <f>IF(SUMIFS(Journal!$D$3:$D$143,Journal!$A$3:$A$143,$B45,Journal!$E$3:$E$143,AS$3)=0,"",SUMIFS(Journal!$D$3:$D$143,Journal!$A$3:$A$143,$B45,Journal!$E$3:$E$143,AS$3))</f>
        <v/>
      </c>
      <c r="AT45" s="86" t="str">
        <f>IF(SUMIFS(Journal!$D$3:$D$143,Journal!$A$3:$A$143,$B45,Journal!$F$3:$F$143,AS$3)=0,"",SUMIFS(Journal!$D$3:$D$143,Journal!$A$3:$A$143,$B45,Journal!$F$3:$F$143,AS$3))</f>
        <v/>
      </c>
      <c r="AU45" s="86" t="str">
        <f>IF(SUMIFS(Journal!$D$3:$D$143,Journal!$A$3:$A$143,$B45,Journal!$E$3:$E$143,AU$3)=0,"",SUMIFS(Journal!$D$3:$D$143,Journal!$A$3:$A$143,$B45,Journal!$E$3:$E$143,AU$3))</f>
        <v/>
      </c>
      <c r="AV45" s="86" t="str">
        <f>IF(SUMIFS(Journal!$D$3:$D$143,Journal!$A$3:$A$143,$B45,Journal!$F$3:$F$143,AU$3)=0,"",SUMIFS(Journal!$D$3:$D$143,Journal!$A$3:$A$143,$B45,Journal!$F$3:$F$143,AU$3))</f>
        <v/>
      </c>
      <c r="AW45" s="86" t="str">
        <f>IF(SUMIFS(Journal!$D$3:$D$143,Journal!$A$3:$A$143,$B45,Journal!$E$3:$E$143,AW$3)=0,"",SUMIFS(Journal!$D$3:$D$143,Journal!$A$3:$A$143,$B45,Journal!$E$3:$E$143,AW$3))</f>
        <v/>
      </c>
      <c r="AX45" s="86" t="str">
        <f>IF(SUMIFS(Journal!$D$3:$D$143,Journal!$A$3:$A$143,$B45,Journal!$F$3:$F$143,AW$3)=0,"",SUMIFS(Journal!$D$3:$D$143,Journal!$A$3:$A$143,$B45,Journal!$F$3:$F$143,AW$3))</f>
        <v/>
      </c>
      <c r="AY45" s="86" t="str">
        <f>IF(SUMIFS(Journal!$D$3:$D$143,Journal!$A$3:$A$143,$B45,Journal!$E$3:$E$143,AY$3)=0,"",SUMIFS(Journal!$D$3:$D$143,Journal!$A$3:$A$143,$B45,Journal!$E$3:$E$143,AY$3))</f>
        <v/>
      </c>
      <c r="AZ45" s="86" t="str">
        <f>IF(SUMIFS(Journal!$D$3:$D$143,Journal!$A$3:$A$143,$B45,Journal!$F$3:$F$143,AY$3)=0,"",SUMIFS(Journal!$D$3:$D$143,Journal!$A$3:$A$143,$B45,Journal!$F$3:$F$143,AY$3))</f>
        <v/>
      </c>
      <c r="BA45" s="86" t="str">
        <f>IF(SUMIFS(Journal!$D$3:$D$143,Journal!$A$3:$A$143,$B45,Journal!$E$3:$E$143,BA$3)=0,"",SUMIFS(Journal!$D$3:$D$143,Journal!$A$3:$A$143,$B45,Journal!$E$3:$E$143,BA$3))</f>
        <v/>
      </c>
      <c r="BB45" s="86" t="str">
        <f>IF(SUMIFS(Journal!$D$3:$D$143,Journal!$A$3:$A$143,$B45,Journal!$F$3:$F$143,BA$3)=0,"",SUMIFS(Journal!$D$3:$D$143,Journal!$A$3:$A$143,$B45,Journal!$F$3:$F$143,BA$3))</f>
        <v/>
      </c>
    </row>
    <row r="46">
      <c r="A46" s="84">
        <f>VLOOKUP(B46,Journal!$A$3:$C$143,2,FALSE)</f>
        <v>45400</v>
      </c>
      <c r="B46" s="85" t="s">
        <v>346</v>
      </c>
      <c r="C46" s="86" t="str">
        <f>VLOOKUP(B46,Journal!$A$3:$C$143,3,FALSE)</f>
        <v>Retail camping-supply sales</v>
      </c>
      <c r="D46" s="86">
        <f>SUMIF(Journal!$A$3:$A$143,B46,Journal!$D$3:$D$143)</f>
        <v>10400</v>
      </c>
      <c r="E46" s="86">
        <f>IF(SUMIFS(Journal!$D$3:$D$143,Journal!$A$3:$A$143,$B46,Journal!$E$3:$E$143,E$3)=0,"",SUMIFS(Journal!$D$3:$D$143,Journal!$A$3:$A$143,$B46,Journal!$E$3:$E$143,E$3))</f>
        <v>6500</v>
      </c>
      <c r="F46" s="86" t="str">
        <f>IF(SUMIFS(Journal!$D$3:$D$143,Journal!$A$3:$A$143,$B46,Journal!$F$3:$F$143,E$3)=0,"",SUMIFS(Journal!$D$3:$D$143,Journal!$A$3:$A$143,$B46,Journal!$F$3:$F$143,E$3))</f>
        <v/>
      </c>
      <c r="G46" s="86" t="str">
        <f>IF(SUMIFS(Journal!$D$3:$D$143,Journal!$A$3:$A$143,$B46,Journal!$E$3:$E$143,G$3)=0,"",SUMIFS(Journal!$D$3:$D$143,Journal!$A$3:$A$143,$B46,Journal!$E$3:$E$143,G$3))</f>
        <v/>
      </c>
      <c r="H46" s="86" t="str">
        <f>IF(SUMIFS(Journal!$D$3:$D$143,Journal!$A$3:$A$143,$B46,Journal!$F$3:$F$143,G$3)=0,"",SUMIFS(Journal!$D$3:$D$143,Journal!$A$3:$A$143,$B46,Journal!$F$3:$F$143,G$3))</f>
        <v/>
      </c>
      <c r="I46" s="86" t="str">
        <f>IF(SUMIFS(Journal!$D$3:$D$143,Journal!$A$3:$A$143,$B46,Journal!$E$3:$E$143,I$3)=0,"",SUMIFS(Journal!$D$3:$D$143,Journal!$A$3:$A$143,$B46,Journal!$E$3:$E$143,I$3))</f>
        <v/>
      </c>
      <c r="J46" s="86">
        <f>IF(SUMIFS(Journal!$D$3:$D$143,Journal!$A$3:$A$143,$B46,Journal!$F$3:$F$143,I$3)=0,"",SUMIFS(Journal!$D$3:$D$143,Journal!$A$3:$A$143,$B46,Journal!$F$3:$F$143,I$3))</f>
        <v>3900</v>
      </c>
      <c r="K46" s="86" t="str">
        <f>IF(SUMIFS(Journal!$D$3:$D$143,Journal!$A$3:$A$143,$B46,Journal!$E$3:$E$143,K$3)=0,"",SUMIFS(Journal!$D$3:$D$143,Journal!$A$3:$A$143,$B46,Journal!$E$3:$E$143,K$3))</f>
        <v/>
      </c>
      <c r="L46" s="86" t="str">
        <f>IF(SUMIFS(Journal!$D$3:$D$143,Journal!$A$3:$A$143,$B46,Journal!$F$3:$F$143,K$3)=0,"",SUMIFS(Journal!$D$3:$D$143,Journal!$A$3:$A$143,$B46,Journal!$F$3:$F$143,K$3))</f>
        <v/>
      </c>
      <c r="M46" s="86" t="str">
        <f>IF(SUMIFS(Journal!$D$3:$D$143,Journal!$A$3:$A$143,$B46,Journal!$E$3:$E$143,M$3)=0,"",SUMIFS(Journal!$D$3:$D$143,Journal!$A$3:$A$143,$B46,Journal!$E$3:$E$143,M$3))</f>
        <v/>
      </c>
      <c r="N46" s="86" t="str">
        <f>IF(SUMIFS(Journal!$D$3:$D$143,Journal!$A$3:$A$143,$B46,Journal!$F$3:$F$143,M$3)=0,"",SUMIFS(Journal!$D$3:$D$143,Journal!$A$3:$A$143,$B46,Journal!$F$3:$F$143,M$3))</f>
        <v/>
      </c>
      <c r="O46" s="86" t="str">
        <f>IF(SUMIFS(Journal!$D$3:$D$143,Journal!$A$3:$A$143,$B46,Journal!$E$3:$E$143,O$3)=0,"",SUMIFS(Journal!$D$3:$D$143,Journal!$A$3:$A$143,$B46,Journal!$E$3:$E$143,O$3))</f>
        <v/>
      </c>
      <c r="P46" s="86" t="str">
        <f>IF(SUMIFS(Journal!$D$3:$D$143,Journal!$A$3:$A$143,$B46,Journal!$F$3:$F$143,O$3)=0,"",SUMIFS(Journal!$D$3:$D$143,Journal!$A$3:$A$143,$B46,Journal!$F$3:$F$143,O$3))</f>
        <v/>
      </c>
      <c r="Q46" s="86" t="str">
        <f>IF(SUMIFS(Journal!$D$3:$D$143,Journal!$A$3:$A$143,$B46,Journal!$E$3:$E$143,Q$3)=0,"",SUMIFS(Journal!$D$3:$D$143,Journal!$A$3:$A$143,$B46,Journal!$E$3:$E$143,Q$3))</f>
        <v/>
      </c>
      <c r="R46" s="86" t="str">
        <f>IF(SUMIFS(Journal!$D$3:$D$143,Journal!$A$3:$A$143,$B46,Journal!$F$3:$F$143,Q$3)=0,"",SUMIFS(Journal!$D$3:$D$143,Journal!$A$3:$A$143,$B46,Journal!$F$3:$F$143,Q$3))</f>
        <v/>
      </c>
      <c r="S46" s="86" t="str">
        <f>IF(SUMIFS(Journal!$D$3:$D$143,Journal!$A$3:$A$143,$B46,Journal!$E$3:$E$143,S$3)=0,"",SUMIFS(Journal!$D$3:$D$143,Journal!$A$3:$A$143,$B46,Journal!$E$3:$E$143,S$3))</f>
        <v/>
      </c>
      <c r="T46" s="86" t="str">
        <f>IF(SUMIFS(Journal!$D$3:$D$143,Journal!$A$3:$A$143,$B46,Journal!$F$3:$F$143,S$3)=0,"",SUMIFS(Journal!$D$3:$D$143,Journal!$A$3:$A$143,$B46,Journal!$F$3:$F$143,S$3))</f>
        <v/>
      </c>
      <c r="U46" s="86" t="str">
        <f>IF(SUMIFS(Journal!$D$3:$D$143,Journal!$A$3:$A$143,$B46,Journal!$E$3:$E$143,U$3)=0,"",SUMIFS(Journal!$D$3:$D$143,Journal!$A$3:$A$143,$B46,Journal!$E$3:$E$143,U$3))</f>
        <v/>
      </c>
      <c r="V46" s="86" t="str">
        <f>IF(SUMIFS(Journal!$D$3:$D$143,Journal!$A$3:$A$143,$B46,Journal!$F$3:$F$143,U$3)=0,"",SUMIFS(Journal!$D$3:$D$143,Journal!$A$3:$A$143,$B46,Journal!$F$3:$F$143,U$3))</f>
        <v/>
      </c>
      <c r="W46" s="86" t="str">
        <f>IF(SUMIFS(Journal!$D$3:$D$143,Journal!$A$3:$A$143,$B46,Journal!$E$3:$E$143,W$3)=0,"",SUMIFS(Journal!$D$3:$D$143,Journal!$A$3:$A$143,$B46,Journal!$E$3:$E$143,W$3))</f>
        <v/>
      </c>
      <c r="X46" s="86" t="str">
        <f>IF(SUMIFS(Journal!$D$3:$D$143,Journal!$A$3:$A$143,$B46,Journal!$F$3:$F$143,W$3)=0,"",SUMIFS(Journal!$D$3:$D$143,Journal!$A$3:$A$143,$B46,Journal!$F$3:$F$143,W$3))</f>
        <v/>
      </c>
      <c r="Y46" s="86" t="str">
        <f>IF(SUMIFS(Journal!$D$3:$D$143,Journal!$A$3:$A$143,$B46,Journal!$E$3:$E$143,Y$3)=0,"",SUMIFS(Journal!$D$3:$D$143,Journal!$A$3:$A$143,$B46,Journal!$E$3:$E$143,Y$3))</f>
        <v/>
      </c>
      <c r="Z46" s="86" t="str">
        <f>IF(SUMIFS(Journal!$D$3:$D$143,Journal!$A$3:$A$143,$B46,Journal!$F$3:$F$143,Y$3)=0,"",SUMIFS(Journal!$D$3:$D$143,Journal!$A$3:$A$143,$B46,Journal!$F$3:$F$143,Y$3))</f>
        <v/>
      </c>
      <c r="AA46" s="86" t="str">
        <f>IF(SUMIFS(Journal!$D$3:$D$143,Journal!$A$3:$A$143,$B46,Journal!$E$3:$E$143,AA$3)=0,"",SUMIFS(Journal!$D$3:$D$143,Journal!$A$3:$A$143,$B46,Journal!$E$3:$E$143,AA$3))</f>
        <v/>
      </c>
      <c r="AB46" s="86">
        <f>IF(SUMIFS(Journal!$D$3:$D$143,Journal!$A$3:$A$143,$B46,Journal!$F$3:$F$143,AA$3)=0,"",SUMIFS(Journal!$D$3:$D$143,Journal!$A$3:$A$143,$B46,Journal!$F$3:$F$143,AA$3))</f>
        <v>6500</v>
      </c>
      <c r="AC46" s="86" t="str">
        <f>IF(SUMIFS(Journal!$D$3:$D$143,Journal!$A$3:$A$143,$B46,Journal!$E$3:$E$143,AC$3)=0,"",SUMIFS(Journal!$D$3:$D$143,Journal!$A$3:$A$143,$B46,Journal!$E$3:$E$143,AC$3))</f>
        <v/>
      </c>
      <c r="AD46" s="86" t="str">
        <f>IF(SUMIFS(Journal!$D$3:$D$143,Journal!$A$3:$A$143,$B46,Journal!$F$3:$F$143,AC$3)=0,"",SUMIFS(Journal!$D$3:$D$143,Journal!$A$3:$A$143,$B46,Journal!$F$3:$F$143,AC$3))</f>
        <v/>
      </c>
      <c r="AE46" s="86">
        <f>IF(SUMIFS(Journal!$D$3:$D$143,Journal!$A$3:$A$143,$B46,Journal!$E$3:$E$143,AE$3)=0,"",SUMIFS(Journal!$D$3:$D$143,Journal!$A$3:$A$143,$B46,Journal!$E$3:$E$143,AE$3))</f>
        <v>3900</v>
      </c>
      <c r="AF46" s="86" t="str">
        <f>IF(SUMIFS(Journal!$D$3:$D$143,Journal!$A$3:$A$143,$B46,Journal!$F$3:$F$143,AE$3)=0,"",SUMIFS(Journal!$D$3:$D$143,Journal!$A$3:$A$143,$B46,Journal!$F$3:$F$143,AE$3))</f>
        <v/>
      </c>
      <c r="AG46" s="86" t="str">
        <f>IF(SUMIFS(Journal!$D$3:$D$143,Journal!$A$3:$A$143,$B46,Journal!$E$3:$E$143,AG$3)=0,"",SUMIFS(Journal!$D$3:$D$143,Journal!$A$3:$A$143,$B46,Journal!$E$3:$E$143,AG$3))</f>
        <v/>
      </c>
      <c r="AH46" s="86" t="str">
        <f>IF(SUMIFS(Journal!$D$3:$D$143,Journal!$A$3:$A$143,$B46,Journal!$F$3:$F$143,AG$3)=0,"",SUMIFS(Journal!$D$3:$D$143,Journal!$A$3:$A$143,$B46,Journal!$F$3:$F$143,AG$3))</f>
        <v/>
      </c>
      <c r="AI46" s="86" t="str">
        <f>IF(SUMIFS(Journal!$D$3:$D$143,Journal!$A$3:$A$143,$B46,Journal!$E$3:$E$143,AI$3)=0,"",SUMIFS(Journal!$D$3:$D$143,Journal!$A$3:$A$143,$B46,Journal!$E$3:$E$143,AI$3))</f>
        <v/>
      </c>
      <c r="AJ46" s="86" t="str">
        <f>IF(SUMIFS(Journal!$D$3:$D$143,Journal!$A$3:$A$143,$B46,Journal!$F$3:$F$143,AI$3)=0,"",SUMIFS(Journal!$D$3:$D$143,Journal!$A$3:$A$143,$B46,Journal!$F$3:$F$143,AI$3))</f>
        <v/>
      </c>
      <c r="AK46" s="86" t="str">
        <f>IF(SUMIFS(Journal!$D$3:$D$143,Journal!$A$3:$A$143,$B46,Journal!$E$3:$E$143,AK$3)=0,"",SUMIFS(Journal!$D$3:$D$143,Journal!$A$3:$A$143,$B46,Journal!$E$3:$E$143,AK$3))</f>
        <v/>
      </c>
      <c r="AL46" s="86" t="str">
        <f>IF(SUMIFS(Journal!$D$3:$D$143,Journal!$A$3:$A$143,$B46,Journal!$F$3:$F$143,AK$3)=0,"",SUMIFS(Journal!$D$3:$D$143,Journal!$A$3:$A$143,$B46,Journal!$F$3:$F$143,AK$3))</f>
        <v/>
      </c>
      <c r="AM46" s="86" t="str">
        <f>IF(SUMIFS(Journal!$D$3:$D$143,Journal!$A$3:$A$143,$B46,Journal!$E$3:$E$143,AM$3)=0,"",SUMIFS(Journal!$D$3:$D$143,Journal!$A$3:$A$143,$B46,Journal!$E$3:$E$143,AM$3))</f>
        <v/>
      </c>
      <c r="AN46" s="86" t="str">
        <f>IF(SUMIFS(Journal!$D$3:$D$143,Journal!$A$3:$A$143,$B46,Journal!$F$3:$F$143,AM$3)=0,"",SUMIFS(Journal!$D$3:$D$143,Journal!$A$3:$A$143,$B46,Journal!$F$3:$F$143,AM$3))</f>
        <v/>
      </c>
      <c r="AO46" s="86" t="str">
        <f>IF(SUMIFS(Journal!$D$3:$D$143,Journal!$A$3:$A$143,$B46,Journal!$E$3:$E$143,AO$3)=0,"",SUMIFS(Journal!$D$3:$D$143,Journal!$A$3:$A$143,$B46,Journal!$E$3:$E$143,AO$3))</f>
        <v/>
      </c>
      <c r="AP46" s="86" t="str">
        <f>IF(SUMIFS(Journal!$D$3:$D$143,Journal!$A$3:$A$143,$B46,Journal!$F$3:$F$143,AO$3)=0,"",SUMIFS(Journal!$D$3:$D$143,Journal!$A$3:$A$143,$B46,Journal!$F$3:$F$143,AO$3))</f>
        <v/>
      </c>
      <c r="AQ46" s="86" t="str">
        <f>IF(SUMIFS(Journal!$D$3:$D$143,Journal!$A$3:$A$143,$B46,Journal!$E$3:$E$143,AQ$3)=0,"",SUMIFS(Journal!$D$3:$D$143,Journal!$A$3:$A$143,$B46,Journal!$E$3:$E$143,AQ$3))</f>
        <v/>
      </c>
      <c r="AR46" s="86" t="str">
        <f>IF(SUMIFS(Journal!$D$3:$D$143,Journal!$A$3:$A$143,$B46,Journal!$F$3:$F$143,AQ$3)=0,"",SUMIFS(Journal!$D$3:$D$143,Journal!$A$3:$A$143,$B46,Journal!$F$3:$F$143,AQ$3))</f>
        <v/>
      </c>
      <c r="AS46" s="86" t="str">
        <f>IF(SUMIFS(Journal!$D$3:$D$143,Journal!$A$3:$A$143,$B46,Journal!$E$3:$E$143,AS$3)=0,"",SUMIFS(Journal!$D$3:$D$143,Journal!$A$3:$A$143,$B46,Journal!$E$3:$E$143,AS$3))</f>
        <v/>
      </c>
      <c r="AT46" s="86" t="str">
        <f>IF(SUMIFS(Journal!$D$3:$D$143,Journal!$A$3:$A$143,$B46,Journal!$F$3:$F$143,AS$3)=0,"",SUMIFS(Journal!$D$3:$D$143,Journal!$A$3:$A$143,$B46,Journal!$F$3:$F$143,AS$3))</f>
        <v/>
      </c>
      <c r="AU46" s="86" t="str">
        <f>IF(SUMIFS(Journal!$D$3:$D$143,Journal!$A$3:$A$143,$B46,Journal!$E$3:$E$143,AU$3)=0,"",SUMIFS(Journal!$D$3:$D$143,Journal!$A$3:$A$143,$B46,Journal!$E$3:$E$143,AU$3))</f>
        <v/>
      </c>
      <c r="AV46" s="86" t="str">
        <f>IF(SUMIFS(Journal!$D$3:$D$143,Journal!$A$3:$A$143,$B46,Journal!$F$3:$F$143,AU$3)=0,"",SUMIFS(Journal!$D$3:$D$143,Journal!$A$3:$A$143,$B46,Journal!$F$3:$F$143,AU$3))</f>
        <v/>
      </c>
      <c r="AW46" s="86" t="str">
        <f>IF(SUMIFS(Journal!$D$3:$D$143,Journal!$A$3:$A$143,$B46,Journal!$E$3:$E$143,AW$3)=0,"",SUMIFS(Journal!$D$3:$D$143,Journal!$A$3:$A$143,$B46,Journal!$E$3:$E$143,AW$3))</f>
        <v/>
      </c>
      <c r="AX46" s="86" t="str">
        <f>IF(SUMIFS(Journal!$D$3:$D$143,Journal!$A$3:$A$143,$B46,Journal!$F$3:$F$143,AW$3)=0,"",SUMIFS(Journal!$D$3:$D$143,Journal!$A$3:$A$143,$B46,Journal!$F$3:$F$143,AW$3))</f>
        <v/>
      </c>
      <c r="AY46" s="86" t="str">
        <f>IF(SUMIFS(Journal!$D$3:$D$143,Journal!$A$3:$A$143,$B46,Journal!$E$3:$E$143,AY$3)=0,"",SUMIFS(Journal!$D$3:$D$143,Journal!$A$3:$A$143,$B46,Journal!$E$3:$E$143,AY$3))</f>
        <v/>
      </c>
      <c r="AZ46" s="86" t="str">
        <f>IF(SUMIFS(Journal!$D$3:$D$143,Journal!$A$3:$A$143,$B46,Journal!$F$3:$F$143,AY$3)=0,"",SUMIFS(Journal!$D$3:$D$143,Journal!$A$3:$A$143,$B46,Journal!$F$3:$F$143,AY$3))</f>
        <v/>
      </c>
      <c r="BA46" s="86" t="str">
        <f>IF(SUMIFS(Journal!$D$3:$D$143,Journal!$A$3:$A$143,$B46,Journal!$E$3:$E$143,BA$3)=0,"",SUMIFS(Journal!$D$3:$D$143,Journal!$A$3:$A$143,$B46,Journal!$E$3:$E$143,BA$3))</f>
        <v/>
      </c>
      <c r="BB46" s="86" t="str">
        <f>IF(SUMIFS(Journal!$D$3:$D$143,Journal!$A$3:$A$143,$B46,Journal!$F$3:$F$143,BA$3)=0,"",SUMIFS(Journal!$D$3:$D$143,Journal!$A$3:$A$143,$B46,Journal!$F$3:$F$143,BA$3))</f>
        <v/>
      </c>
    </row>
    <row r="47">
      <c r="A47" s="84">
        <f>VLOOKUP(B47,Journal!$A$3:$C$143,2,FALSE)</f>
        <v>45402</v>
      </c>
      <c r="B47" s="85" t="s">
        <v>353</v>
      </c>
      <c r="C47" s="86" t="str">
        <f>VLOOKUP(B47,Journal!$A$3:$C$143,3,FALSE)</f>
        <v>Guided tour revenue</v>
      </c>
      <c r="D47" s="86">
        <f>SUMIF(Journal!$A$3:$A$143,B47,Journal!$D$3:$D$143)</f>
        <v>7000</v>
      </c>
      <c r="E47" s="86">
        <f>IF(SUMIFS(Journal!$D$3:$D$143,Journal!$A$3:$A$143,$B47,Journal!$E$3:$E$143,E$3)=0,"",SUMIFS(Journal!$D$3:$D$143,Journal!$A$3:$A$143,$B47,Journal!$E$3:$E$143,E$3))</f>
        <v>7000</v>
      </c>
      <c r="F47" s="86" t="str">
        <f>IF(SUMIFS(Journal!$D$3:$D$143,Journal!$A$3:$A$143,$B47,Journal!$F$3:$F$143,E$3)=0,"",SUMIFS(Journal!$D$3:$D$143,Journal!$A$3:$A$143,$B47,Journal!$F$3:$F$143,E$3))</f>
        <v/>
      </c>
      <c r="G47" s="86" t="str">
        <f>IF(SUMIFS(Journal!$D$3:$D$143,Journal!$A$3:$A$143,$B47,Journal!$E$3:$E$143,G$3)=0,"",SUMIFS(Journal!$D$3:$D$143,Journal!$A$3:$A$143,$B47,Journal!$E$3:$E$143,G$3))</f>
        <v/>
      </c>
      <c r="H47" s="86" t="str">
        <f>IF(SUMIFS(Journal!$D$3:$D$143,Journal!$A$3:$A$143,$B47,Journal!$F$3:$F$143,G$3)=0,"",SUMIFS(Journal!$D$3:$D$143,Journal!$A$3:$A$143,$B47,Journal!$F$3:$F$143,G$3))</f>
        <v/>
      </c>
      <c r="I47" s="86" t="str">
        <f>IF(SUMIFS(Journal!$D$3:$D$143,Journal!$A$3:$A$143,$B47,Journal!$E$3:$E$143,I$3)=0,"",SUMIFS(Journal!$D$3:$D$143,Journal!$A$3:$A$143,$B47,Journal!$E$3:$E$143,I$3))</f>
        <v/>
      </c>
      <c r="J47" s="86" t="str">
        <f>IF(SUMIFS(Journal!$D$3:$D$143,Journal!$A$3:$A$143,$B47,Journal!$F$3:$F$143,I$3)=0,"",SUMIFS(Journal!$D$3:$D$143,Journal!$A$3:$A$143,$B47,Journal!$F$3:$F$143,I$3))</f>
        <v/>
      </c>
      <c r="K47" s="86" t="str">
        <f>IF(SUMIFS(Journal!$D$3:$D$143,Journal!$A$3:$A$143,$B47,Journal!$E$3:$E$143,K$3)=0,"",SUMIFS(Journal!$D$3:$D$143,Journal!$A$3:$A$143,$B47,Journal!$E$3:$E$143,K$3))</f>
        <v/>
      </c>
      <c r="L47" s="86" t="str">
        <f>IF(SUMIFS(Journal!$D$3:$D$143,Journal!$A$3:$A$143,$B47,Journal!$F$3:$F$143,K$3)=0,"",SUMIFS(Journal!$D$3:$D$143,Journal!$A$3:$A$143,$B47,Journal!$F$3:$F$143,K$3))</f>
        <v/>
      </c>
      <c r="M47" s="86" t="str">
        <f>IF(SUMIFS(Journal!$D$3:$D$143,Journal!$A$3:$A$143,$B47,Journal!$E$3:$E$143,M$3)=0,"",SUMIFS(Journal!$D$3:$D$143,Journal!$A$3:$A$143,$B47,Journal!$E$3:$E$143,M$3))</f>
        <v/>
      </c>
      <c r="N47" s="86" t="str">
        <f>IF(SUMIFS(Journal!$D$3:$D$143,Journal!$A$3:$A$143,$B47,Journal!$F$3:$F$143,M$3)=0,"",SUMIFS(Journal!$D$3:$D$143,Journal!$A$3:$A$143,$B47,Journal!$F$3:$F$143,M$3))</f>
        <v/>
      </c>
      <c r="O47" s="86" t="str">
        <f>IF(SUMIFS(Journal!$D$3:$D$143,Journal!$A$3:$A$143,$B47,Journal!$E$3:$E$143,O$3)=0,"",SUMIFS(Journal!$D$3:$D$143,Journal!$A$3:$A$143,$B47,Journal!$E$3:$E$143,O$3))</f>
        <v/>
      </c>
      <c r="P47" s="86" t="str">
        <f>IF(SUMIFS(Journal!$D$3:$D$143,Journal!$A$3:$A$143,$B47,Journal!$F$3:$F$143,O$3)=0,"",SUMIFS(Journal!$D$3:$D$143,Journal!$A$3:$A$143,$B47,Journal!$F$3:$F$143,O$3))</f>
        <v/>
      </c>
      <c r="Q47" s="86" t="str">
        <f>IF(SUMIFS(Journal!$D$3:$D$143,Journal!$A$3:$A$143,$B47,Journal!$E$3:$E$143,Q$3)=0,"",SUMIFS(Journal!$D$3:$D$143,Journal!$A$3:$A$143,$B47,Journal!$E$3:$E$143,Q$3))</f>
        <v/>
      </c>
      <c r="R47" s="86" t="str">
        <f>IF(SUMIFS(Journal!$D$3:$D$143,Journal!$A$3:$A$143,$B47,Journal!$F$3:$F$143,Q$3)=0,"",SUMIFS(Journal!$D$3:$D$143,Journal!$A$3:$A$143,$B47,Journal!$F$3:$F$143,Q$3))</f>
        <v/>
      </c>
      <c r="S47" s="86" t="str">
        <f>IF(SUMIFS(Journal!$D$3:$D$143,Journal!$A$3:$A$143,$B47,Journal!$E$3:$E$143,S$3)=0,"",SUMIFS(Journal!$D$3:$D$143,Journal!$A$3:$A$143,$B47,Journal!$E$3:$E$143,S$3))</f>
        <v/>
      </c>
      <c r="T47" s="86" t="str">
        <f>IF(SUMIFS(Journal!$D$3:$D$143,Journal!$A$3:$A$143,$B47,Journal!$F$3:$F$143,S$3)=0,"",SUMIFS(Journal!$D$3:$D$143,Journal!$A$3:$A$143,$B47,Journal!$F$3:$F$143,S$3))</f>
        <v/>
      </c>
      <c r="U47" s="86" t="str">
        <f>IF(SUMIFS(Journal!$D$3:$D$143,Journal!$A$3:$A$143,$B47,Journal!$E$3:$E$143,U$3)=0,"",SUMIFS(Journal!$D$3:$D$143,Journal!$A$3:$A$143,$B47,Journal!$E$3:$E$143,U$3))</f>
        <v/>
      </c>
      <c r="V47" s="86" t="str">
        <f>IF(SUMIFS(Journal!$D$3:$D$143,Journal!$A$3:$A$143,$B47,Journal!$F$3:$F$143,U$3)=0,"",SUMIFS(Journal!$D$3:$D$143,Journal!$A$3:$A$143,$B47,Journal!$F$3:$F$143,U$3))</f>
        <v/>
      </c>
      <c r="W47" s="86" t="str">
        <f>IF(SUMIFS(Journal!$D$3:$D$143,Journal!$A$3:$A$143,$B47,Journal!$E$3:$E$143,W$3)=0,"",SUMIFS(Journal!$D$3:$D$143,Journal!$A$3:$A$143,$B47,Journal!$E$3:$E$143,W$3))</f>
        <v/>
      </c>
      <c r="X47" s="86" t="str">
        <f>IF(SUMIFS(Journal!$D$3:$D$143,Journal!$A$3:$A$143,$B47,Journal!$F$3:$F$143,W$3)=0,"",SUMIFS(Journal!$D$3:$D$143,Journal!$A$3:$A$143,$B47,Journal!$F$3:$F$143,W$3))</f>
        <v/>
      </c>
      <c r="Y47" s="86" t="str">
        <f>IF(SUMIFS(Journal!$D$3:$D$143,Journal!$A$3:$A$143,$B47,Journal!$E$3:$E$143,Y$3)=0,"",SUMIFS(Journal!$D$3:$D$143,Journal!$A$3:$A$143,$B47,Journal!$E$3:$E$143,Y$3))</f>
        <v/>
      </c>
      <c r="Z47" s="86">
        <f>IF(SUMIFS(Journal!$D$3:$D$143,Journal!$A$3:$A$143,$B47,Journal!$F$3:$F$143,Y$3)=0,"",SUMIFS(Journal!$D$3:$D$143,Journal!$A$3:$A$143,$B47,Journal!$F$3:$F$143,Y$3))</f>
        <v>7000</v>
      </c>
      <c r="AA47" s="86" t="str">
        <f>IF(SUMIFS(Journal!$D$3:$D$143,Journal!$A$3:$A$143,$B47,Journal!$E$3:$E$143,AA$3)=0,"",SUMIFS(Journal!$D$3:$D$143,Journal!$A$3:$A$143,$B47,Journal!$E$3:$E$143,AA$3))</f>
        <v/>
      </c>
      <c r="AB47" s="86" t="str">
        <f>IF(SUMIFS(Journal!$D$3:$D$143,Journal!$A$3:$A$143,$B47,Journal!$F$3:$F$143,AA$3)=0,"",SUMIFS(Journal!$D$3:$D$143,Journal!$A$3:$A$143,$B47,Journal!$F$3:$F$143,AA$3))</f>
        <v/>
      </c>
      <c r="AC47" s="86" t="str">
        <f>IF(SUMIFS(Journal!$D$3:$D$143,Journal!$A$3:$A$143,$B47,Journal!$E$3:$E$143,AC$3)=0,"",SUMIFS(Journal!$D$3:$D$143,Journal!$A$3:$A$143,$B47,Journal!$E$3:$E$143,AC$3))</f>
        <v/>
      </c>
      <c r="AD47" s="86" t="str">
        <f>IF(SUMIFS(Journal!$D$3:$D$143,Journal!$A$3:$A$143,$B47,Journal!$F$3:$F$143,AC$3)=0,"",SUMIFS(Journal!$D$3:$D$143,Journal!$A$3:$A$143,$B47,Journal!$F$3:$F$143,AC$3))</f>
        <v/>
      </c>
      <c r="AE47" s="86" t="str">
        <f>IF(SUMIFS(Journal!$D$3:$D$143,Journal!$A$3:$A$143,$B47,Journal!$E$3:$E$143,AE$3)=0,"",SUMIFS(Journal!$D$3:$D$143,Journal!$A$3:$A$143,$B47,Journal!$E$3:$E$143,AE$3))</f>
        <v/>
      </c>
      <c r="AF47" s="86" t="str">
        <f>IF(SUMIFS(Journal!$D$3:$D$143,Journal!$A$3:$A$143,$B47,Journal!$F$3:$F$143,AE$3)=0,"",SUMIFS(Journal!$D$3:$D$143,Journal!$A$3:$A$143,$B47,Journal!$F$3:$F$143,AE$3))</f>
        <v/>
      </c>
      <c r="AG47" s="86" t="str">
        <f>IF(SUMIFS(Journal!$D$3:$D$143,Journal!$A$3:$A$143,$B47,Journal!$E$3:$E$143,AG$3)=0,"",SUMIFS(Journal!$D$3:$D$143,Journal!$A$3:$A$143,$B47,Journal!$E$3:$E$143,AG$3))</f>
        <v/>
      </c>
      <c r="AH47" s="86" t="str">
        <f>IF(SUMIFS(Journal!$D$3:$D$143,Journal!$A$3:$A$143,$B47,Journal!$F$3:$F$143,AG$3)=0,"",SUMIFS(Journal!$D$3:$D$143,Journal!$A$3:$A$143,$B47,Journal!$F$3:$F$143,AG$3))</f>
        <v/>
      </c>
      <c r="AI47" s="86" t="str">
        <f>IF(SUMIFS(Journal!$D$3:$D$143,Journal!$A$3:$A$143,$B47,Journal!$E$3:$E$143,AI$3)=0,"",SUMIFS(Journal!$D$3:$D$143,Journal!$A$3:$A$143,$B47,Journal!$E$3:$E$143,AI$3))</f>
        <v/>
      </c>
      <c r="AJ47" s="86" t="str">
        <f>IF(SUMIFS(Journal!$D$3:$D$143,Journal!$A$3:$A$143,$B47,Journal!$F$3:$F$143,AI$3)=0,"",SUMIFS(Journal!$D$3:$D$143,Journal!$A$3:$A$143,$B47,Journal!$F$3:$F$143,AI$3))</f>
        <v/>
      </c>
      <c r="AK47" s="86" t="str">
        <f>IF(SUMIFS(Journal!$D$3:$D$143,Journal!$A$3:$A$143,$B47,Journal!$E$3:$E$143,AK$3)=0,"",SUMIFS(Journal!$D$3:$D$143,Journal!$A$3:$A$143,$B47,Journal!$E$3:$E$143,AK$3))</f>
        <v/>
      </c>
      <c r="AL47" s="86" t="str">
        <f>IF(SUMIFS(Journal!$D$3:$D$143,Journal!$A$3:$A$143,$B47,Journal!$F$3:$F$143,AK$3)=0,"",SUMIFS(Journal!$D$3:$D$143,Journal!$A$3:$A$143,$B47,Journal!$F$3:$F$143,AK$3))</f>
        <v/>
      </c>
      <c r="AM47" s="86" t="str">
        <f>IF(SUMIFS(Journal!$D$3:$D$143,Journal!$A$3:$A$143,$B47,Journal!$E$3:$E$143,AM$3)=0,"",SUMIFS(Journal!$D$3:$D$143,Journal!$A$3:$A$143,$B47,Journal!$E$3:$E$143,AM$3))</f>
        <v/>
      </c>
      <c r="AN47" s="86" t="str">
        <f>IF(SUMIFS(Journal!$D$3:$D$143,Journal!$A$3:$A$143,$B47,Journal!$F$3:$F$143,AM$3)=0,"",SUMIFS(Journal!$D$3:$D$143,Journal!$A$3:$A$143,$B47,Journal!$F$3:$F$143,AM$3))</f>
        <v/>
      </c>
      <c r="AO47" s="86" t="str">
        <f>IF(SUMIFS(Journal!$D$3:$D$143,Journal!$A$3:$A$143,$B47,Journal!$E$3:$E$143,AO$3)=0,"",SUMIFS(Journal!$D$3:$D$143,Journal!$A$3:$A$143,$B47,Journal!$E$3:$E$143,AO$3))</f>
        <v/>
      </c>
      <c r="AP47" s="86" t="str">
        <f>IF(SUMIFS(Journal!$D$3:$D$143,Journal!$A$3:$A$143,$B47,Journal!$F$3:$F$143,AO$3)=0,"",SUMIFS(Journal!$D$3:$D$143,Journal!$A$3:$A$143,$B47,Journal!$F$3:$F$143,AO$3))</f>
        <v/>
      </c>
      <c r="AQ47" s="86" t="str">
        <f>IF(SUMIFS(Journal!$D$3:$D$143,Journal!$A$3:$A$143,$B47,Journal!$E$3:$E$143,AQ$3)=0,"",SUMIFS(Journal!$D$3:$D$143,Journal!$A$3:$A$143,$B47,Journal!$E$3:$E$143,AQ$3))</f>
        <v/>
      </c>
      <c r="AR47" s="86" t="str">
        <f>IF(SUMIFS(Journal!$D$3:$D$143,Journal!$A$3:$A$143,$B47,Journal!$F$3:$F$143,AQ$3)=0,"",SUMIFS(Journal!$D$3:$D$143,Journal!$A$3:$A$143,$B47,Journal!$F$3:$F$143,AQ$3))</f>
        <v/>
      </c>
      <c r="AS47" s="86" t="str">
        <f>IF(SUMIFS(Journal!$D$3:$D$143,Journal!$A$3:$A$143,$B47,Journal!$E$3:$E$143,AS$3)=0,"",SUMIFS(Journal!$D$3:$D$143,Journal!$A$3:$A$143,$B47,Journal!$E$3:$E$143,AS$3))</f>
        <v/>
      </c>
      <c r="AT47" s="86" t="str">
        <f>IF(SUMIFS(Journal!$D$3:$D$143,Journal!$A$3:$A$143,$B47,Journal!$F$3:$F$143,AS$3)=0,"",SUMIFS(Journal!$D$3:$D$143,Journal!$A$3:$A$143,$B47,Journal!$F$3:$F$143,AS$3))</f>
        <v/>
      </c>
      <c r="AU47" s="86" t="str">
        <f>IF(SUMIFS(Journal!$D$3:$D$143,Journal!$A$3:$A$143,$B47,Journal!$E$3:$E$143,AU$3)=0,"",SUMIFS(Journal!$D$3:$D$143,Journal!$A$3:$A$143,$B47,Journal!$E$3:$E$143,AU$3))</f>
        <v/>
      </c>
      <c r="AV47" s="86" t="str">
        <f>IF(SUMIFS(Journal!$D$3:$D$143,Journal!$A$3:$A$143,$B47,Journal!$F$3:$F$143,AU$3)=0,"",SUMIFS(Journal!$D$3:$D$143,Journal!$A$3:$A$143,$B47,Journal!$F$3:$F$143,AU$3))</f>
        <v/>
      </c>
      <c r="AW47" s="86" t="str">
        <f>IF(SUMIFS(Journal!$D$3:$D$143,Journal!$A$3:$A$143,$B47,Journal!$E$3:$E$143,AW$3)=0,"",SUMIFS(Journal!$D$3:$D$143,Journal!$A$3:$A$143,$B47,Journal!$E$3:$E$143,AW$3))</f>
        <v/>
      </c>
      <c r="AX47" s="86" t="str">
        <f>IF(SUMIFS(Journal!$D$3:$D$143,Journal!$A$3:$A$143,$B47,Journal!$F$3:$F$143,AW$3)=0,"",SUMIFS(Journal!$D$3:$D$143,Journal!$A$3:$A$143,$B47,Journal!$F$3:$F$143,AW$3))</f>
        <v/>
      </c>
      <c r="AY47" s="86" t="str">
        <f>IF(SUMIFS(Journal!$D$3:$D$143,Journal!$A$3:$A$143,$B47,Journal!$E$3:$E$143,AY$3)=0,"",SUMIFS(Journal!$D$3:$D$143,Journal!$A$3:$A$143,$B47,Journal!$E$3:$E$143,AY$3))</f>
        <v/>
      </c>
      <c r="AZ47" s="86" t="str">
        <f>IF(SUMIFS(Journal!$D$3:$D$143,Journal!$A$3:$A$143,$B47,Journal!$F$3:$F$143,AY$3)=0,"",SUMIFS(Journal!$D$3:$D$143,Journal!$A$3:$A$143,$B47,Journal!$F$3:$F$143,AY$3))</f>
        <v/>
      </c>
      <c r="BA47" s="86" t="str">
        <f>IF(SUMIFS(Journal!$D$3:$D$143,Journal!$A$3:$A$143,$B47,Journal!$E$3:$E$143,BA$3)=0,"",SUMIFS(Journal!$D$3:$D$143,Journal!$A$3:$A$143,$B47,Journal!$E$3:$E$143,BA$3))</f>
        <v/>
      </c>
      <c r="BB47" s="86" t="str">
        <f>IF(SUMIFS(Journal!$D$3:$D$143,Journal!$A$3:$A$143,$B47,Journal!$F$3:$F$143,BA$3)=0,"",SUMIFS(Journal!$D$3:$D$143,Journal!$A$3:$A$143,$B47,Journal!$F$3:$F$143,BA$3))</f>
        <v/>
      </c>
    </row>
    <row r="48">
      <c r="A48" s="84">
        <f>VLOOKUP(B48,Journal!$A$3:$C$143,2,FALSE)</f>
        <v>45404</v>
      </c>
      <c r="B48" s="85" t="s">
        <v>357</v>
      </c>
      <c r="C48" s="86" t="str">
        <f>VLOOKUP(B48,Journal!$A$3:$C$143,3,FALSE)</f>
        <v>Seasonal guide safety course</v>
      </c>
      <c r="D48" s="86">
        <f>SUMIF(Journal!$A$3:$A$143,B48,Journal!$D$3:$D$143)</f>
        <v>1800</v>
      </c>
      <c r="E48" s="86" t="str">
        <f>IF(SUMIFS(Journal!$D$3:$D$143,Journal!$A$3:$A$143,$B48,Journal!$E$3:$E$143,E$3)=0,"",SUMIFS(Journal!$D$3:$D$143,Journal!$A$3:$A$143,$B48,Journal!$E$3:$E$143,E$3))</f>
        <v/>
      </c>
      <c r="F48" s="86">
        <f>IF(SUMIFS(Journal!$D$3:$D$143,Journal!$A$3:$A$143,$B48,Journal!$F$3:$F$143,E$3)=0,"",SUMIFS(Journal!$D$3:$D$143,Journal!$A$3:$A$143,$B48,Journal!$F$3:$F$143,E$3))</f>
        <v>1800</v>
      </c>
      <c r="G48" s="86" t="str">
        <f>IF(SUMIFS(Journal!$D$3:$D$143,Journal!$A$3:$A$143,$B48,Journal!$E$3:$E$143,G$3)=0,"",SUMIFS(Journal!$D$3:$D$143,Journal!$A$3:$A$143,$B48,Journal!$E$3:$E$143,G$3))</f>
        <v/>
      </c>
      <c r="H48" s="86" t="str">
        <f>IF(SUMIFS(Journal!$D$3:$D$143,Journal!$A$3:$A$143,$B48,Journal!$F$3:$F$143,G$3)=0,"",SUMIFS(Journal!$D$3:$D$143,Journal!$A$3:$A$143,$B48,Journal!$F$3:$F$143,G$3))</f>
        <v/>
      </c>
      <c r="I48" s="86" t="str">
        <f>IF(SUMIFS(Journal!$D$3:$D$143,Journal!$A$3:$A$143,$B48,Journal!$E$3:$E$143,I$3)=0,"",SUMIFS(Journal!$D$3:$D$143,Journal!$A$3:$A$143,$B48,Journal!$E$3:$E$143,I$3))</f>
        <v/>
      </c>
      <c r="J48" s="86" t="str">
        <f>IF(SUMIFS(Journal!$D$3:$D$143,Journal!$A$3:$A$143,$B48,Journal!$F$3:$F$143,I$3)=0,"",SUMIFS(Journal!$D$3:$D$143,Journal!$A$3:$A$143,$B48,Journal!$F$3:$F$143,I$3))</f>
        <v/>
      </c>
      <c r="K48" s="86" t="str">
        <f>IF(SUMIFS(Journal!$D$3:$D$143,Journal!$A$3:$A$143,$B48,Journal!$E$3:$E$143,K$3)=0,"",SUMIFS(Journal!$D$3:$D$143,Journal!$A$3:$A$143,$B48,Journal!$E$3:$E$143,K$3))</f>
        <v/>
      </c>
      <c r="L48" s="86" t="str">
        <f>IF(SUMIFS(Journal!$D$3:$D$143,Journal!$A$3:$A$143,$B48,Journal!$F$3:$F$143,K$3)=0,"",SUMIFS(Journal!$D$3:$D$143,Journal!$A$3:$A$143,$B48,Journal!$F$3:$F$143,K$3))</f>
        <v/>
      </c>
      <c r="M48" s="86" t="str">
        <f>IF(SUMIFS(Journal!$D$3:$D$143,Journal!$A$3:$A$143,$B48,Journal!$E$3:$E$143,M$3)=0,"",SUMIFS(Journal!$D$3:$D$143,Journal!$A$3:$A$143,$B48,Journal!$E$3:$E$143,M$3))</f>
        <v/>
      </c>
      <c r="N48" s="86" t="str">
        <f>IF(SUMIFS(Journal!$D$3:$D$143,Journal!$A$3:$A$143,$B48,Journal!$F$3:$F$143,M$3)=0,"",SUMIFS(Journal!$D$3:$D$143,Journal!$A$3:$A$143,$B48,Journal!$F$3:$F$143,M$3))</f>
        <v/>
      </c>
      <c r="O48" s="86" t="str">
        <f>IF(SUMIFS(Journal!$D$3:$D$143,Journal!$A$3:$A$143,$B48,Journal!$E$3:$E$143,O$3)=0,"",SUMIFS(Journal!$D$3:$D$143,Journal!$A$3:$A$143,$B48,Journal!$E$3:$E$143,O$3))</f>
        <v/>
      </c>
      <c r="P48" s="86" t="str">
        <f>IF(SUMIFS(Journal!$D$3:$D$143,Journal!$A$3:$A$143,$B48,Journal!$F$3:$F$143,O$3)=0,"",SUMIFS(Journal!$D$3:$D$143,Journal!$A$3:$A$143,$B48,Journal!$F$3:$F$143,O$3))</f>
        <v/>
      </c>
      <c r="Q48" s="86" t="str">
        <f>IF(SUMIFS(Journal!$D$3:$D$143,Journal!$A$3:$A$143,$B48,Journal!$E$3:$E$143,Q$3)=0,"",SUMIFS(Journal!$D$3:$D$143,Journal!$A$3:$A$143,$B48,Journal!$E$3:$E$143,Q$3))</f>
        <v/>
      </c>
      <c r="R48" s="86" t="str">
        <f>IF(SUMIFS(Journal!$D$3:$D$143,Journal!$A$3:$A$143,$B48,Journal!$F$3:$F$143,Q$3)=0,"",SUMIFS(Journal!$D$3:$D$143,Journal!$A$3:$A$143,$B48,Journal!$F$3:$F$143,Q$3))</f>
        <v/>
      </c>
      <c r="S48" s="86" t="str">
        <f>IF(SUMIFS(Journal!$D$3:$D$143,Journal!$A$3:$A$143,$B48,Journal!$E$3:$E$143,S$3)=0,"",SUMIFS(Journal!$D$3:$D$143,Journal!$A$3:$A$143,$B48,Journal!$E$3:$E$143,S$3))</f>
        <v/>
      </c>
      <c r="T48" s="86" t="str">
        <f>IF(SUMIFS(Journal!$D$3:$D$143,Journal!$A$3:$A$143,$B48,Journal!$F$3:$F$143,S$3)=0,"",SUMIFS(Journal!$D$3:$D$143,Journal!$A$3:$A$143,$B48,Journal!$F$3:$F$143,S$3))</f>
        <v/>
      </c>
      <c r="U48" s="86" t="str">
        <f>IF(SUMIFS(Journal!$D$3:$D$143,Journal!$A$3:$A$143,$B48,Journal!$E$3:$E$143,U$3)=0,"",SUMIFS(Journal!$D$3:$D$143,Journal!$A$3:$A$143,$B48,Journal!$E$3:$E$143,U$3))</f>
        <v/>
      </c>
      <c r="V48" s="86" t="str">
        <f>IF(SUMIFS(Journal!$D$3:$D$143,Journal!$A$3:$A$143,$B48,Journal!$F$3:$F$143,U$3)=0,"",SUMIFS(Journal!$D$3:$D$143,Journal!$A$3:$A$143,$B48,Journal!$F$3:$F$143,U$3))</f>
        <v/>
      </c>
      <c r="W48" s="86" t="str">
        <f>IF(SUMIFS(Journal!$D$3:$D$143,Journal!$A$3:$A$143,$B48,Journal!$E$3:$E$143,W$3)=0,"",SUMIFS(Journal!$D$3:$D$143,Journal!$A$3:$A$143,$B48,Journal!$E$3:$E$143,W$3))</f>
        <v/>
      </c>
      <c r="X48" s="86" t="str">
        <f>IF(SUMIFS(Journal!$D$3:$D$143,Journal!$A$3:$A$143,$B48,Journal!$F$3:$F$143,W$3)=0,"",SUMIFS(Journal!$D$3:$D$143,Journal!$A$3:$A$143,$B48,Journal!$F$3:$F$143,W$3))</f>
        <v/>
      </c>
      <c r="Y48" s="86" t="str">
        <f>IF(SUMIFS(Journal!$D$3:$D$143,Journal!$A$3:$A$143,$B48,Journal!$E$3:$E$143,Y$3)=0,"",SUMIFS(Journal!$D$3:$D$143,Journal!$A$3:$A$143,$B48,Journal!$E$3:$E$143,Y$3))</f>
        <v/>
      </c>
      <c r="Z48" s="86" t="str">
        <f>IF(SUMIFS(Journal!$D$3:$D$143,Journal!$A$3:$A$143,$B48,Journal!$F$3:$F$143,Y$3)=0,"",SUMIFS(Journal!$D$3:$D$143,Journal!$A$3:$A$143,$B48,Journal!$F$3:$F$143,Y$3))</f>
        <v/>
      </c>
      <c r="AA48" s="86" t="str">
        <f>IF(SUMIFS(Journal!$D$3:$D$143,Journal!$A$3:$A$143,$B48,Journal!$E$3:$E$143,AA$3)=0,"",SUMIFS(Journal!$D$3:$D$143,Journal!$A$3:$A$143,$B48,Journal!$E$3:$E$143,AA$3))</f>
        <v/>
      </c>
      <c r="AB48" s="86" t="str">
        <f>IF(SUMIFS(Journal!$D$3:$D$143,Journal!$A$3:$A$143,$B48,Journal!$F$3:$F$143,AA$3)=0,"",SUMIFS(Journal!$D$3:$D$143,Journal!$A$3:$A$143,$B48,Journal!$F$3:$F$143,AA$3))</f>
        <v/>
      </c>
      <c r="AC48" s="86" t="str">
        <f>IF(SUMIFS(Journal!$D$3:$D$143,Journal!$A$3:$A$143,$B48,Journal!$E$3:$E$143,AC$3)=0,"",SUMIFS(Journal!$D$3:$D$143,Journal!$A$3:$A$143,$B48,Journal!$E$3:$E$143,AC$3))</f>
        <v/>
      </c>
      <c r="AD48" s="86" t="str">
        <f>IF(SUMIFS(Journal!$D$3:$D$143,Journal!$A$3:$A$143,$B48,Journal!$F$3:$F$143,AC$3)=0,"",SUMIFS(Journal!$D$3:$D$143,Journal!$A$3:$A$143,$B48,Journal!$F$3:$F$143,AC$3))</f>
        <v/>
      </c>
      <c r="AE48" s="86" t="str">
        <f>IF(SUMIFS(Journal!$D$3:$D$143,Journal!$A$3:$A$143,$B48,Journal!$E$3:$E$143,AE$3)=0,"",SUMIFS(Journal!$D$3:$D$143,Journal!$A$3:$A$143,$B48,Journal!$E$3:$E$143,AE$3))</f>
        <v/>
      </c>
      <c r="AF48" s="86" t="str">
        <f>IF(SUMIFS(Journal!$D$3:$D$143,Journal!$A$3:$A$143,$B48,Journal!$F$3:$F$143,AE$3)=0,"",SUMIFS(Journal!$D$3:$D$143,Journal!$A$3:$A$143,$B48,Journal!$F$3:$F$143,AE$3))</f>
        <v/>
      </c>
      <c r="AG48" s="86" t="str">
        <f>IF(SUMIFS(Journal!$D$3:$D$143,Journal!$A$3:$A$143,$B48,Journal!$E$3:$E$143,AG$3)=0,"",SUMIFS(Journal!$D$3:$D$143,Journal!$A$3:$A$143,$B48,Journal!$E$3:$E$143,AG$3))</f>
        <v/>
      </c>
      <c r="AH48" s="86" t="str">
        <f>IF(SUMIFS(Journal!$D$3:$D$143,Journal!$A$3:$A$143,$B48,Journal!$F$3:$F$143,AG$3)=0,"",SUMIFS(Journal!$D$3:$D$143,Journal!$A$3:$A$143,$B48,Journal!$F$3:$F$143,AG$3))</f>
        <v/>
      </c>
      <c r="AI48" s="86" t="str">
        <f>IF(SUMIFS(Journal!$D$3:$D$143,Journal!$A$3:$A$143,$B48,Journal!$E$3:$E$143,AI$3)=0,"",SUMIFS(Journal!$D$3:$D$143,Journal!$A$3:$A$143,$B48,Journal!$E$3:$E$143,AI$3))</f>
        <v/>
      </c>
      <c r="AJ48" s="86" t="str">
        <f>IF(SUMIFS(Journal!$D$3:$D$143,Journal!$A$3:$A$143,$B48,Journal!$F$3:$F$143,AI$3)=0,"",SUMIFS(Journal!$D$3:$D$143,Journal!$A$3:$A$143,$B48,Journal!$F$3:$F$143,AI$3))</f>
        <v/>
      </c>
      <c r="AK48" s="86" t="str">
        <f>IF(SUMIFS(Journal!$D$3:$D$143,Journal!$A$3:$A$143,$B48,Journal!$E$3:$E$143,AK$3)=0,"",SUMIFS(Journal!$D$3:$D$143,Journal!$A$3:$A$143,$B48,Journal!$E$3:$E$143,AK$3))</f>
        <v/>
      </c>
      <c r="AL48" s="86" t="str">
        <f>IF(SUMIFS(Journal!$D$3:$D$143,Journal!$A$3:$A$143,$B48,Journal!$F$3:$F$143,AK$3)=0,"",SUMIFS(Journal!$D$3:$D$143,Journal!$A$3:$A$143,$B48,Journal!$F$3:$F$143,AK$3))</f>
        <v/>
      </c>
      <c r="AM48" s="86" t="str">
        <f>IF(SUMIFS(Journal!$D$3:$D$143,Journal!$A$3:$A$143,$B48,Journal!$E$3:$E$143,AM$3)=0,"",SUMIFS(Journal!$D$3:$D$143,Journal!$A$3:$A$143,$B48,Journal!$E$3:$E$143,AM$3))</f>
        <v/>
      </c>
      <c r="AN48" s="86" t="str">
        <f>IF(SUMIFS(Journal!$D$3:$D$143,Journal!$A$3:$A$143,$B48,Journal!$F$3:$F$143,AM$3)=0,"",SUMIFS(Journal!$D$3:$D$143,Journal!$A$3:$A$143,$B48,Journal!$F$3:$F$143,AM$3))</f>
        <v/>
      </c>
      <c r="AO48" s="86" t="str">
        <f>IF(SUMIFS(Journal!$D$3:$D$143,Journal!$A$3:$A$143,$B48,Journal!$E$3:$E$143,AO$3)=0,"",SUMIFS(Journal!$D$3:$D$143,Journal!$A$3:$A$143,$B48,Journal!$E$3:$E$143,AO$3))</f>
        <v/>
      </c>
      <c r="AP48" s="86" t="str">
        <f>IF(SUMIFS(Journal!$D$3:$D$143,Journal!$A$3:$A$143,$B48,Journal!$F$3:$F$143,AO$3)=0,"",SUMIFS(Journal!$D$3:$D$143,Journal!$A$3:$A$143,$B48,Journal!$F$3:$F$143,AO$3))</f>
        <v/>
      </c>
      <c r="AQ48" s="86" t="str">
        <f>IF(SUMIFS(Journal!$D$3:$D$143,Journal!$A$3:$A$143,$B48,Journal!$E$3:$E$143,AQ$3)=0,"",SUMIFS(Journal!$D$3:$D$143,Journal!$A$3:$A$143,$B48,Journal!$E$3:$E$143,AQ$3))</f>
        <v/>
      </c>
      <c r="AR48" s="86" t="str">
        <f>IF(SUMIFS(Journal!$D$3:$D$143,Journal!$A$3:$A$143,$B48,Journal!$F$3:$F$143,AQ$3)=0,"",SUMIFS(Journal!$D$3:$D$143,Journal!$A$3:$A$143,$B48,Journal!$F$3:$F$143,AQ$3))</f>
        <v/>
      </c>
      <c r="AS48" s="86" t="str">
        <f>IF(SUMIFS(Journal!$D$3:$D$143,Journal!$A$3:$A$143,$B48,Journal!$E$3:$E$143,AS$3)=0,"",SUMIFS(Journal!$D$3:$D$143,Journal!$A$3:$A$143,$B48,Journal!$E$3:$E$143,AS$3))</f>
        <v/>
      </c>
      <c r="AT48" s="86" t="str">
        <f>IF(SUMIFS(Journal!$D$3:$D$143,Journal!$A$3:$A$143,$B48,Journal!$F$3:$F$143,AS$3)=0,"",SUMIFS(Journal!$D$3:$D$143,Journal!$A$3:$A$143,$B48,Journal!$F$3:$F$143,AS$3))</f>
        <v/>
      </c>
      <c r="AU48" s="86" t="str">
        <f>IF(SUMIFS(Journal!$D$3:$D$143,Journal!$A$3:$A$143,$B48,Journal!$E$3:$E$143,AU$3)=0,"",SUMIFS(Journal!$D$3:$D$143,Journal!$A$3:$A$143,$B48,Journal!$E$3:$E$143,AU$3))</f>
        <v/>
      </c>
      <c r="AV48" s="86" t="str">
        <f>IF(SUMIFS(Journal!$D$3:$D$143,Journal!$A$3:$A$143,$B48,Journal!$F$3:$F$143,AU$3)=0,"",SUMIFS(Journal!$D$3:$D$143,Journal!$A$3:$A$143,$B48,Journal!$F$3:$F$143,AU$3))</f>
        <v/>
      </c>
      <c r="AW48" s="86" t="str">
        <f>IF(SUMIFS(Journal!$D$3:$D$143,Journal!$A$3:$A$143,$B48,Journal!$E$3:$E$143,AW$3)=0,"",SUMIFS(Journal!$D$3:$D$143,Journal!$A$3:$A$143,$B48,Journal!$E$3:$E$143,AW$3))</f>
        <v/>
      </c>
      <c r="AX48" s="86" t="str">
        <f>IF(SUMIFS(Journal!$D$3:$D$143,Journal!$A$3:$A$143,$B48,Journal!$F$3:$F$143,AW$3)=0,"",SUMIFS(Journal!$D$3:$D$143,Journal!$A$3:$A$143,$B48,Journal!$F$3:$F$143,AW$3))</f>
        <v/>
      </c>
      <c r="AY48" s="86">
        <f>IF(SUMIFS(Journal!$D$3:$D$143,Journal!$A$3:$A$143,$B48,Journal!$E$3:$E$143,AY$3)=0,"",SUMIFS(Journal!$D$3:$D$143,Journal!$A$3:$A$143,$B48,Journal!$E$3:$E$143,AY$3))</f>
        <v>1800</v>
      </c>
      <c r="AZ48" s="86" t="str">
        <f>IF(SUMIFS(Journal!$D$3:$D$143,Journal!$A$3:$A$143,$B48,Journal!$F$3:$F$143,AY$3)=0,"",SUMIFS(Journal!$D$3:$D$143,Journal!$A$3:$A$143,$B48,Journal!$F$3:$F$143,AY$3))</f>
        <v/>
      </c>
      <c r="BA48" s="86" t="str">
        <f>IF(SUMIFS(Journal!$D$3:$D$143,Journal!$A$3:$A$143,$B48,Journal!$E$3:$E$143,BA$3)=0,"",SUMIFS(Journal!$D$3:$D$143,Journal!$A$3:$A$143,$B48,Journal!$E$3:$E$143,BA$3))</f>
        <v/>
      </c>
      <c r="BB48" s="86" t="str">
        <f>IF(SUMIFS(Journal!$D$3:$D$143,Journal!$A$3:$A$143,$B48,Journal!$F$3:$F$143,BA$3)=0,"",SUMIFS(Journal!$D$3:$D$143,Journal!$A$3:$A$143,$B48,Journal!$F$3:$F$143,BA$3))</f>
        <v/>
      </c>
    </row>
    <row r="49">
      <c r="A49" s="84">
        <f>VLOOKUP(B49,Journal!$A$3:$C$143,2,FALSE)</f>
        <v>45406</v>
      </c>
      <c r="B49" s="85" t="s">
        <v>363</v>
      </c>
      <c r="C49" s="86" t="str">
        <f>VLOOKUP(B49,Journal!$A$3:$C$143,3,FALSE)</f>
        <v>Employee payroll settlement</v>
      </c>
      <c r="D49" s="86">
        <f>SUMIF(Journal!$A$3:$A$143,B49,Journal!$D$3:$D$143)</f>
        <v>10200</v>
      </c>
      <c r="E49" s="86" t="str">
        <f>IF(SUMIFS(Journal!$D$3:$D$143,Journal!$A$3:$A$143,$B49,Journal!$E$3:$E$143,E$3)=0,"",SUMIFS(Journal!$D$3:$D$143,Journal!$A$3:$A$143,$B49,Journal!$E$3:$E$143,E$3))</f>
        <v/>
      </c>
      <c r="F49" s="86">
        <f>IF(SUMIFS(Journal!$D$3:$D$143,Journal!$A$3:$A$143,$B49,Journal!$F$3:$F$143,E$3)=0,"",SUMIFS(Journal!$D$3:$D$143,Journal!$A$3:$A$143,$B49,Journal!$F$3:$F$143,E$3))</f>
        <v>10200</v>
      </c>
      <c r="G49" s="86" t="str">
        <f>IF(SUMIFS(Journal!$D$3:$D$143,Journal!$A$3:$A$143,$B49,Journal!$E$3:$E$143,G$3)=0,"",SUMIFS(Journal!$D$3:$D$143,Journal!$A$3:$A$143,$B49,Journal!$E$3:$E$143,G$3))</f>
        <v/>
      </c>
      <c r="H49" s="86" t="str">
        <f>IF(SUMIFS(Journal!$D$3:$D$143,Journal!$A$3:$A$143,$B49,Journal!$F$3:$F$143,G$3)=0,"",SUMIFS(Journal!$D$3:$D$143,Journal!$A$3:$A$143,$B49,Journal!$F$3:$F$143,G$3))</f>
        <v/>
      </c>
      <c r="I49" s="86" t="str">
        <f>IF(SUMIFS(Journal!$D$3:$D$143,Journal!$A$3:$A$143,$B49,Journal!$E$3:$E$143,I$3)=0,"",SUMIFS(Journal!$D$3:$D$143,Journal!$A$3:$A$143,$B49,Journal!$E$3:$E$143,I$3))</f>
        <v/>
      </c>
      <c r="J49" s="86" t="str">
        <f>IF(SUMIFS(Journal!$D$3:$D$143,Journal!$A$3:$A$143,$B49,Journal!$F$3:$F$143,I$3)=0,"",SUMIFS(Journal!$D$3:$D$143,Journal!$A$3:$A$143,$B49,Journal!$F$3:$F$143,I$3))</f>
        <v/>
      </c>
      <c r="K49" s="86" t="str">
        <f>IF(SUMIFS(Journal!$D$3:$D$143,Journal!$A$3:$A$143,$B49,Journal!$E$3:$E$143,K$3)=0,"",SUMIFS(Journal!$D$3:$D$143,Journal!$A$3:$A$143,$B49,Journal!$E$3:$E$143,K$3))</f>
        <v/>
      </c>
      <c r="L49" s="86" t="str">
        <f>IF(SUMIFS(Journal!$D$3:$D$143,Journal!$A$3:$A$143,$B49,Journal!$F$3:$F$143,K$3)=0,"",SUMIFS(Journal!$D$3:$D$143,Journal!$A$3:$A$143,$B49,Journal!$F$3:$F$143,K$3))</f>
        <v/>
      </c>
      <c r="M49" s="86" t="str">
        <f>IF(SUMIFS(Journal!$D$3:$D$143,Journal!$A$3:$A$143,$B49,Journal!$E$3:$E$143,M$3)=0,"",SUMIFS(Journal!$D$3:$D$143,Journal!$A$3:$A$143,$B49,Journal!$E$3:$E$143,M$3))</f>
        <v/>
      </c>
      <c r="N49" s="86" t="str">
        <f>IF(SUMIFS(Journal!$D$3:$D$143,Journal!$A$3:$A$143,$B49,Journal!$F$3:$F$143,M$3)=0,"",SUMIFS(Journal!$D$3:$D$143,Journal!$A$3:$A$143,$B49,Journal!$F$3:$F$143,M$3))</f>
        <v/>
      </c>
      <c r="O49" s="86" t="str">
        <f>IF(SUMIFS(Journal!$D$3:$D$143,Journal!$A$3:$A$143,$B49,Journal!$E$3:$E$143,O$3)=0,"",SUMIFS(Journal!$D$3:$D$143,Journal!$A$3:$A$143,$B49,Journal!$E$3:$E$143,O$3))</f>
        <v/>
      </c>
      <c r="P49" s="86" t="str">
        <f>IF(SUMIFS(Journal!$D$3:$D$143,Journal!$A$3:$A$143,$B49,Journal!$F$3:$F$143,O$3)=0,"",SUMIFS(Journal!$D$3:$D$143,Journal!$A$3:$A$143,$B49,Journal!$F$3:$F$143,O$3))</f>
        <v/>
      </c>
      <c r="Q49" s="86" t="str">
        <f>IF(SUMIFS(Journal!$D$3:$D$143,Journal!$A$3:$A$143,$B49,Journal!$E$3:$E$143,Q$3)=0,"",SUMIFS(Journal!$D$3:$D$143,Journal!$A$3:$A$143,$B49,Journal!$E$3:$E$143,Q$3))</f>
        <v/>
      </c>
      <c r="R49" s="86" t="str">
        <f>IF(SUMIFS(Journal!$D$3:$D$143,Journal!$A$3:$A$143,$B49,Journal!$F$3:$F$143,Q$3)=0,"",SUMIFS(Journal!$D$3:$D$143,Journal!$A$3:$A$143,$B49,Journal!$F$3:$F$143,Q$3))</f>
        <v/>
      </c>
      <c r="S49" s="86" t="str">
        <f>IF(SUMIFS(Journal!$D$3:$D$143,Journal!$A$3:$A$143,$B49,Journal!$E$3:$E$143,S$3)=0,"",SUMIFS(Journal!$D$3:$D$143,Journal!$A$3:$A$143,$B49,Journal!$E$3:$E$143,S$3))</f>
        <v/>
      </c>
      <c r="T49" s="86" t="str">
        <f>IF(SUMIFS(Journal!$D$3:$D$143,Journal!$A$3:$A$143,$B49,Journal!$F$3:$F$143,S$3)=0,"",SUMIFS(Journal!$D$3:$D$143,Journal!$A$3:$A$143,$B49,Journal!$F$3:$F$143,S$3))</f>
        <v/>
      </c>
      <c r="U49" s="86" t="str">
        <f>IF(SUMIFS(Journal!$D$3:$D$143,Journal!$A$3:$A$143,$B49,Journal!$E$3:$E$143,U$3)=0,"",SUMIFS(Journal!$D$3:$D$143,Journal!$A$3:$A$143,$B49,Journal!$E$3:$E$143,U$3))</f>
        <v/>
      </c>
      <c r="V49" s="86" t="str">
        <f>IF(SUMIFS(Journal!$D$3:$D$143,Journal!$A$3:$A$143,$B49,Journal!$F$3:$F$143,U$3)=0,"",SUMIFS(Journal!$D$3:$D$143,Journal!$A$3:$A$143,$B49,Journal!$F$3:$F$143,U$3))</f>
        <v/>
      </c>
      <c r="W49" s="86" t="str">
        <f>IF(SUMIFS(Journal!$D$3:$D$143,Journal!$A$3:$A$143,$B49,Journal!$E$3:$E$143,W$3)=0,"",SUMIFS(Journal!$D$3:$D$143,Journal!$A$3:$A$143,$B49,Journal!$E$3:$E$143,W$3))</f>
        <v/>
      </c>
      <c r="X49" s="86" t="str">
        <f>IF(SUMIFS(Journal!$D$3:$D$143,Journal!$A$3:$A$143,$B49,Journal!$F$3:$F$143,W$3)=0,"",SUMIFS(Journal!$D$3:$D$143,Journal!$A$3:$A$143,$B49,Journal!$F$3:$F$143,W$3))</f>
        <v/>
      </c>
      <c r="Y49" s="86" t="str">
        <f>IF(SUMIFS(Journal!$D$3:$D$143,Journal!$A$3:$A$143,$B49,Journal!$E$3:$E$143,Y$3)=0,"",SUMIFS(Journal!$D$3:$D$143,Journal!$A$3:$A$143,$B49,Journal!$E$3:$E$143,Y$3))</f>
        <v/>
      </c>
      <c r="Z49" s="86" t="str">
        <f>IF(SUMIFS(Journal!$D$3:$D$143,Journal!$A$3:$A$143,$B49,Journal!$F$3:$F$143,Y$3)=0,"",SUMIFS(Journal!$D$3:$D$143,Journal!$A$3:$A$143,$B49,Journal!$F$3:$F$143,Y$3))</f>
        <v/>
      </c>
      <c r="AA49" s="86" t="str">
        <f>IF(SUMIFS(Journal!$D$3:$D$143,Journal!$A$3:$A$143,$B49,Journal!$E$3:$E$143,AA$3)=0,"",SUMIFS(Journal!$D$3:$D$143,Journal!$A$3:$A$143,$B49,Journal!$E$3:$E$143,AA$3))</f>
        <v/>
      </c>
      <c r="AB49" s="86" t="str">
        <f>IF(SUMIFS(Journal!$D$3:$D$143,Journal!$A$3:$A$143,$B49,Journal!$F$3:$F$143,AA$3)=0,"",SUMIFS(Journal!$D$3:$D$143,Journal!$A$3:$A$143,$B49,Journal!$F$3:$F$143,AA$3))</f>
        <v/>
      </c>
      <c r="AC49" s="86" t="str">
        <f>IF(SUMIFS(Journal!$D$3:$D$143,Journal!$A$3:$A$143,$B49,Journal!$E$3:$E$143,AC$3)=0,"",SUMIFS(Journal!$D$3:$D$143,Journal!$A$3:$A$143,$B49,Journal!$E$3:$E$143,AC$3))</f>
        <v/>
      </c>
      <c r="AD49" s="86" t="str">
        <f>IF(SUMIFS(Journal!$D$3:$D$143,Journal!$A$3:$A$143,$B49,Journal!$F$3:$F$143,AC$3)=0,"",SUMIFS(Journal!$D$3:$D$143,Journal!$A$3:$A$143,$B49,Journal!$F$3:$F$143,AC$3))</f>
        <v/>
      </c>
      <c r="AE49" s="86" t="str">
        <f>IF(SUMIFS(Journal!$D$3:$D$143,Journal!$A$3:$A$143,$B49,Journal!$E$3:$E$143,AE$3)=0,"",SUMIFS(Journal!$D$3:$D$143,Journal!$A$3:$A$143,$B49,Journal!$E$3:$E$143,AE$3))</f>
        <v/>
      </c>
      <c r="AF49" s="86" t="str">
        <f>IF(SUMIFS(Journal!$D$3:$D$143,Journal!$A$3:$A$143,$B49,Journal!$F$3:$F$143,AE$3)=0,"",SUMIFS(Journal!$D$3:$D$143,Journal!$A$3:$A$143,$B49,Journal!$F$3:$F$143,AE$3))</f>
        <v/>
      </c>
      <c r="AG49" s="86">
        <f>IF(SUMIFS(Journal!$D$3:$D$143,Journal!$A$3:$A$143,$B49,Journal!$E$3:$E$143,AG$3)=0,"",SUMIFS(Journal!$D$3:$D$143,Journal!$A$3:$A$143,$B49,Journal!$E$3:$E$143,AG$3))</f>
        <v>10200</v>
      </c>
      <c r="AH49" s="86" t="str">
        <f>IF(SUMIFS(Journal!$D$3:$D$143,Journal!$A$3:$A$143,$B49,Journal!$F$3:$F$143,AG$3)=0,"",SUMIFS(Journal!$D$3:$D$143,Journal!$A$3:$A$143,$B49,Journal!$F$3:$F$143,AG$3))</f>
        <v/>
      </c>
      <c r="AI49" s="86" t="str">
        <f>IF(SUMIFS(Journal!$D$3:$D$143,Journal!$A$3:$A$143,$B49,Journal!$E$3:$E$143,AI$3)=0,"",SUMIFS(Journal!$D$3:$D$143,Journal!$A$3:$A$143,$B49,Journal!$E$3:$E$143,AI$3))</f>
        <v/>
      </c>
      <c r="AJ49" s="86" t="str">
        <f>IF(SUMIFS(Journal!$D$3:$D$143,Journal!$A$3:$A$143,$B49,Journal!$F$3:$F$143,AI$3)=0,"",SUMIFS(Journal!$D$3:$D$143,Journal!$A$3:$A$143,$B49,Journal!$F$3:$F$143,AI$3))</f>
        <v/>
      </c>
      <c r="AK49" s="86" t="str">
        <f>IF(SUMIFS(Journal!$D$3:$D$143,Journal!$A$3:$A$143,$B49,Journal!$E$3:$E$143,AK$3)=0,"",SUMIFS(Journal!$D$3:$D$143,Journal!$A$3:$A$143,$B49,Journal!$E$3:$E$143,AK$3))</f>
        <v/>
      </c>
      <c r="AL49" s="86" t="str">
        <f>IF(SUMIFS(Journal!$D$3:$D$143,Journal!$A$3:$A$143,$B49,Journal!$F$3:$F$143,AK$3)=0,"",SUMIFS(Journal!$D$3:$D$143,Journal!$A$3:$A$143,$B49,Journal!$F$3:$F$143,AK$3))</f>
        <v/>
      </c>
      <c r="AM49" s="86" t="str">
        <f>IF(SUMIFS(Journal!$D$3:$D$143,Journal!$A$3:$A$143,$B49,Journal!$E$3:$E$143,AM$3)=0,"",SUMIFS(Journal!$D$3:$D$143,Journal!$A$3:$A$143,$B49,Journal!$E$3:$E$143,AM$3))</f>
        <v/>
      </c>
      <c r="AN49" s="86" t="str">
        <f>IF(SUMIFS(Journal!$D$3:$D$143,Journal!$A$3:$A$143,$B49,Journal!$F$3:$F$143,AM$3)=0,"",SUMIFS(Journal!$D$3:$D$143,Journal!$A$3:$A$143,$B49,Journal!$F$3:$F$143,AM$3))</f>
        <v/>
      </c>
      <c r="AO49" s="86" t="str">
        <f>IF(SUMIFS(Journal!$D$3:$D$143,Journal!$A$3:$A$143,$B49,Journal!$E$3:$E$143,AO$3)=0,"",SUMIFS(Journal!$D$3:$D$143,Journal!$A$3:$A$143,$B49,Journal!$E$3:$E$143,AO$3))</f>
        <v/>
      </c>
      <c r="AP49" s="86" t="str">
        <f>IF(SUMIFS(Journal!$D$3:$D$143,Journal!$A$3:$A$143,$B49,Journal!$F$3:$F$143,AO$3)=0,"",SUMIFS(Journal!$D$3:$D$143,Journal!$A$3:$A$143,$B49,Journal!$F$3:$F$143,AO$3))</f>
        <v/>
      </c>
      <c r="AQ49" s="86" t="str">
        <f>IF(SUMIFS(Journal!$D$3:$D$143,Journal!$A$3:$A$143,$B49,Journal!$E$3:$E$143,AQ$3)=0,"",SUMIFS(Journal!$D$3:$D$143,Journal!$A$3:$A$143,$B49,Journal!$E$3:$E$143,AQ$3))</f>
        <v/>
      </c>
      <c r="AR49" s="86" t="str">
        <f>IF(SUMIFS(Journal!$D$3:$D$143,Journal!$A$3:$A$143,$B49,Journal!$F$3:$F$143,AQ$3)=0,"",SUMIFS(Journal!$D$3:$D$143,Journal!$A$3:$A$143,$B49,Journal!$F$3:$F$143,AQ$3))</f>
        <v/>
      </c>
      <c r="AS49" s="86" t="str">
        <f>IF(SUMIFS(Journal!$D$3:$D$143,Journal!$A$3:$A$143,$B49,Journal!$E$3:$E$143,AS$3)=0,"",SUMIFS(Journal!$D$3:$D$143,Journal!$A$3:$A$143,$B49,Journal!$E$3:$E$143,AS$3))</f>
        <v/>
      </c>
      <c r="AT49" s="86" t="str">
        <f>IF(SUMIFS(Journal!$D$3:$D$143,Journal!$A$3:$A$143,$B49,Journal!$F$3:$F$143,AS$3)=0,"",SUMIFS(Journal!$D$3:$D$143,Journal!$A$3:$A$143,$B49,Journal!$F$3:$F$143,AS$3))</f>
        <v/>
      </c>
      <c r="AU49" s="86" t="str">
        <f>IF(SUMIFS(Journal!$D$3:$D$143,Journal!$A$3:$A$143,$B49,Journal!$E$3:$E$143,AU$3)=0,"",SUMIFS(Journal!$D$3:$D$143,Journal!$A$3:$A$143,$B49,Journal!$E$3:$E$143,AU$3))</f>
        <v/>
      </c>
      <c r="AV49" s="86" t="str">
        <f>IF(SUMIFS(Journal!$D$3:$D$143,Journal!$A$3:$A$143,$B49,Journal!$F$3:$F$143,AU$3)=0,"",SUMIFS(Journal!$D$3:$D$143,Journal!$A$3:$A$143,$B49,Journal!$F$3:$F$143,AU$3))</f>
        <v/>
      </c>
      <c r="AW49" s="86" t="str">
        <f>IF(SUMIFS(Journal!$D$3:$D$143,Journal!$A$3:$A$143,$B49,Journal!$E$3:$E$143,AW$3)=0,"",SUMIFS(Journal!$D$3:$D$143,Journal!$A$3:$A$143,$B49,Journal!$E$3:$E$143,AW$3))</f>
        <v/>
      </c>
      <c r="AX49" s="86" t="str">
        <f>IF(SUMIFS(Journal!$D$3:$D$143,Journal!$A$3:$A$143,$B49,Journal!$F$3:$F$143,AW$3)=0,"",SUMIFS(Journal!$D$3:$D$143,Journal!$A$3:$A$143,$B49,Journal!$F$3:$F$143,AW$3))</f>
        <v/>
      </c>
      <c r="AY49" s="86" t="str">
        <f>IF(SUMIFS(Journal!$D$3:$D$143,Journal!$A$3:$A$143,$B49,Journal!$E$3:$E$143,AY$3)=0,"",SUMIFS(Journal!$D$3:$D$143,Journal!$A$3:$A$143,$B49,Journal!$E$3:$E$143,AY$3))</f>
        <v/>
      </c>
      <c r="AZ49" s="86" t="str">
        <f>IF(SUMIFS(Journal!$D$3:$D$143,Journal!$A$3:$A$143,$B49,Journal!$F$3:$F$143,AY$3)=0,"",SUMIFS(Journal!$D$3:$D$143,Journal!$A$3:$A$143,$B49,Journal!$F$3:$F$143,AY$3))</f>
        <v/>
      </c>
      <c r="BA49" s="86" t="str">
        <f>IF(SUMIFS(Journal!$D$3:$D$143,Journal!$A$3:$A$143,$B49,Journal!$E$3:$E$143,BA$3)=0,"",SUMIFS(Journal!$D$3:$D$143,Journal!$A$3:$A$143,$B49,Journal!$E$3:$E$143,BA$3))</f>
        <v/>
      </c>
      <c r="BB49" s="86" t="str">
        <f>IF(SUMIFS(Journal!$D$3:$D$143,Journal!$A$3:$A$143,$B49,Journal!$F$3:$F$143,BA$3)=0,"",SUMIFS(Journal!$D$3:$D$143,Journal!$A$3:$A$143,$B49,Journal!$F$3:$F$143,BA$3))</f>
        <v/>
      </c>
    </row>
    <row r="50">
      <c r="A50" s="84">
        <f>VLOOKUP(B50,Journal!$A$3:$C$143,2,FALSE)</f>
        <v>45407</v>
      </c>
      <c r="B50" s="85" t="s">
        <v>369</v>
      </c>
      <c r="C50" s="86" t="str">
        <f>VLOOKUP(B50,Journal!$A$3:$C$143,3,FALSE)</f>
        <v>Customer deposits for June solstice event</v>
      </c>
      <c r="D50" s="86">
        <f>SUMIF(Journal!$A$3:$A$143,B50,Journal!$D$3:$D$143)</f>
        <v>3000</v>
      </c>
      <c r="E50" s="86">
        <f>IF(SUMIFS(Journal!$D$3:$D$143,Journal!$A$3:$A$143,$B50,Journal!$E$3:$E$143,E$3)=0,"",SUMIFS(Journal!$D$3:$D$143,Journal!$A$3:$A$143,$B50,Journal!$E$3:$E$143,E$3))</f>
        <v>3000</v>
      </c>
      <c r="F50" s="86" t="str">
        <f>IF(SUMIFS(Journal!$D$3:$D$143,Journal!$A$3:$A$143,$B50,Journal!$F$3:$F$143,E$3)=0,"",SUMIFS(Journal!$D$3:$D$143,Journal!$A$3:$A$143,$B50,Journal!$F$3:$F$143,E$3))</f>
        <v/>
      </c>
      <c r="G50" s="86" t="str">
        <f>IF(SUMIFS(Journal!$D$3:$D$143,Journal!$A$3:$A$143,$B50,Journal!$E$3:$E$143,G$3)=0,"",SUMIFS(Journal!$D$3:$D$143,Journal!$A$3:$A$143,$B50,Journal!$E$3:$E$143,G$3))</f>
        <v/>
      </c>
      <c r="H50" s="86" t="str">
        <f>IF(SUMIFS(Journal!$D$3:$D$143,Journal!$A$3:$A$143,$B50,Journal!$F$3:$F$143,G$3)=0,"",SUMIFS(Journal!$D$3:$D$143,Journal!$A$3:$A$143,$B50,Journal!$F$3:$F$143,G$3))</f>
        <v/>
      </c>
      <c r="I50" s="86" t="str">
        <f>IF(SUMIFS(Journal!$D$3:$D$143,Journal!$A$3:$A$143,$B50,Journal!$E$3:$E$143,I$3)=0,"",SUMIFS(Journal!$D$3:$D$143,Journal!$A$3:$A$143,$B50,Journal!$E$3:$E$143,I$3))</f>
        <v/>
      </c>
      <c r="J50" s="86" t="str">
        <f>IF(SUMIFS(Journal!$D$3:$D$143,Journal!$A$3:$A$143,$B50,Journal!$F$3:$F$143,I$3)=0,"",SUMIFS(Journal!$D$3:$D$143,Journal!$A$3:$A$143,$B50,Journal!$F$3:$F$143,I$3))</f>
        <v/>
      </c>
      <c r="K50" s="86" t="str">
        <f>IF(SUMIFS(Journal!$D$3:$D$143,Journal!$A$3:$A$143,$B50,Journal!$E$3:$E$143,K$3)=0,"",SUMIFS(Journal!$D$3:$D$143,Journal!$A$3:$A$143,$B50,Journal!$E$3:$E$143,K$3))</f>
        <v/>
      </c>
      <c r="L50" s="86" t="str">
        <f>IF(SUMIFS(Journal!$D$3:$D$143,Journal!$A$3:$A$143,$B50,Journal!$F$3:$F$143,K$3)=0,"",SUMIFS(Journal!$D$3:$D$143,Journal!$A$3:$A$143,$B50,Journal!$F$3:$F$143,K$3))</f>
        <v/>
      </c>
      <c r="M50" s="86" t="str">
        <f>IF(SUMIFS(Journal!$D$3:$D$143,Journal!$A$3:$A$143,$B50,Journal!$E$3:$E$143,M$3)=0,"",SUMIFS(Journal!$D$3:$D$143,Journal!$A$3:$A$143,$B50,Journal!$E$3:$E$143,M$3))</f>
        <v/>
      </c>
      <c r="N50" s="86" t="str">
        <f>IF(SUMIFS(Journal!$D$3:$D$143,Journal!$A$3:$A$143,$B50,Journal!$F$3:$F$143,M$3)=0,"",SUMIFS(Journal!$D$3:$D$143,Journal!$A$3:$A$143,$B50,Journal!$F$3:$F$143,M$3))</f>
        <v/>
      </c>
      <c r="O50" s="86" t="str">
        <f>IF(SUMIFS(Journal!$D$3:$D$143,Journal!$A$3:$A$143,$B50,Journal!$E$3:$E$143,O$3)=0,"",SUMIFS(Journal!$D$3:$D$143,Journal!$A$3:$A$143,$B50,Journal!$E$3:$E$143,O$3))</f>
        <v/>
      </c>
      <c r="P50" s="86" t="str">
        <f>IF(SUMIFS(Journal!$D$3:$D$143,Journal!$A$3:$A$143,$B50,Journal!$F$3:$F$143,O$3)=0,"",SUMIFS(Journal!$D$3:$D$143,Journal!$A$3:$A$143,$B50,Journal!$F$3:$F$143,O$3))</f>
        <v/>
      </c>
      <c r="Q50" s="86" t="str">
        <f>IF(SUMIFS(Journal!$D$3:$D$143,Journal!$A$3:$A$143,$B50,Journal!$E$3:$E$143,Q$3)=0,"",SUMIFS(Journal!$D$3:$D$143,Journal!$A$3:$A$143,$B50,Journal!$E$3:$E$143,Q$3))</f>
        <v/>
      </c>
      <c r="R50" s="86">
        <f>IF(SUMIFS(Journal!$D$3:$D$143,Journal!$A$3:$A$143,$B50,Journal!$F$3:$F$143,Q$3)=0,"",SUMIFS(Journal!$D$3:$D$143,Journal!$A$3:$A$143,$B50,Journal!$F$3:$F$143,Q$3))</f>
        <v>3000</v>
      </c>
      <c r="S50" s="86" t="str">
        <f>IF(SUMIFS(Journal!$D$3:$D$143,Journal!$A$3:$A$143,$B50,Journal!$E$3:$E$143,S$3)=0,"",SUMIFS(Journal!$D$3:$D$143,Journal!$A$3:$A$143,$B50,Journal!$E$3:$E$143,S$3))</f>
        <v/>
      </c>
      <c r="T50" s="86" t="str">
        <f>IF(SUMIFS(Journal!$D$3:$D$143,Journal!$A$3:$A$143,$B50,Journal!$F$3:$F$143,S$3)=0,"",SUMIFS(Journal!$D$3:$D$143,Journal!$A$3:$A$143,$B50,Journal!$F$3:$F$143,S$3))</f>
        <v/>
      </c>
      <c r="U50" s="86" t="str">
        <f>IF(SUMIFS(Journal!$D$3:$D$143,Journal!$A$3:$A$143,$B50,Journal!$E$3:$E$143,U$3)=0,"",SUMIFS(Journal!$D$3:$D$143,Journal!$A$3:$A$143,$B50,Journal!$E$3:$E$143,U$3))</f>
        <v/>
      </c>
      <c r="V50" s="86" t="str">
        <f>IF(SUMIFS(Journal!$D$3:$D$143,Journal!$A$3:$A$143,$B50,Journal!$F$3:$F$143,U$3)=0,"",SUMIFS(Journal!$D$3:$D$143,Journal!$A$3:$A$143,$B50,Journal!$F$3:$F$143,U$3))</f>
        <v/>
      </c>
      <c r="W50" s="86" t="str">
        <f>IF(SUMIFS(Journal!$D$3:$D$143,Journal!$A$3:$A$143,$B50,Journal!$E$3:$E$143,W$3)=0,"",SUMIFS(Journal!$D$3:$D$143,Journal!$A$3:$A$143,$B50,Journal!$E$3:$E$143,W$3))</f>
        <v/>
      </c>
      <c r="X50" s="86" t="str">
        <f>IF(SUMIFS(Journal!$D$3:$D$143,Journal!$A$3:$A$143,$B50,Journal!$F$3:$F$143,W$3)=0,"",SUMIFS(Journal!$D$3:$D$143,Journal!$A$3:$A$143,$B50,Journal!$F$3:$F$143,W$3))</f>
        <v/>
      </c>
      <c r="Y50" s="86" t="str">
        <f>IF(SUMIFS(Journal!$D$3:$D$143,Journal!$A$3:$A$143,$B50,Journal!$E$3:$E$143,Y$3)=0,"",SUMIFS(Journal!$D$3:$D$143,Journal!$A$3:$A$143,$B50,Journal!$E$3:$E$143,Y$3))</f>
        <v/>
      </c>
      <c r="Z50" s="86" t="str">
        <f>IF(SUMIFS(Journal!$D$3:$D$143,Journal!$A$3:$A$143,$B50,Journal!$F$3:$F$143,Y$3)=0,"",SUMIFS(Journal!$D$3:$D$143,Journal!$A$3:$A$143,$B50,Journal!$F$3:$F$143,Y$3))</f>
        <v/>
      </c>
      <c r="AA50" s="86" t="str">
        <f>IF(SUMIFS(Journal!$D$3:$D$143,Journal!$A$3:$A$143,$B50,Journal!$E$3:$E$143,AA$3)=0,"",SUMIFS(Journal!$D$3:$D$143,Journal!$A$3:$A$143,$B50,Journal!$E$3:$E$143,AA$3))</f>
        <v/>
      </c>
      <c r="AB50" s="86" t="str">
        <f>IF(SUMIFS(Journal!$D$3:$D$143,Journal!$A$3:$A$143,$B50,Journal!$F$3:$F$143,AA$3)=0,"",SUMIFS(Journal!$D$3:$D$143,Journal!$A$3:$A$143,$B50,Journal!$F$3:$F$143,AA$3))</f>
        <v/>
      </c>
      <c r="AC50" s="86" t="str">
        <f>IF(SUMIFS(Journal!$D$3:$D$143,Journal!$A$3:$A$143,$B50,Journal!$E$3:$E$143,AC$3)=0,"",SUMIFS(Journal!$D$3:$D$143,Journal!$A$3:$A$143,$B50,Journal!$E$3:$E$143,AC$3))</f>
        <v/>
      </c>
      <c r="AD50" s="86" t="str">
        <f>IF(SUMIFS(Journal!$D$3:$D$143,Journal!$A$3:$A$143,$B50,Journal!$F$3:$F$143,AC$3)=0,"",SUMIFS(Journal!$D$3:$D$143,Journal!$A$3:$A$143,$B50,Journal!$F$3:$F$143,AC$3))</f>
        <v/>
      </c>
      <c r="AE50" s="86" t="str">
        <f>IF(SUMIFS(Journal!$D$3:$D$143,Journal!$A$3:$A$143,$B50,Journal!$E$3:$E$143,AE$3)=0,"",SUMIFS(Journal!$D$3:$D$143,Journal!$A$3:$A$143,$B50,Journal!$E$3:$E$143,AE$3))</f>
        <v/>
      </c>
      <c r="AF50" s="86" t="str">
        <f>IF(SUMIFS(Journal!$D$3:$D$143,Journal!$A$3:$A$143,$B50,Journal!$F$3:$F$143,AE$3)=0,"",SUMIFS(Journal!$D$3:$D$143,Journal!$A$3:$A$143,$B50,Journal!$F$3:$F$143,AE$3))</f>
        <v/>
      </c>
      <c r="AG50" s="86" t="str">
        <f>IF(SUMIFS(Journal!$D$3:$D$143,Journal!$A$3:$A$143,$B50,Journal!$E$3:$E$143,AG$3)=0,"",SUMIFS(Journal!$D$3:$D$143,Journal!$A$3:$A$143,$B50,Journal!$E$3:$E$143,AG$3))</f>
        <v/>
      </c>
      <c r="AH50" s="86" t="str">
        <f>IF(SUMIFS(Journal!$D$3:$D$143,Journal!$A$3:$A$143,$B50,Journal!$F$3:$F$143,AG$3)=0,"",SUMIFS(Journal!$D$3:$D$143,Journal!$A$3:$A$143,$B50,Journal!$F$3:$F$143,AG$3))</f>
        <v/>
      </c>
      <c r="AI50" s="86" t="str">
        <f>IF(SUMIFS(Journal!$D$3:$D$143,Journal!$A$3:$A$143,$B50,Journal!$E$3:$E$143,AI$3)=0,"",SUMIFS(Journal!$D$3:$D$143,Journal!$A$3:$A$143,$B50,Journal!$E$3:$E$143,AI$3))</f>
        <v/>
      </c>
      <c r="AJ50" s="86" t="str">
        <f>IF(SUMIFS(Journal!$D$3:$D$143,Journal!$A$3:$A$143,$B50,Journal!$F$3:$F$143,AI$3)=0,"",SUMIFS(Journal!$D$3:$D$143,Journal!$A$3:$A$143,$B50,Journal!$F$3:$F$143,AI$3))</f>
        <v/>
      </c>
      <c r="AK50" s="86" t="str">
        <f>IF(SUMIFS(Journal!$D$3:$D$143,Journal!$A$3:$A$143,$B50,Journal!$E$3:$E$143,AK$3)=0,"",SUMIFS(Journal!$D$3:$D$143,Journal!$A$3:$A$143,$B50,Journal!$E$3:$E$143,AK$3))</f>
        <v/>
      </c>
      <c r="AL50" s="86" t="str">
        <f>IF(SUMIFS(Journal!$D$3:$D$143,Journal!$A$3:$A$143,$B50,Journal!$F$3:$F$143,AK$3)=0,"",SUMIFS(Journal!$D$3:$D$143,Journal!$A$3:$A$143,$B50,Journal!$F$3:$F$143,AK$3))</f>
        <v/>
      </c>
      <c r="AM50" s="86" t="str">
        <f>IF(SUMIFS(Journal!$D$3:$D$143,Journal!$A$3:$A$143,$B50,Journal!$E$3:$E$143,AM$3)=0,"",SUMIFS(Journal!$D$3:$D$143,Journal!$A$3:$A$143,$B50,Journal!$E$3:$E$143,AM$3))</f>
        <v/>
      </c>
      <c r="AN50" s="86" t="str">
        <f>IF(SUMIFS(Journal!$D$3:$D$143,Journal!$A$3:$A$143,$B50,Journal!$F$3:$F$143,AM$3)=0,"",SUMIFS(Journal!$D$3:$D$143,Journal!$A$3:$A$143,$B50,Journal!$F$3:$F$143,AM$3))</f>
        <v/>
      </c>
      <c r="AO50" s="86" t="str">
        <f>IF(SUMIFS(Journal!$D$3:$D$143,Journal!$A$3:$A$143,$B50,Journal!$E$3:$E$143,AO$3)=0,"",SUMIFS(Journal!$D$3:$D$143,Journal!$A$3:$A$143,$B50,Journal!$E$3:$E$143,AO$3))</f>
        <v/>
      </c>
      <c r="AP50" s="86" t="str">
        <f>IF(SUMIFS(Journal!$D$3:$D$143,Journal!$A$3:$A$143,$B50,Journal!$F$3:$F$143,AO$3)=0,"",SUMIFS(Journal!$D$3:$D$143,Journal!$A$3:$A$143,$B50,Journal!$F$3:$F$143,AO$3))</f>
        <v/>
      </c>
      <c r="AQ50" s="86" t="str">
        <f>IF(SUMIFS(Journal!$D$3:$D$143,Journal!$A$3:$A$143,$B50,Journal!$E$3:$E$143,AQ$3)=0,"",SUMIFS(Journal!$D$3:$D$143,Journal!$A$3:$A$143,$B50,Journal!$E$3:$E$143,AQ$3))</f>
        <v/>
      </c>
      <c r="AR50" s="86" t="str">
        <f>IF(SUMIFS(Journal!$D$3:$D$143,Journal!$A$3:$A$143,$B50,Journal!$F$3:$F$143,AQ$3)=0,"",SUMIFS(Journal!$D$3:$D$143,Journal!$A$3:$A$143,$B50,Journal!$F$3:$F$143,AQ$3))</f>
        <v/>
      </c>
      <c r="AS50" s="86" t="str">
        <f>IF(SUMIFS(Journal!$D$3:$D$143,Journal!$A$3:$A$143,$B50,Journal!$E$3:$E$143,AS$3)=0,"",SUMIFS(Journal!$D$3:$D$143,Journal!$A$3:$A$143,$B50,Journal!$E$3:$E$143,AS$3))</f>
        <v/>
      </c>
      <c r="AT50" s="86" t="str">
        <f>IF(SUMIFS(Journal!$D$3:$D$143,Journal!$A$3:$A$143,$B50,Journal!$F$3:$F$143,AS$3)=0,"",SUMIFS(Journal!$D$3:$D$143,Journal!$A$3:$A$143,$B50,Journal!$F$3:$F$143,AS$3))</f>
        <v/>
      </c>
      <c r="AU50" s="86" t="str">
        <f>IF(SUMIFS(Journal!$D$3:$D$143,Journal!$A$3:$A$143,$B50,Journal!$E$3:$E$143,AU$3)=0,"",SUMIFS(Journal!$D$3:$D$143,Journal!$A$3:$A$143,$B50,Journal!$E$3:$E$143,AU$3))</f>
        <v/>
      </c>
      <c r="AV50" s="86" t="str">
        <f>IF(SUMIFS(Journal!$D$3:$D$143,Journal!$A$3:$A$143,$B50,Journal!$F$3:$F$143,AU$3)=0,"",SUMIFS(Journal!$D$3:$D$143,Journal!$A$3:$A$143,$B50,Journal!$F$3:$F$143,AU$3))</f>
        <v/>
      </c>
      <c r="AW50" s="86" t="str">
        <f>IF(SUMIFS(Journal!$D$3:$D$143,Journal!$A$3:$A$143,$B50,Journal!$E$3:$E$143,AW$3)=0,"",SUMIFS(Journal!$D$3:$D$143,Journal!$A$3:$A$143,$B50,Journal!$E$3:$E$143,AW$3))</f>
        <v/>
      </c>
      <c r="AX50" s="86" t="str">
        <f>IF(SUMIFS(Journal!$D$3:$D$143,Journal!$A$3:$A$143,$B50,Journal!$F$3:$F$143,AW$3)=0,"",SUMIFS(Journal!$D$3:$D$143,Journal!$A$3:$A$143,$B50,Journal!$F$3:$F$143,AW$3))</f>
        <v/>
      </c>
      <c r="AY50" s="86" t="str">
        <f>IF(SUMIFS(Journal!$D$3:$D$143,Journal!$A$3:$A$143,$B50,Journal!$E$3:$E$143,AY$3)=0,"",SUMIFS(Journal!$D$3:$D$143,Journal!$A$3:$A$143,$B50,Journal!$E$3:$E$143,AY$3))</f>
        <v/>
      </c>
      <c r="AZ50" s="86" t="str">
        <f>IF(SUMIFS(Journal!$D$3:$D$143,Journal!$A$3:$A$143,$B50,Journal!$F$3:$F$143,AY$3)=0,"",SUMIFS(Journal!$D$3:$D$143,Journal!$A$3:$A$143,$B50,Journal!$F$3:$F$143,AY$3))</f>
        <v/>
      </c>
      <c r="BA50" s="86" t="str">
        <f>IF(SUMIFS(Journal!$D$3:$D$143,Journal!$A$3:$A$143,$B50,Journal!$E$3:$E$143,BA$3)=0,"",SUMIFS(Journal!$D$3:$D$143,Journal!$A$3:$A$143,$B50,Journal!$E$3:$E$143,BA$3))</f>
        <v/>
      </c>
      <c r="BB50" s="86" t="str">
        <f>IF(SUMIFS(Journal!$D$3:$D$143,Journal!$A$3:$A$143,$B50,Journal!$F$3:$F$143,BA$3)=0,"",SUMIFS(Journal!$D$3:$D$143,Journal!$A$3:$A$143,$B50,Journal!$F$3:$F$143,BA$3))</f>
        <v/>
      </c>
    </row>
    <row r="51">
      <c r="A51" s="84">
        <f>VLOOKUP(B51,Journal!$A$3:$C$143,2,FALSE)</f>
        <v>45412</v>
      </c>
      <c r="B51" s="85" t="s">
        <v>376</v>
      </c>
      <c r="C51" s="86" t="str">
        <f>VLOOKUP(B51,Journal!$A$3:$C$143,3,FALSE)</f>
        <v>Monthly utility settlement</v>
      </c>
      <c r="D51" s="86">
        <f>SUMIF(Journal!$A$3:$A$143,B51,Journal!$D$3:$D$143)</f>
        <v>898</v>
      </c>
      <c r="E51" s="86" t="str">
        <f>IF(SUMIFS(Journal!$D$3:$D$143,Journal!$A$3:$A$143,$B51,Journal!$E$3:$E$143,E$3)=0,"",SUMIFS(Journal!$D$3:$D$143,Journal!$A$3:$A$143,$B51,Journal!$E$3:$E$143,E$3))</f>
        <v/>
      </c>
      <c r="F51" s="86">
        <f>IF(SUMIFS(Journal!$D$3:$D$143,Journal!$A$3:$A$143,$B51,Journal!$F$3:$F$143,E$3)=0,"",SUMIFS(Journal!$D$3:$D$143,Journal!$A$3:$A$143,$B51,Journal!$F$3:$F$143,E$3))</f>
        <v>898</v>
      </c>
      <c r="G51" s="86" t="str">
        <f>IF(SUMIFS(Journal!$D$3:$D$143,Journal!$A$3:$A$143,$B51,Journal!$E$3:$E$143,G$3)=0,"",SUMIFS(Journal!$D$3:$D$143,Journal!$A$3:$A$143,$B51,Journal!$E$3:$E$143,G$3))</f>
        <v/>
      </c>
      <c r="H51" s="86" t="str">
        <f>IF(SUMIFS(Journal!$D$3:$D$143,Journal!$A$3:$A$143,$B51,Journal!$F$3:$F$143,G$3)=0,"",SUMIFS(Journal!$D$3:$D$143,Journal!$A$3:$A$143,$B51,Journal!$F$3:$F$143,G$3))</f>
        <v/>
      </c>
      <c r="I51" s="86" t="str">
        <f>IF(SUMIFS(Journal!$D$3:$D$143,Journal!$A$3:$A$143,$B51,Journal!$E$3:$E$143,I$3)=0,"",SUMIFS(Journal!$D$3:$D$143,Journal!$A$3:$A$143,$B51,Journal!$E$3:$E$143,I$3))</f>
        <v/>
      </c>
      <c r="J51" s="86" t="str">
        <f>IF(SUMIFS(Journal!$D$3:$D$143,Journal!$A$3:$A$143,$B51,Journal!$F$3:$F$143,I$3)=0,"",SUMIFS(Journal!$D$3:$D$143,Journal!$A$3:$A$143,$B51,Journal!$F$3:$F$143,I$3))</f>
        <v/>
      </c>
      <c r="K51" s="86" t="str">
        <f>IF(SUMIFS(Journal!$D$3:$D$143,Journal!$A$3:$A$143,$B51,Journal!$E$3:$E$143,K$3)=0,"",SUMIFS(Journal!$D$3:$D$143,Journal!$A$3:$A$143,$B51,Journal!$E$3:$E$143,K$3))</f>
        <v/>
      </c>
      <c r="L51" s="86" t="str">
        <f>IF(SUMIFS(Journal!$D$3:$D$143,Journal!$A$3:$A$143,$B51,Journal!$F$3:$F$143,K$3)=0,"",SUMIFS(Journal!$D$3:$D$143,Journal!$A$3:$A$143,$B51,Journal!$F$3:$F$143,K$3))</f>
        <v/>
      </c>
      <c r="M51" s="86" t="str">
        <f>IF(SUMIFS(Journal!$D$3:$D$143,Journal!$A$3:$A$143,$B51,Journal!$E$3:$E$143,M$3)=0,"",SUMIFS(Journal!$D$3:$D$143,Journal!$A$3:$A$143,$B51,Journal!$E$3:$E$143,M$3))</f>
        <v/>
      </c>
      <c r="N51" s="86" t="str">
        <f>IF(SUMIFS(Journal!$D$3:$D$143,Journal!$A$3:$A$143,$B51,Journal!$F$3:$F$143,M$3)=0,"",SUMIFS(Journal!$D$3:$D$143,Journal!$A$3:$A$143,$B51,Journal!$F$3:$F$143,M$3))</f>
        <v/>
      </c>
      <c r="O51" s="86" t="str">
        <f>IF(SUMIFS(Journal!$D$3:$D$143,Journal!$A$3:$A$143,$B51,Journal!$E$3:$E$143,O$3)=0,"",SUMIFS(Journal!$D$3:$D$143,Journal!$A$3:$A$143,$B51,Journal!$E$3:$E$143,O$3))</f>
        <v/>
      </c>
      <c r="P51" s="86" t="str">
        <f>IF(SUMIFS(Journal!$D$3:$D$143,Journal!$A$3:$A$143,$B51,Journal!$F$3:$F$143,O$3)=0,"",SUMIFS(Journal!$D$3:$D$143,Journal!$A$3:$A$143,$B51,Journal!$F$3:$F$143,O$3))</f>
        <v/>
      </c>
      <c r="Q51" s="86" t="str">
        <f>IF(SUMIFS(Journal!$D$3:$D$143,Journal!$A$3:$A$143,$B51,Journal!$E$3:$E$143,Q$3)=0,"",SUMIFS(Journal!$D$3:$D$143,Journal!$A$3:$A$143,$B51,Journal!$E$3:$E$143,Q$3))</f>
        <v/>
      </c>
      <c r="R51" s="86" t="str">
        <f>IF(SUMIFS(Journal!$D$3:$D$143,Journal!$A$3:$A$143,$B51,Journal!$F$3:$F$143,Q$3)=0,"",SUMIFS(Journal!$D$3:$D$143,Journal!$A$3:$A$143,$B51,Journal!$F$3:$F$143,Q$3))</f>
        <v/>
      </c>
      <c r="S51" s="86" t="str">
        <f>IF(SUMIFS(Journal!$D$3:$D$143,Journal!$A$3:$A$143,$B51,Journal!$E$3:$E$143,S$3)=0,"",SUMIFS(Journal!$D$3:$D$143,Journal!$A$3:$A$143,$B51,Journal!$E$3:$E$143,S$3))</f>
        <v/>
      </c>
      <c r="T51" s="86" t="str">
        <f>IF(SUMIFS(Journal!$D$3:$D$143,Journal!$A$3:$A$143,$B51,Journal!$F$3:$F$143,S$3)=0,"",SUMIFS(Journal!$D$3:$D$143,Journal!$A$3:$A$143,$B51,Journal!$F$3:$F$143,S$3))</f>
        <v/>
      </c>
      <c r="U51" s="86" t="str">
        <f>IF(SUMIFS(Journal!$D$3:$D$143,Journal!$A$3:$A$143,$B51,Journal!$E$3:$E$143,U$3)=0,"",SUMIFS(Journal!$D$3:$D$143,Journal!$A$3:$A$143,$B51,Journal!$E$3:$E$143,U$3))</f>
        <v/>
      </c>
      <c r="V51" s="86" t="str">
        <f>IF(SUMIFS(Journal!$D$3:$D$143,Journal!$A$3:$A$143,$B51,Journal!$F$3:$F$143,U$3)=0,"",SUMIFS(Journal!$D$3:$D$143,Journal!$A$3:$A$143,$B51,Journal!$F$3:$F$143,U$3))</f>
        <v/>
      </c>
      <c r="W51" s="86" t="str">
        <f>IF(SUMIFS(Journal!$D$3:$D$143,Journal!$A$3:$A$143,$B51,Journal!$E$3:$E$143,W$3)=0,"",SUMIFS(Journal!$D$3:$D$143,Journal!$A$3:$A$143,$B51,Journal!$E$3:$E$143,W$3))</f>
        <v/>
      </c>
      <c r="X51" s="86" t="str">
        <f>IF(SUMIFS(Journal!$D$3:$D$143,Journal!$A$3:$A$143,$B51,Journal!$F$3:$F$143,W$3)=0,"",SUMIFS(Journal!$D$3:$D$143,Journal!$A$3:$A$143,$B51,Journal!$F$3:$F$143,W$3))</f>
        <v/>
      </c>
      <c r="Y51" s="86" t="str">
        <f>IF(SUMIFS(Journal!$D$3:$D$143,Journal!$A$3:$A$143,$B51,Journal!$E$3:$E$143,Y$3)=0,"",SUMIFS(Journal!$D$3:$D$143,Journal!$A$3:$A$143,$B51,Journal!$E$3:$E$143,Y$3))</f>
        <v/>
      </c>
      <c r="Z51" s="86" t="str">
        <f>IF(SUMIFS(Journal!$D$3:$D$143,Journal!$A$3:$A$143,$B51,Journal!$F$3:$F$143,Y$3)=0,"",SUMIFS(Journal!$D$3:$D$143,Journal!$A$3:$A$143,$B51,Journal!$F$3:$F$143,Y$3))</f>
        <v/>
      </c>
      <c r="AA51" s="86" t="str">
        <f>IF(SUMIFS(Journal!$D$3:$D$143,Journal!$A$3:$A$143,$B51,Journal!$E$3:$E$143,AA$3)=0,"",SUMIFS(Journal!$D$3:$D$143,Journal!$A$3:$A$143,$B51,Journal!$E$3:$E$143,AA$3))</f>
        <v/>
      </c>
      <c r="AB51" s="86" t="str">
        <f>IF(SUMIFS(Journal!$D$3:$D$143,Journal!$A$3:$A$143,$B51,Journal!$F$3:$F$143,AA$3)=0,"",SUMIFS(Journal!$D$3:$D$143,Journal!$A$3:$A$143,$B51,Journal!$F$3:$F$143,AA$3))</f>
        <v/>
      </c>
      <c r="AC51" s="86" t="str">
        <f>IF(SUMIFS(Journal!$D$3:$D$143,Journal!$A$3:$A$143,$B51,Journal!$E$3:$E$143,AC$3)=0,"",SUMIFS(Journal!$D$3:$D$143,Journal!$A$3:$A$143,$B51,Journal!$E$3:$E$143,AC$3))</f>
        <v/>
      </c>
      <c r="AD51" s="86" t="str">
        <f>IF(SUMIFS(Journal!$D$3:$D$143,Journal!$A$3:$A$143,$B51,Journal!$F$3:$F$143,AC$3)=0,"",SUMIFS(Journal!$D$3:$D$143,Journal!$A$3:$A$143,$B51,Journal!$F$3:$F$143,AC$3))</f>
        <v/>
      </c>
      <c r="AE51" s="86" t="str">
        <f>IF(SUMIFS(Journal!$D$3:$D$143,Journal!$A$3:$A$143,$B51,Journal!$E$3:$E$143,AE$3)=0,"",SUMIFS(Journal!$D$3:$D$143,Journal!$A$3:$A$143,$B51,Journal!$E$3:$E$143,AE$3))</f>
        <v/>
      </c>
      <c r="AF51" s="86" t="str">
        <f>IF(SUMIFS(Journal!$D$3:$D$143,Journal!$A$3:$A$143,$B51,Journal!$F$3:$F$143,AE$3)=0,"",SUMIFS(Journal!$D$3:$D$143,Journal!$A$3:$A$143,$B51,Journal!$F$3:$F$143,AE$3))</f>
        <v/>
      </c>
      <c r="AG51" s="86" t="str">
        <f>IF(SUMIFS(Journal!$D$3:$D$143,Journal!$A$3:$A$143,$B51,Journal!$E$3:$E$143,AG$3)=0,"",SUMIFS(Journal!$D$3:$D$143,Journal!$A$3:$A$143,$B51,Journal!$E$3:$E$143,AG$3))</f>
        <v/>
      </c>
      <c r="AH51" s="86" t="str">
        <f>IF(SUMIFS(Journal!$D$3:$D$143,Journal!$A$3:$A$143,$B51,Journal!$F$3:$F$143,AG$3)=0,"",SUMIFS(Journal!$D$3:$D$143,Journal!$A$3:$A$143,$B51,Journal!$F$3:$F$143,AG$3))</f>
        <v/>
      </c>
      <c r="AI51" s="86" t="str">
        <f>IF(SUMIFS(Journal!$D$3:$D$143,Journal!$A$3:$A$143,$B51,Journal!$E$3:$E$143,AI$3)=0,"",SUMIFS(Journal!$D$3:$D$143,Journal!$A$3:$A$143,$B51,Journal!$E$3:$E$143,AI$3))</f>
        <v/>
      </c>
      <c r="AJ51" s="86" t="str">
        <f>IF(SUMIFS(Journal!$D$3:$D$143,Journal!$A$3:$A$143,$B51,Journal!$F$3:$F$143,AI$3)=0,"",SUMIFS(Journal!$D$3:$D$143,Journal!$A$3:$A$143,$B51,Journal!$F$3:$F$143,AI$3))</f>
        <v/>
      </c>
      <c r="AK51" s="86" t="str">
        <f>IF(SUMIFS(Journal!$D$3:$D$143,Journal!$A$3:$A$143,$B51,Journal!$E$3:$E$143,AK$3)=0,"",SUMIFS(Journal!$D$3:$D$143,Journal!$A$3:$A$143,$B51,Journal!$E$3:$E$143,AK$3))</f>
        <v/>
      </c>
      <c r="AL51" s="86" t="str">
        <f>IF(SUMIFS(Journal!$D$3:$D$143,Journal!$A$3:$A$143,$B51,Journal!$F$3:$F$143,AK$3)=0,"",SUMIFS(Journal!$D$3:$D$143,Journal!$A$3:$A$143,$B51,Journal!$F$3:$F$143,AK$3))</f>
        <v/>
      </c>
      <c r="AM51" s="86">
        <f>IF(SUMIFS(Journal!$D$3:$D$143,Journal!$A$3:$A$143,$B51,Journal!$E$3:$E$143,AM$3)=0,"",SUMIFS(Journal!$D$3:$D$143,Journal!$A$3:$A$143,$B51,Journal!$E$3:$E$143,AM$3))</f>
        <v>898</v>
      </c>
      <c r="AN51" s="86" t="str">
        <f>IF(SUMIFS(Journal!$D$3:$D$143,Journal!$A$3:$A$143,$B51,Journal!$F$3:$F$143,AM$3)=0,"",SUMIFS(Journal!$D$3:$D$143,Journal!$A$3:$A$143,$B51,Journal!$F$3:$F$143,AM$3))</f>
        <v/>
      </c>
      <c r="AO51" s="86" t="str">
        <f>IF(SUMIFS(Journal!$D$3:$D$143,Journal!$A$3:$A$143,$B51,Journal!$E$3:$E$143,AO$3)=0,"",SUMIFS(Journal!$D$3:$D$143,Journal!$A$3:$A$143,$B51,Journal!$E$3:$E$143,AO$3))</f>
        <v/>
      </c>
      <c r="AP51" s="86" t="str">
        <f>IF(SUMIFS(Journal!$D$3:$D$143,Journal!$A$3:$A$143,$B51,Journal!$F$3:$F$143,AO$3)=0,"",SUMIFS(Journal!$D$3:$D$143,Journal!$A$3:$A$143,$B51,Journal!$F$3:$F$143,AO$3))</f>
        <v/>
      </c>
      <c r="AQ51" s="86" t="str">
        <f>IF(SUMIFS(Journal!$D$3:$D$143,Journal!$A$3:$A$143,$B51,Journal!$E$3:$E$143,AQ$3)=0,"",SUMIFS(Journal!$D$3:$D$143,Journal!$A$3:$A$143,$B51,Journal!$E$3:$E$143,AQ$3))</f>
        <v/>
      </c>
      <c r="AR51" s="86" t="str">
        <f>IF(SUMIFS(Journal!$D$3:$D$143,Journal!$A$3:$A$143,$B51,Journal!$F$3:$F$143,AQ$3)=0,"",SUMIFS(Journal!$D$3:$D$143,Journal!$A$3:$A$143,$B51,Journal!$F$3:$F$143,AQ$3))</f>
        <v/>
      </c>
      <c r="AS51" s="86" t="str">
        <f>IF(SUMIFS(Journal!$D$3:$D$143,Journal!$A$3:$A$143,$B51,Journal!$E$3:$E$143,AS$3)=0,"",SUMIFS(Journal!$D$3:$D$143,Journal!$A$3:$A$143,$B51,Journal!$E$3:$E$143,AS$3))</f>
        <v/>
      </c>
      <c r="AT51" s="86" t="str">
        <f>IF(SUMIFS(Journal!$D$3:$D$143,Journal!$A$3:$A$143,$B51,Journal!$F$3:$F$143,AS$3)=0,"",SUMIFS(Journal!$D$3:$D$143,Journal!$A$3:$A$143,$B51,Journal!$F$3:$F$143,AS$3))</f>
        <v/>
      </c>
      <c r="AU51" s="86" t="str">
        <f>IF(SUMIFS(Journal!$D$3:$D$143,Journal!$A$3:$A$143,$B51,Journal!$E$3:$E$143,AU$3)=0,"",SUMIFS(Journal!$D$3:$D$143,Journal!$A$3:$A$143,$B51,Journal!$E$3:$E$143,AU$3))</f>
        <v/>
      </c>
      <c r="AV51" s="86" t="str">
        <f>IF(SUMIFS(Journal!$D$3:$D$143,Journal!$A$3:$A$143,$B51,Journal!$F$3:$F$143,AU$3)=0,"",SUMIFS(Journal!$D$3:$D$143,Journal!$A$3:$A$143,$B51,Journal!$F$3:$F$143,AU$3))</f>
        <v/>
      </c>
      <c r="AW51" s="86" t="str">
        <f>IF(SUMIFS(Journal!$D$3:$D$143,Journal!$A$3:$A$143,$B51,Journal!$E$3:$E$143,AW$3)=0,"",SUMIFS(Journal!$D$3:$D$143,Journal!$A$3:$A$143,$B51,Journal!$E$3:$E$143,AW$3))</f>
        <v/>
      </c>
      <c r="AX51" s="86" t="str">
        <f>IF(SUMIFS(Journal!$D$3:$D$143,Journal!$A$3:$A$143,$B51,Journal!$F$3:$F$143,AW$3)=0,"",SUMIFS(Journal!$D$3:$D$143,Journal!$A$3:$A$143,$B51,Journal!$F$3:$F$143,AW$3))</f>
        <v/>
      </c>
      <c r="AY51" s="86" t="str">
        <f>IF(SUMIFS(Journal!$D$3:$D$143,Journal!$A$3:$A$143,$B51,Journal!$E$3:$E$143,AY$3)=0,"",SUMIFS(Journal!$D$3:$D$143,Journal!$A$3:$A$143,$B51,Journal!$E$3:$E$143,AY$3))</f>
        <v/>
      </c>
      <c r="AZ51" s="86" t="str">
        <f>IF(SUMIFS(Journal!$D$3:$D$143,Journal!$A$3:$A$143,$B51,Journal!$F$3:$F$143,AY$3)=0,"",SUMIFS(Journal!$D$3:$D$143,Journal!$A$3:$A$143,$B51,Journal!$F$3:$F$143,AY$3))</f>
        <v/>
      </c>
      <c r="BA51" s="86" t="str">
        <f>IF(SUMIFS(Journal!$D$3:$D$143,Journal!$A$3:$A$143,$B51,Journal!$E$3:$E$143,BA$3)=0,"",SUMIFS(Journal!$D$3:$D$143,Journal!$A$3:$A$143,$B51,Journal!$E$3:$E$143,BA$3))</f>
        <v/>
      </c>
      <c r="BB51" s="86" t="str">
        <f>IF(SUMIFS(Journal!$D$3:$D$143,Journal!$A$3:$A$143,$B51,Journal!$F$3:$F$143,BA$3)=0,"",SUMIFS(Journal!$D$3:$D$143,Journal!$A$3:$A$143,$B51,Journal!$F$3:$F$143,BA$3))</f>
        <v/>
      </c>
    </row>
    <row r="52">
      <c r="A52" s="84">
        <f>VLOOKUP(B52,Journal!$A$3:$C$143,2,FALSE)</f>
        <v>45413</v>
      </c>
      <c r="B52" s="85" t="s">
        <v>380</v>
      </c>
      <c r="C52" s="86" t="str">
        <f>VLOOKUP(B52,Journal!$A$3:$C$143,3,FALSE)</f>
        <v>Monthly facility rent</v>
      </c>
      <c r="D52" s="86">
        <f>SUMIF(Journal!$A$3:$A$143,B52,Journal!$D$3:$D$143)</f>
        <v>5400</v>
      </c>
      <c r="E52" s="86" t="str">
        <f>IF(SUMIFS(Journal!$D$3:$D$143,Journal!$A$3:$A$143,$B52,Journal!$E$3:$E$143,E$3)=0,"",SUMIFS(Journal!$D$3:$D$143,Journal!$A$3:$A$143,$B52,Journal!$E$3:$E$143,E$3))</f>
        <v/>
      </c>
      <c r="F52" s="86">
        <f>IF(SUMIFS(Journal!$D$3:$D$143,Journal!$A$3:$A$143,$B52,Journal!$F$3:$F$143,E$3)=0,"",SUMIFS(Journal!$D$3:$D$143,Journal!$A$3:$A$143,$B52,Journal!$F$3:$F$143,E$3))</f>
        <v>5400</v>
      </c>
      <c r="G52" s="86" t="str">
        <f>IF(SUMIFS(Journal!$D$3:$D$143,Journal!$A$3:$A$143,$B52,Journal!$E$3:$E$143,G$3)=0,"",SUMIFS(Journal!$D$3:$D$143,Journal!$A$3:$A$143,$B52,Journal!$E$3:$E$143,G$3))</f>
        <v/>
      </c>
      <c r="H52" s="86" t="str">
        <f>IF(SUMIFS(Journal!$D$3:$D$143,Journal!$A$3:$A$143,$B52,Journal!$F$3:$F$143,G$3)=0,"",SUMIFS(Journal!$D$3:$D$143,Journal!$A$3:$A$143,$B52,Journal!$F$3:$F$143,G$3))</f>
        <v/>
      </c>
      <c r="I52" s="86" t="str">
        <f>IF(SUMIFS(Journal!$D$3:$D$143,Journal!$A$3:$A$143,$B52,Journal!$E$3:$E$143,I$3)=0,"",SUMIFS(Journal!$D$3:$D$143,Journal!$A$3:$A$143,$B52,Journal!$E$3:$E$143,I$3))</f>
        <v/>
      </c>
      <c r="J52" s="86" t="str">
        <f>IF(SUMIFS(Journal!$D$3:$D$143,Journal!$A$3:$A$143,$B52,Journal!$F$3:$F$143,I$3)=0,"",SUMIFS(Journal!$D$3:$D$143,Journal!$A$3:$A$143,$B52,Journal!$F$3:$F$143,I$3))</f>
        <v/>
      </c>
      <c r="K52" s="86" t="str">
        <f>IF(SUMIFS(Journal!$D$3:$D$143,Journal!$A$3:$A$143,$B52,Journal!$E$3:$E$143,K$3)=0,"",SUMIFS(Journal!$D$3:$D$143,Journal!$A$3:$A$143,$B52,Journal!$E$3:$E$143,K$3))</f>
        <v/>
      </c>
      <c r="L52" s="86" t="str">
        <f>IF(SUMIFS(Journal!$D$3:$D$143,Journal!$A$3:$A$143,$B52,Journal!$F$3:$F$143,K$3)=0,"",SUMIFS(Journal!$D$3:$D$143,Journal!$A$3:$A$143,$B52,Journal!$F$3:$F$143,K$3))</f>
        <v/>
      </c>
      <c r="M52" s="86" t="str">
        <f>IF(SUMIFS(Journal!$D$3:$D$143,Journal!$A$3:$A$143,$B52,Journal!$E$3:$E$143,M$3)=0,"",SUMIFS(Journal!$D$3:$D$143,Journal!$A$3:$A$143,$B52,Journal!$E$3:$E$143,M$3))</f>
        <v/>
      </c>
      <c r="N52" s="86" t="str">
        <f>IF(SUMIFS(Journal!$D$3:$D$143,Journal!$A$3:$A$143,$B52,Journal!$F$3:$F$143,M$3)=0,"",SUMIFS(Journal!$D$3:$D$143,Journal!$A$3:$A$143,$B52,Journal!$F$3:$F$143,M$3))</f>
        <v/>
      </c>
      <c r="O52" s="86" t="str">
        <f>IF(SUMIFS(Journal!$D$3:$D$143,Journal!$A$3:$A$143,$B52,Journal!$E$3:$E$143,O$3)=0,"",SUMIFS(Journal!$D$3:$D$143,Journal!$A$3:$A$143,$B52,Journal!$E$3:$E$143,O$3))</f>
        <v/>
      </c>
      <c r="P52" s="86" t="str">
        <f>IF(SUMIFS(Journal!$D$3:$D$143,Journal!$A$3:$A$143,$B52,Journal!$F$3:$F$143,O$3)=0,"",SUMIFS(Journal!$D$3:$D$143,Journal!$A$3:$A$143,$B52,Journal!$F$3:$F$143,O$3))</f>
        <v/>
      </c>
      <c r="Q52" s="86" t="str">
        <f>IF(SUMIFS(Journal!$D$3:$D$143,Journal!$A$3:$A$143,$B52,Journal!$E$3:$E$143,Q$3)=0,"",SUMIFS(Journal!$D$3:$D$143,Journal!$A$3:$A$143,$B52,Journal!$E$3:$E$143,Q$3))</f>
        <v/>
      </c>
      <c r="R52" s="86" t="str">
        <f>IF(SUMIFS(Journal!$D$3:$D$143,Journal!$A$3:$A$143,$B52,Journal!$F$3:$F$143,Q$3)=0,"",SUMIFS(Journal!$D$3:$D$143,Journal!$A$3:$A$143,$B52,Journal!$F$3:$F$143,Q$3))</f>
        <v/>
      </c>
      <c r="S52" s="86" t="str">
        <f>IF(SUMIFS(Journal!$D$3:$D$143,Journal!$A$3:$A$143,$B52,Journal!$E$3:$E$143,S$3)=0,"",SUMIFS(Journal!$D$3:$D$143,Journal!$A$3:$A$143,$B52,Journal!$E$3:$E$143,S$3))</f>
        <v/>
      </c>
      <c r="T52" s="86" t="str">
        <f>IF(SUMIFS(Journal!$D$3:$D$143,Journal!$A$3:$A$143,$B52,Journal!$F$3:$F$143,S$3)=0,"",SUMIFS(Journal!$D$3:$D$143,Journal!$A$3:$A$143,$B52,Journal!$F$3:$F$143,S$3))</f>
        <v/>
      </c>
      <c r="U52" s="86" t="str">
        <f>IF(SUMIFS(Journal!$D$3:$D$143,Journal!$A$3:$A$143,$B52,Journal!$E$3:$E$143,U$3)=0,"",SUMIFS(Journal!$D$3:$D$143,Journal!$A$3:$A$143,$B52,Journal!$E$3:$E$143,U$3))</f>
        <v/>
      </c>
      <c r="V52" s="86" t="str">
        <f>IF(SUMIFS(Journal!$D$3:$D$143,Journal!$A$3:$A$143,$B52,Journal!$F$3:$F$143,U$3)=0,"",SUMIFS(Journal!$D$3:$D$143,Journal!$A$3:$A$143,$B52,Journal!$F$3:$F$143,U$3))</f>
        <v/>
      </c>
      <c r="W52" s="86" t="str">
        <f>IF(SUMIFS(Journal!$D$3:$D$143,Journal!$A$3:$A$143,$B52,Journal!$E$3:$E$143,W$3)=0,"",SUMIFS(Journal!$D$3:$D$143,Journal!$A$3:$A$143,$B52,Journal!$E$3:$E$143,W$3))</f>
        <v/>
      </c>
      <c r="X52" s="86" t="str">
        <f>IF(SUMIFS(Journal!$D$3:$D$143,Journal!$A$3:$A$143,$B52,Journal!$F$3:$F$143,W$3)=0,"",SUMIFS(Journal!$D$3:$D$143,Journal!$A$3:$A$143,$B52,Journal!$F$3:$F$143,W$3))</f>
        <v/>
      </c>
      <c r="Y52" s="86" t="str">
        <f>IF(SUMIFS(Journal!$D$3:$D$143,Journal!$A$3:$A$143,$B52,Journal!$E$3:$E$143,Y$3)=0,"",SUMIFS(Journal!$D$3:$D$143,Journal!$A$3:$A$143,$B52,Journal!$E$3:$E$143,Y$3))</f>
        <v/>
      </c>
      <c r="Z52" s="86" t="str">
        <f>IF(SUMIFS(Journal!$D$3:$D$143,Journal!$A$3:$A$143,$B52,Journal!$F$3:$F$143,Y$3)=0,"",SUMIFS(Journal!$D$3:$D$143,Journal!$A$3:$A$143,$B52,Journal!$F$3:$F$143,Y$3))</f>
        <v/>
      </c>
      <c r="AA52" s="86" t="str">
        <f>IF(SUMIFS(Journal!$D$3:$D$143,Journal!$A$3:$A$143,$B52,Journal!$E$3:$E$143,AA$3)=0,"",SUMIFS(Journal!$D$3:$D$143,Journal!$A$3:$A$143,$B52,Journal!$E$3:$E$143,AA$3))</f>
        <v/>
      </c>
      <c r="AB52" s="86" t="str">
        <f>IF(SUMIFS(Journal!$D$3:$D$143,Journal!$A$3:$A$143,$B52,Journal!$F$3:$F$143,AA$3)=0,"",SUMIFS(Journal!$D$3:$D$143,Journal!$A$3:$A$143,$B52,Journal!$F$3:$F$143,AA$3))</f>
        <v/>
      </c>
      <c r="AC52" s="86" t="str">
        <f>IF(SUMIFS(Journal!$D$3:$D$143,Journal!$A$3:$A$143,$B52,Journal!$E$3:$E$143,AC$3)=0,"",SUMIFS(Journal!$D$3:$D$143,Journal!$A$3:$A$143,$B52,Journal!$E$3:$E$143,AC$3))</f>
        <v/>
      </c>
      <c r="AD52" s="86" t="str">
        <f>IF(SUMIFS(Journal!$D$3:$D$143,Journal!$A$3:$A$143,$B52,Journal!$F$3:$F$143,AC$3)=0,"",SUMIFS(Journal!$D$3:$D$143,Journal!$A$3:$A$143,$B52,Journal!$F$3:$F$143,AC$3))</f>
        <v/>
      </c>
      <c r="AE52" s="86" t="str">
        <f>IF(SUMIFS(Journal!$D$3:$D$143,Journal!$A$3:$A$143,$B52,Journal!$E$3:$E$143,AE$3)=0,"",SUMIFS(Journal!$D$3:$D$143,Journal!$A$3:$A$143,$B52,Journal!$E$3:$E$143,AE$3))</f>
        <v/>
      </c>
      <c r="AF52" s="86" t="str">
        <f>IF(SUMIFS(Journal!$D$3:$D$143,Journal!$A$3:$A$143,$B52,Journal!$F$3:$F$143,AE$3)=0,"",SUMIFS(Journal!$D$3:$D$143,Journal!$A$3:$A$143,$B52,Journal!$F$3:$F$143,AE$3))</f>
        <v/>
      </c>
      <c r="AG52" s="86" t="str">
        <f>IF(SUMIFS(Journal!$D$3:$D$143,Journal!$A$3:$A$143,$B52,Journal!$E$3:$E$143,AG$3)=0,"",SUMIFS(Journal!$D$3:$D$143,Journal!$A$3:$A$143,$B52,Journal!$E$3:$E$143,AG$3))</f>
        <v/>
      </c>
      <c r="AH52" s="86" t="str">
        <f>IF(SUMIFS(Journal!$D$3:$D$143,Journal!$A$3:$A$143,$B52,Journal!$F$3:$F$143,AG$3)=0,"",SUMIFS(Journal!$D$3:$D$143,Journal!$A$3:$A$143,$B52,Journal!$F$3:$F$143,AG$3))</f>
        <v/>
      </c>
      <c r="AI52" s="86">
        <f>IF(SUMIFS(Journal!$D$3:$D$143,Journal!$A$3:$A$143,$B52,Journal!$E$3:$E$143,AI$3)=0,"",SUMIFS(Journal!$D$3:$D$143,Journal!$A$3:$A$143,$B52,Journal!$E$3:$E$143,AI$3))</f>
        <v>5400</v>
      </c>
      <c r="AJ52" s="86" t="str">
        <f>IF(SUMIFS(Journal!$D$3:$D$143,Journal!$A$3:$A$143,$B52,Journal!$F$3:$F$143,AI$3)=0,"",SUMIFS(Journal!$D$3:$D$143,Journal!$A$3:$A$143,$B52,Journal!$F$3:$F$143,AI$3))</f>
        <v/>
      </c>
      <c r="AK52" s="86" t="str">
        <f>IF(SUMIFS(Journal!$D$3:$D$143,Journal!$A$3:$A$143,$B52,Journal!$E$3:$E$143,AK$3)=0,"",SUMIFS(Journal!$D$3:$D$143,Journal!$A$3:$A$143,$B52,Journal!$E$3:$E$143,AK$3))</f>
        <v/>
      </c>
      <c r="AL52" s="86" t="str">
        <f>IF(SUMIFS(Journal!$D$3:$D$143,Journal!$A$3:$A$143,$B52,Journal!$F$3:$F$143,AK$3)=0,"",SUMIFS(Journal!$D$3:$D$143,Journal!$A$3:$A$143,$B52,Journal!$F$3:$F$143,AK$3))</f>
        <v/>
      </c>
      <c r="AM52" s="86" t="str">
        <f>IF(SUMIFS(Journal!$D$3:$D$143,Journal!$A$3:$A$143,$B52,Journal!$E$3:$E$143,AM$3)=0,"",SUMIFS(Journal!$D$3:$D$143,Journal!$A$3:$A$143,$B52,Journal!$E$3:$E$143,AM$3))</f>
        <v/>
      </c>
      <c r="AN52" s="86" t="str">
        <f>IF(SUMIFS(Journal!$D$3:$D$143,Journal!$A$3:$A$143,$B52,Journal!$F$3:$F$143,AM$3)=0,"",SUMIFS(Journal!$D$3:$D$143,Journal!$A$3:$A$143,$B52,Journal!$F$3:$F$143,AM$3))</f>
        <v/>
      </c>
      <c r="AO52" s="86" t="str">
        <f>IF(SUMIFS(Journal!$D$3:$D$143,Journal!$A$3:$A$143,$B52,Journal!$E$3:$E$143,AO$3)=0,"",SUMIFS(Journal!$D$3:$D$143,Journal!$A$3:$A$143,$B52,Journal!$E$3:$E$143,AO$3))</f>
        <v/>
      </c>
      <c r="AP52" s="86" t="str">
        <f>IF(SUMIFS(Journal!$D$3:$D$143,Journal!$A$3:$A$143,$B52,Journal!$F$3:$F$143,AO$3)=0,"",SUMIFS(Journal!$D$3:$D$143,Journal!$A$3:$A$143,$B52,Journal!$F$3:$F$143,AO$3))</f>
        <v/>
      </c>
      <c r="AQ52" s="86" t="str">
        <f>IF(SUMIFS(Journal!$D$3:$D$143,Journal!$A$3:$A$143,$B52,Journal!$E$3:$E$143,AQ$3)=0,"",SUMIFS(Journal!$D$3:$D$143,Journal!$A$3:$A$143,$B52,Journal!$E$3:$E$143,AQ$3))</f>
        <v/>
      </c>
      <c r="AR52" s="86" t="str">
        <f>IF(SUMIFS(Journal!$D$3:$D$143,Journal!$A$3:$A$143,$B52,Journal!$F$3:$F$143,AQ$3)=0,"",SUMIFS(Journal!$D$3:$D$143,Journal!$A$3:$A$143,$B52,Journal!$F$3:$F$143,AQ$3))</f>
        <v/>
      </c>
      <c r="AS52" s="86" t="str">
        <f>IF(SUMIFS(Journal!$D$3:$D$143,Journal!$A$3:$A$143,$B52,Journal!$E$3:$E$143,AS$3)=0,"",SUMIFS(Journal!$D$3:$D$143,Journal!$A$3:$A$143,$B52,Journal!$E$3:$E$143,AS$3))</f>
        <v/>
      </c>
      <c r="AT52" s="86" t="str">
        <f>IF(SUMIFS(Journal!$D$3:$D$143,Journal!$A$3:$A$143,$B52,Journal!$F$3:$F$143,AS$3)=0,"",SUMIFS(Journal!$D$3:$D$143,Journal!$A$3:$A$143,$B52,Journal!$F$3:$F$143,AS$3))</f>
        <v/>
      </c>
      <c r="AU52" s="86" t="str">
        <f>IF(SUMIFS(Journal!$D$3:$D$143,Journal!$A$3:$A$143,$B52,Journal!$E$3:$E$143,AU$3)=0,"",SUMIFS(Journal!$D$3:$D$143,Journal!$A$3:$A$143,$B52,Journal!$E$3:$E$143,AU$3))</f>
        <v/>
      </c>
      <c r="AV52" s="86" t="str">
        <f>IF(SUMIFS(Journal!$D$3:$D$143,Journal!$A$3:$A$143,$B52,Journal!$F$3:$F$143,AU$3)=0,"",SUMIFS(Journal!$D$3:$D$143,Journal!$A$3:$A$143,$B52,Journal!$F$3:$F$143,AU$3))</f>
        <v/>
      </c>
      <c r="AW52" s="86" t="str">
        <f>IF(SUMIFS(Journal!$D$3:$D$143,Journal!$A$3:$A$143,$B52,Journal!$E$3:$E$143,AW$3)=0,"",SUMIFS(Journal!$D$3:$D$143,Journal!$A$3:$A$143,$B52,Journal!$E$3:$E$143,AW$3))</f>
        <v/>
      </c>
      <c r="AX52" s="86" t="str">
        <f>IF(SUMIFS(Journal!$D$3:$D$143,Journal!$A$3:$A$143,$B52,Journal!$F$3:$F$143,AW$3)=0,"",SUMIFS(Journal!$D$3:$D$143,Journal!$A$3:$A$143,$B52,Journal!$F$3:$F$143,AW$3))</f>
        <v/>
      </c>
      <c r="AY52" s="86" t="str">
        <f>IF(SUMIFS(Journal!$D$3:$D$143,Journal!$A$3:$A$143,$B52,Journal!$E$3:$E$143,AY$3)=0,"",SUMIFS(Journal!$D$3:$D$143,Journal!$A$3:$A$143,$B52,Journal!$E$3:$E$143,AY$3))</f>
        <v/>
      </c>
      <c r="AZ52" s="86" t="str">
        <f>IF(SUMIFS(Journal!$D$3:$D$143,Journal!$A$3:$A$143,$B52,Journal!$F$3:$F$143,AY$3)=0,"",SUMIFS(Journal!$D$3:$D$143,Journal!$A$3:$A$143,$B52,Journal!$F$3:$F$143,AY$3))</f>
        <v/>
      </c>
      <c r="BA52" s="86" t="str">
        <f>IF(SUMIFS(Journal!$D$3:$D$143,Journal!$A$3:$A$143,$B52,Journal!$E$3:$E$143,BA$3)=0,"",SUMIFS(Journal!$D$3:$D$143,Journal!$A$3:$A$143,$B52,Journal!$E$3:$E$143,BA$3))</f>
        <v/>
      </c>
      <c r="BB52" s="86" t="str">
        <f>IF(SUMIFS(Journal!$D$3:$D$143,Journal!$A$3:$A$143,$B52,Journal!$F$3:$F$143,BA$3)=0,"",SUMIFS(Journal!$D$3:$D$143,Journal!$A$3:$A$143,$B52,Journal!$F$3:$F$143,BA$3))</f>
        <v/>
      </c>
    </row>
    <row r="53">
      <c r="A53" s="84">
        <f>VLOOKUP(B53,Journal!$A$3:$C$143,2,FALSE)</f>
        <v>45417</v>
      </c>
      <c r="B53" s="85" t="s">
        <v>384</v>
      </c>
      <c r="C53" s="86" t="str">
        <f>VLOOKUP(B53,Journal!$A$3:$C$143,3,FALSE)</f>
        <v>Collected part of March corporate tour receivable</v>
      </c>
      <c r="D53" s="86">
        <f>SUMIF(Journal!$A$3:$A$143,B53,Journal!$D$3:$D$143)</f>
        <v>4000</v>
      </c>
      <c r="E53" s="86">
        <f>IF(SUMIFS(Journal!$D$3:$D$143,Journal!$A$3:$A$143,$B53,Journal!$E$3:$E$143,E$3)=0,"",SUMIFS(Journal!$D$3:$D$143,Journal!$A$3:$A$143,$B53,Journal!$E$3:$E$143,E$3))</f>
        <v>4000</v>
      </c>
      <c r="F53" s="86" t="str">
        <f>IF(SUMIFS(Journal!$D$3:$D$143,Journal!$A$3:$A$143,$B53,Journal!$F$3:$F$143,E$3)=0,"",SUMIFS(Journal!$D$3:$D$143,Journal!$A$3:$A$143,$B53,Journal!$F$3:$F$143,E$3))</f>
        <v/>
      </c>
      <c r="G53" s="86" t="str">
        <f>IF(SUMIFS(Journal!$D$3:$D$143,Journal!$A$3:$A$143,$B53,Journal!$E$3:$E$143,G$3)=0,"",SUMIFS(Journal!$D$3:$D$143,Journal!$A$3:$A$143,$B53,Journal!$E$3:$E$143,G$3))</f>
        <v/>
      </c>
      <c r="H53" s="86">
        <f>IF(SUMIFS(Journal!$D$3:$D$143,Journal!$A$3:$A$143,$B53,Journal!$F$3:$F$143,G$3)=0,"",SUMIFS(Journal!$D$3:$D$143,Journal!$A$3:$A$143,$B53,Journal!$F$3:$F$143,G$3))</f>
        <v>4000</v>
      </c>
      <c r="I53" s="86" t="str">
        <f>IF(SUMIFS(Journal!$D$3:$D$143,Journal!$A$3:$A$143,$B53,Journal!$E$3:$E$143,I$3)=0,"",SUMIFS(Journal!$D$3:$D$143,Journal!$A$3:$A$143,$B53,Journal!$E$3:$E$143,I$3))</f>
        <v/>
      </c>
      <c r="J53" s="86" t="str">
        <f>IF(SUMIFS(Journal!$D$3:$D$143,Journal!$A$3:$A$143,$B53,Journal!$F$3:$F$143,I$3)=0,"",SUMIFS(Journal!$D$3:$D$143,Journal!$A$3:$A$143,$B53,Journal!$F$3:$F$143,I$3))</f>
        <v/>
      </c>
      <c r="K53" s="86" t="str">
        <f>IF(SUMIFS(Journal!$D$3:$D$143,Journal!$A$3:$A$143,$B53,Journal!$E$3:$E$143,K$3)=0,"",SUMIFS(Journal!$D$3:$D$143,Journal!$A$3:$A$143,$B53,Journal!$E$3:$E$143,K$3))</f>
        <v/>
      </c>
      <c r="L53" s="86" t="str">
        <f>IF(SUMIFS(Journal!$D$3:$D$143,Journal!$A$3:$A$143,$B53,Journal!$F$3:$F$143,K$3)=0,"",SUMIFS(Journal!$D$3:$D$143,Journal!$A$3:$A$143,$B53,Journal!$F$3:$F$143,K$3))</f>
        <v/>
      </c>
      <c r="M53" s="86" t="str">
        <f>IF(SUMIFS(Journal!$D$3:$D$143,Journal!$A$3:$A$143,$B53,Journal!$E$3:$E$143,M$3)=0,"",SUMIFS(Journal!$D$3:$D$143,Journal!$A$3:$A$143,$B53,Journal!$E$3:$E$143,M$3))</f>
        <v/>
      </c>
      <c r="N53" s="86" t="str">
        <f>IF(SUMIFS(Journal!$D$3:$D$143,Journal!$A$3:$A$143,$B53,Journal!$F$3:$F$143,M$3)=0,"",SUMIFS(Journal!$D$3:$D$143,Journal!$A$3:$A$143,$B53,Journal!$F$3:$F$143,M$3))</f>
        <v/>
      </c>
      <c r="O53" s="86" t="str">
        <f>IF(SUMIFS(Journal!$D$3:$D$143,Journal!$A$3:$A$143,$B53,Journal!$E$3:$E$143,O$3)=0,"",SUMIFS(Journal!$D$3:$D$143,Journal!$A$3:$A$143,$B53,Journal!$E$3:$E$143,O$3))</f>
        <v/>
      </c>
      <c r="P53" s="86" t="str">
        <f>IF(SUMIFS(Journal!$D$3:$D$143,Journal!$A$3:$A$143,$B53,Journal!$F$3:$F$143,O$3)=0,"",SUMIFS(Journal!$D$3:$D$143,Journal!$A$3:$A$143,$B53,Journal!$F$3:$F$143,O$3))</f>
        <v/>
      </c>
      <c r="Q53" s="86" t="str">
        <f>IF(SUMIFS(Journal!$D$3:$D$143,Journal!$A$3:$A$143,$B53,Journal!$E$3:$E$143,Q$3)=0,"",SUMIFS(Journal!$D$3:$D$143,Journal!$A$3:$A$143,$B53,Journal!$E$3:$E$143,Q$3))</f>
        <v/>
      </c>
      <c r="R53" s="86" t="str">
        <f>IF(SUMIFS(Journal!$D$3:$D$143,Journal!$A$3:$A$143,$B53,Journal!$F$3:$F$143,Q$3)=0,"",SUMIFS(Journal!$D$3:$D$143,Journal!$A$3:$A$143,$B53,Journal!$F$3:$F$143,Q$3))</f>
        <v/>
      </c>
      <c r="S53" s="86" t="str">
        <f>IF(SUMIFS(Journal!$D$3:$D$143,Journal!$A$3:$A$143,$B53,Journal!$E$3:$E$143,S$3)=0,"",SUMIFS(Journal!$D$3:$D$143,Journal!$A$3:$A$143,$B53,Journal!$E$3:$E$143,S$3))</f>
        <v/>
      </c>
      <c r="T53" s="86" t="str">
        <f>IF(SUMIFS(Journal!$D$3:$D$143,Journal!$A$3:$A$143,$B53,Journal!$F$3:$F$143,S$3)=0,"",SUMIFS(Journal!$D$3:$D$143,Journal!$A$3:$A$143,$B53,Journal!$F$3:$F$143,S$3))</f>
        <v/>
      </c>
      <c r="U53" s="86" t="str">
        <f>IF(SUMIFS(Journal!$D$3:$D$143,Journal!$A$3:$A$143,$B53,Journal!$E$3:$E$143,U$3)=0,"",SUMIFS(Journal!$D$3:$D$143,Journal!$A$3:$A$143,$B53,Journal!$E$3:$E$143,U$3))</f>
        <v/>
      </c>
      <c r="V53" s="86" t="str">
        <f>IF(SUMIFS(Journal!$D$3:$D$143,Journal!$A$3:$A$143,$B53,Journal!$F$3:$F$143,U$3)=0,"",SUMIFS(Journal!$D$3:$D$143,Journal!$A$3:$A$143,$B53,Journal!$F$3:$F$143,U$3))</f>
        <v/>
      </c>
      <c r="W53" s="86" t="str">
        <f>IF(SUMIFS(Journal!$D$3:$D$143,Journal!$A$3:$A$143,$B53,Journal!$E$3:$E$143,W$3)=0,"",SUMIFS(Journal!$D$3:$D$143,Journal!$A$3:$A$143,$B53,Journal!$E$3:$E$143,W$3))</f>
        <v/>
      </c>
      <c r="X53" s="86" t="str">
        <f>IF(SUMIFS(Journal!$D$3:$D$143,Journal!$A$3:$A$143,$B53,Journal!$F$3:$F$143,W$3)=0,"",SUMIFS(Journal!$D$3:$D$143,Journal!$A$3:$A$143,$B53,Journal!$F$3:$F$143,W$3))</f>
        <v/>
      </c>
      <c r="Y53" s="86" t="str">
        <f>IF(SUMIFS(Journal!$D$3:$D$143,Journal!$A$3:$A$143,$B53,Journal!$E$3:$E$143,Y$3)=0,"",SUMIFS(Journal!$D$3:$D$143,Journal!$A$3:$A$143,$B53,Journal!$E$3:$E$143,Y$3))</f>
        <v/>
      </c>
      <c r="Z53" s="86" t="str">
        <f>IF(SUMIFS(Journal!$D$3:$D$143,Journal!$A$3:$A$143,$B53,Journal!$F$3:$F$143,Y$3)=0,"",SUMIFS(Journal!$D$3:$D$143,Journal!$A$3:$A$143,$B53,Journal!$F$3:$F$143,Y$3))</f>
        <v/>
      </c>
      <c r="AA53" s="86" t="str">
        <f>IF(SUMIFS(Journal!$D$3:$D$143,Journal!$A$3:$A$143,$B53,Journal!$E$3:$E$143,AA$3)=0,"",SUMIFS(Journal!$D$3:$D$143,Journal!$A$3:$A$143,$B53,Journal!$E$3:$E$143,AA$3))</f>
        <v/>
      </c>
      <c r="AB53" s="86" t="str">
        <f>IF(SUMIFS(Journal!$D$3:$D$143,Journal!$A$3:$A$143,$B53,Journal!$F$3:$F$143,AA$3)=0,"",SUMIFS(Journal!$D$3:$D$143,Journal!$A$3:$A$143,$B53,Journal!$F$3:$F$143,AA$3))</f>
        <v/>
      </c>
      <c r="AC53" s="86" t="str">
        <f>IF(SUMIFS(Journal!$D$3:$D$143,Journal!$A$3:$A$143,$B53,Journal!$E$3:$E$143,AC$3)=0,"",SUMIFS(Journal!$D$3:$D$143,Journal!$A$3:$A$143,$B53,Journal!$E$3:$E$143,AC$3))</f>
        <v/>
      </c>
      <c r="AD53" s="86" t="str">
        <f>IF(SUMIFS(Journal!$D$3:$D$143,Journal!$A$3:$A$143,$B53,Journal!$F$3:$F$143,AC$3)=0,"",SUMIFS(Journal!$D$3:$D$143,Journal!$A$3:$A$143,$B53,Journal!$F$3:$F$143,AC$3))</f>
        <v/>
      </c>
      <c r="AE53" s="86" t="str">
        <f>IF(SUMIFS(Journal!$D$3:$D$143,Journal!$A$3:$A$143,$B53,Journal!$E$3:$E$143,AE$3)=0,"",SUMIFS(Journal!$D$3:$D$143,Journal!$A$3:$A$143,$B53,Journal!$E$3:$E$143,AE$3))</f>
        <v/>
      </c>
      <c r="AF53" s="86" t="str">
        <f>IF(SUMIFS(Journal!$D$3:$D$143,Journal!$A$3:$A$143,$B53,Journal!$F$3:$F$143,AE$3)=0,"",SUMIFS(Journal!$D$3:$D$143,Journal!$A$3:$A$143,$B53,Journal!$F$3:$F$143,AE$3))</f>
        <v/>
      </c>
      <c r="AG53" s="86" t="str">
        <f>IF(SUMIFS(Journal!$D$3:$D$143,Journal!$A$3:$A$143,$B53,Journal!$E$3:$E$143,AG$3)=0,"",SUMIFS(Journal!$D$3:$D$143,Journal!$A$3:$A$143,$B53,Journal!$E$3:$E$143,AG$3))</f>
        <v/>
      </c>
      <c r="AH53" s="86" t="str">
        <f>IF(SUMIFS(Journal!$D$3:$D$143,Journal!$A$3:$A$143,$B53,Journal!$F$3:$F$143,AG$3)=0,"",SUMIFS(Journal!$D$3:$D$143,Journal!$A$3:$A$143,$B53,Journal!$F$3:$F$143,AG$3))</f>
        <v/>
      </c>
      <c r="AI53" s="86" t="str">
        <f>IF(SUMIFS(Journal!$D$3:$D$143,Journal!$A$3:$A$143,$B53,Journal!$E$3:$E$143,AI$3)=0,"",SUMIFS(Journal!$D$3:$D$143,Journal!$A$3:$A$143,$B53,Journal!$E$3:$E$143,AI$3))</f>
        <v/>
      </c>
      <c r="AJ53" s="86" t="str">
        <f>IF(SUMIFS(Journal!$D$3:$D$143,Journal!$A$3:$A$143,$B53,Journal!$F$3:$F$143,AI$3)=0,"",SUMIFS(Journal!$D$3:$D$143,Journal!$A$3:$A$143,$B53,Journal!$F$3:$F$143,AI$3))</f>
        <v/>
      </c>
      <c r="AK53" s="86" t="str">
        <f>IF(SUMIFS(Journal!$D$3:$D$143,Journal!$A$3:$A$143,$B53,Journal!$E$3:$E$143,AK$3)=0,"",SUMIFS(Journal!$D$3:$D$143,Journal!$A$3:$A$143,$B53,Journal!$E$3:$E$143,AK$3))</f>
        <v/>
      </c>
      <c r="AL53" s="86" t="str">
        <f>IF(SUMIFS(Journal!$D$3:$D$143,Journal!$A$3:$A$143,$B53,Journal!$F$3:$F$143,AK$3)=0,"",SUMIFS(Journal!$D$3:$D$143,Journal!$A$3:$A$143,$B53,Journal!$F$3:$F$143,AK$3))</f>
        <v/>
      </c>
      <c r="AM53" s="86" t="str">
        <f>IF(SUMIFS(Journal!$D$3:$D$143,Journal!$A$3:$A$143,$B53,Journal!$E$3:$E$143,AM$3)=0,"",SUMIFS(Journal!$D$3:$D$143,Journal!$A$3:$A$143,$B53,Journal!$E$3:$E$143,AM$3))</f>
        <v/>
      </c>
      <c r="AN53" s="86" t="str">
        <f>IF(SUMIFS(Journal!$D$3:$D$143,Journal!$A$3:$A$143,$B53,Journal!$F$3:$F$143,AM$3)=0,"",SUMIFS(Journal!$D$3:$D$143,Journal!$A$3:$A$143,$B53,Journal!$F$3:$F$143,AM$3))</f>
        <v/>
      </c>
      <c r="AO53" s="86" t="str">
        <f>IF(SUMIFS(Journal!$D$3:$D$143,Journal!$A$3:$A$143,$B53,Journal!$E$3:$E$143,AO$3)=0,"",SUMIFS(Journal!$D$3:$D$143,Journal!$A$3:$A$143,$B53,Journal!$E$3:$E$143,AO$3))</f>
        <v/>
      </c>
      <c r="AP53" s="86" t="str">
        <f>IF(SUMIFS(Journal!$D$3:$D$143,Journal!$A$3:$A$143,$B53,Journal!$F$3:$F$143,AO$3)=0,"",SUMIFS(Journal!$D$3:$D$143,Journal!$A$3:$A$143,$B53,Journal!$F$3:$F$143,AO$3))</f>
        <v/>
      </c>
      <c r="AQ53" s="86" t="str">
        <f>IF(SUMIFS(Journal!$D$3:$D$143,Journal!$A$3:$A$143,$B53,Journal!$E$3:$E$143,AQ$3)=0,"",SUMIFS(Journal!$D$3:$D$143,Journal!$A$3:$A$143,$B53,Journal!$E$3:$E$143,AQ$3))</f>
        <v/>
      </c>
      <c r="AR53" s="86" t="str">
        <f>IF(SUMIFS(Journal!$D$3:$D$143,Journal!$A$3:$A$143,$B53,Journal!$F$3:$F$143,AQ$3)=0,"",SUMIFS(Journal!$D$3:$D$143,Journal!$A$3:$A$143,$B53,Journal!$F$3:$F$143,AQ$3))</f>
        <v/>
      </c>
      <c r="AS53" s="86" t="str">
        <f>IF(SUMIFS(Journal!$D$3:$D$143,Journal!$A$3:$A$143,$B53,Journal!$E$3:$E$143,AS$3)=0,"",SUMIFS(Journal!$D$3:$D$143,Journal!$A$3:$A$143,$B53,Journal!$E$3:$E$143,AS$3))</f>
        <v/>
      </c>
      <c r="AT53" s="86" t="str">
        <f>IF(SUMIFS(Journal!$D$3:$D$143,Journal!$A$3:$A$143,$B53,Journal!$F$3:$F$143,AS$3)=0,"",SUMIFS(Journal!$D$3:$D$143,Journal!$A$3:$A$143,$B53,Journal!$F$3:$F$143,AS$3))</f>
        <v/>
      </c>
      <c r="AU53" s="86" t="str">
        <f>IF(SUMIFS(Journal!$D$3:$D$143,Journal!$A$3:$A$143,$B53,Journal!$E$3:$E$143,AU$3)=0,"",SUMIFS(Journal!$D$3:$D$143,Journal!$A$3:$A$143,$B53,Journal!$E$3:$E$143,AU$3))</f>
        <v/>
      </c>
      <c r="AV53" s="86" t="str">
        <f>IF(SUMIFS(Journal!$D$3:$D$143,Journal!$A$3:$A$143,$B53,Journal!$F$3:$F$143,AU$3)=0,"",SUMIFS(Journal!$D$3:$D$143,Journal!$A$3:$A$143,$B53,Journal!$F$3:$F$143,AU$3))</f>
        <v/>
      </c>
      <c r="AW53" s="86" t="str">
        <f>IF(SUMIFS(Journal!$D$3:$D$143,Journal!$A$3:$A$143,$B53,Journal!$E$3:$E$143,AW$3)=0,"",SUMIFS(Journal!$D$3:$D$143,Journal!$A$3:$A$143,$B53,Journal!$E$3:$E$143,AW$3))</f>
        <v/>
      </c>
      <c r="AX53" s="86" t="str">
        <f>IF(SUMIFS(Journal!$D$3:$D$143,Journal!$A$3:$A$143,$B53,Journal!$F$3:$F$143,AW$3)=0,"",SUMIFS(Journal!$D$3:$D$143,Journal!$A$3:$A$143,$B53,Journal!$F$3:$F$143,AW$3))</f>
        <v/>
      </c>
      <c r="AY53" s="86" t="str">
        <f>IF(SUMIFS(Journal!$D$3:$D$143,Journal!$A$3:$A$143,$B53,Journal!$E$3:$E$143,AY$3)=0,"",SUMIFS(Journal!$D$3:$D$143,Journal!$A$3:$A$143,$B53,Journal!$E$3:$E$143,AY$3))</f>
        <v/>
      </c>
      <c r="AZ53" s="86" t="str">
        <f>IF(SUMIFS(Journal!$D$3:$D$143,Journal!$A$3:$A$143,$B53,Journal!$F$3:$F$143,AY$3)=0,"",SUMIFS(Journal!$D$3:$D$143,Journal!$A$3:$A$143,$B53,Journal!$F$3:$F$143,AY$3))</f>
        <v/>
      </c>
      <c r="BA53" s="86" t="str">
        <f>IF(SUMIFS(Journal!$D$3:$D$143,Journal!$A$3:$A$143,$B53,Journal!$E$3:$E$143,BA$3)=0,"",SUMIFS(Journal!$D$3:$D$143,Journal!$A$3:$A$143,$B53,Journal!$E$3:$E$143,BA$3))</f>
        <v/>
      </c>
      <c r="BB53" s="86" t="str">
        <f>IF(SUMIFS(Journal!$D$3:$D$143,Journal!$A$3:$A$143,$B53,Journal!$F$3:$F$143,BA$3)=0,"",SUMIFS(Journal!$D$3:$D$143,Journal!$A$3:$A$143,$B53,Journal!$F$3:$F$143,BA$3))</f>
        <v/>
      </c>
    </row>
    <row r="54">
      <c r="A54" s="84">
        <f>VLOOKUP(B54,Journal!$A$3:$C$143,2,FALSE)</f>
        <v>45418</v>
      </c>
      <c r="B54" s="85" t="s">
        <v>391</v>
      </c>
      <c r="C54" s="86" t="str">
        <f>VLOOKUP(B54,Journal!$A$3:$C$143,3,FALSE)</f>
        <v>Monthly business insurance premium</v>
      </c>
      <c r="D54" s="86">
        <f>SUMIF(Journal!$A$3:$A$143,B54,Journal!$D$3:$D$143)</f>
        <v>600</v>
      </c>
      <c r="E54" s="86" t="str">
        <f>IF(SUMIFS(Journal!$D$3:$D$143,Journal!$A$3:$A$143,$B54,Journal!$E$3:$E$143,E$3)=0,"",SUMIFS(Journal!$D$3:$D$143,Journal!$A$3:$A$143,$B54,Journal!$E$3:$E$143,E$3))</f>
        <v/>
      </c>
      <c r="F54" s="86">
        <f>IF(SUMIFS(Journal!$D$3:$D$143,Journal!$A$3:$A$143,$B54,Journal!$F$3:$F$143,E$3)=0,"",SUMIFS(Journal!$D$3:$D$143,Journal!$A$3:$A$143,$B54,Journal!$F$3:$F$143,E$3))</f>
        <v>600</v>
      </c>
      <c r="G54" s="86" t="str">
        <f>IF(SUMIFS(Journal!$D$3:$D$143,Journal!$A$3:$A$143,$B54,Journal!$E$3:$E$143,G$3)=0,"",SUMIFS(Journal!$D$3:$D$143,Journal!$A$3:$A$143,$B54,Journal!$E$3:$E$143,G$3))</f>
        <v/>
      </c>
      <c r="H54" s="86" t="str">
        <f>IF(SUMIFS(Journal!$D$3:$D$143,Journal!$A$3:$A$143,$B54,Journal!$F$3:$F$143,G$3)=0,"",SUMIFS(Journal!$D$3:$D$143,Journal!$A$3:$A$143,$B54,Journal!$F$3:$F$143,G$3))</f>
        <v/>
      </c>
      <c r="I54" s="86" t="str">
        <f>IF(SUMIFS(Journal!$D$3:$D$143,Journal!$A$3:$A$143,$B54,Journal!$E$3:$E$143,I$3)=0,"",SUMIFS(Journal!$D$3:$D$143,Journal!$A$3:$A$143,$B54,Journal!$E$3:$E$143,I$3))</f>
        <v/>
      </c>
      <c r="J54" s="86" t="str">
        <f>IF(SUMIFS(Journal!$D$3:$D$143,Journal!$A$3:$A$143,$B54,Journal!$F$3:$F$143,I$3)=0,"",SUMIFS(Journal!$D$3:$D$143,Journal!$A$3:$A$143,$B54,Journal!$F$3:$F$143,I$3))</f>
        <v/>
      </c>
      <c r="K54" s="86" t="str">
        <f>IF(SUMIFS(Journal!$D$3:$D$143,Journal!$A$3:$A$143,$B54,Journal!$E$3:$E$143,K$3)=0,"",SUMIFS(Journal!$D$3:$D$143,Journal!$A$3:$A$143,$B54,Journal!$E$3:$E$143,K$3))</f>
        <v/>
      </c>
      <c r="L54" s="86" t="str">
        <f>IF(SUMIFS(Journal!$D$3:$D$143,Journal!$A$3:$A$143,$B54,Journal!$F$3:$F$143,K$3)=0,"",SUMIFS(Journal!$D$3:$D$143,Journal!$A$3:$A$143,$B54,Journal!$F$3:$F$143,K$3))</f>
        <v/>
      </c>
      <c r="M54" s="86" t="str">
        <f>IF(SUMIFS(Journal!$D$3:$D$143,Journal!$A$3:$A$143,$B54,Journal!$E$3:$E$143,M$3)=0,"",SUMIFS(Journal!$D$3:$D$143,Journal!$A$3:$A$143,$B54,Journal!$E$3:$E$143,M$3))</f>
        <v/>
      </c>
      <c r="N54" s="86" t="str">
        <f>IF(SUMIFS(Journal!$D$3:$D$143,Journal!$A$3:$A$143,$B54,Journal!$F$3:$F$143,M$3)=0,"",SUMIFS(Journal!$D$3:$D$143,Journal!$A$3:$A$143,$B54,Journal!$F$3:$F$143,M$3))</f>
        <v/>
      </c>
      <c r="O54" s="86" t="str">
        <f>IF(SUMIFS(Journal!$D$3:$D$143,Journal!$A$3:$A$143,$B54,Journal!$E$3:$E$143,O$3)=0,"",SUMIFS(Journal!$D$3:$D$143,Journal!$A$3:$A$143,$B54,Journal!$E$3:$E$143,O$3))</f>
        <v/>
      </c>
      <c r="P54" s="86" t="str">
        <f>IF(SUMIFS(Journal!$D$3:$D$143,Journal!$A$3:$A$143,$B54,Journal!$F$3:$F$143,O$3)=0,"",SUMIFS(Journal!$D$3:$D$143,Journal!$A$3:$A$143,$B54,Journal!$F$3:$F$143,O$3))</f>
        <v/>
      </c>
      <c r="Q54" s="86" t="str">
        <f>IF(SUMIFS(Journal!$D$3:$D$143,Journal!$A$3:$A$143,$B54,Journal!$E$3:$E$143,Q$3)=0,"",SUMIFS(Journal!$D$3:$D$143,Journal!$A$3:$A$143,$B54,Journal!$E$3:$E$143,Q$3))</f>
        <v/>
      </c>
      <c r="R54" s="86" t="str">
        <f>IF(SUMIFS(Journal!$D$3:$D$143,Journal!$A$3:$A$143,$B54,Journal!$F$3:$F$143,Q$3)=0,"",SUMIFS(Journal!$D$3:$D$143,Journal!$A$3:$A$143,$B54,Journal!$F$3:$F$143,Q$3))</f>
        <v/>
      </c>
      <c r="S54" s="86" t="str">
        <f>IF(SUMIFS(Journal!$D$3:$D$143,Journal!$A$3:$A$143,$B54,Journal!$E$3:$E$143,S$3)=0,"",SUMIFS(Journal!$D$3:$D$143,Journal!$A$3:$A$143,$B54,Journal!$E$3:$E$143,S$3))</f>
        <v/>
      </c>
      <c r="T54" s="86" t="str">
        <f>IF(SUMIFS(Journal!$D$3:$D$143,Journal!$A$3:$A$143,$B54,Journal!$F$3:$F$143,S$3)=0,"",SUMIFS(Journal!$D$3:$D$143,Journal!$A$3:$A$143,$B54,Journal!$F$3:$F$143,S$3))</f>
        <v/>
      </c>
      <c r="U54" s="86" t="str">
        <f>IF(SUMIFS(Journal!$D$3:$D$143,Journal!$A$3:$A$143,$B54,Journal!$E$3:$E$143,U$3)=0,"",SUMIFS(Journal!$D$3:$D$143,Journal!$A$3:$A$143,$B54,Journal!$E$3:$E$143,U$3))</f>
        <v/>
      </c>
      <c r="V54" s="86" t="str">
        <f>IF(SUMIFS(Journal!$D$3:$D$143,Journal!$A$3:$A$143,$B54,Journal!$F$3:$F$143,U$3)=0,"",SUMIFS(Journal!$D$3:$D$143,Journal!$A$3:$A$143,$B54,Journal!$F$3:$F$143,U$3))</f>
        <v/>
      </c>
      <c r="W54" s="86" t="str">
        <f>IF(SUMIFS(Journal!$D$3:$D$143,Journal!$A$3:$A$143,$B54,Journal!$E$3:$E$143,W$3)=0,"",SUMIFS(Journal!$D$3:$D$143,Journal!$A$3:$A$143,$B54,Journal!$E$3:$E$143,W$3))</f>
        <v/>
      </c>
      <c r="X54" s="86" t="str">
        <f>IF(SUMIFS(Journal!$D$3:$D$143,Journal!$A$3:$A$143,$B54,Journal!$F$3:$F$143,W$3)=0,"",SUMIFS(Journal!$D$3:$D$143,Journal!$A$3:$A$143,$B54,Journal!$F$3:$F$143,W$3))</f>
        <v/>
      </c>
      <c r="Y54" s="86" t="str">
        <f>IF(SUMIFS(Journal!$D$3:$D$143,Journal!$A$3:$A$143,$B54,Journal!$E$3:$E$143,Y$3)=0,"",SUMIFS(Journal!$D$3:$D$143,Journal!$A$3:$A$143,$B54,Journal!$E$3:$E$143,Y$3))</f>
        <v/>
      </c>
      <c r="Z54" s="86" t="str">
        <f>IF(SUMIFS(Journal!$D$3:$D$143,Journal!$A$3:$A$143,$B54,Journal!$F$3:$F$143,Y$3)=0,"",SUMIFS(Journal!$D$3:$D$143,Journal!$A$3:$A$143,$B54,Journal!$F$3:$F$143,Y$3))</f>
        <v/>
      </c>
      <c r="AA54" s="86" t="str">
        <f>IF(SUMIFS(Journal!$D$3:$D$143,Journal!$A$3:$A$143,$B54,Journal!$E$3:$E$143,AA$3)=0,"",SUMIFS(Journal!$D$3:$D$143,Journal!$A$3:$A$143,$B54,Journal!$E$3:$E$143,AA$3))</f>
        <v/>
      </c>
      <c r="AB54" s="86" t="str">
        <f>IF(SUMIFS(Journal!$D$3:$D$143,Journal!$A$3:$A$143,$B54,Journal!$F$3:$F$143,AA$3)=0,"",SUMIFS(Journal!$D$3:$D$143,Journal!$A$3:$A$143,$B54,Journal!$F$3:$F$143,AA$3))</f>
        <v/>
      </c>
      <c r="AC54" s="86" t="str">
        <f>IF(SUMIFS(Journal!$D$3:$D$143,Journal!$A$3:$A$143,$B54,Journal!$E$3:$E$143,AC$3)=0,"",SUMIFS(Journal!$D$3:$D$143,Journal!$A$3:$A$143,$B54,Journal!$E$3:$E$143,AC$3))</f>
        <v/>
      </c>
      <c r="AD54" s="86" t="str">
        <f>IF(SUMIFS(Journal!$D$3:$D$143,Journal!$A$3:$A$143,$B54,Journal!$F$3:$F$143,AC$3)=0,"",SUMIFS(Journal!$D$3:$D$143,Journal!$A$3:$A$143,$B54,Journal!$F$3:$F$143,AC$3))</f>
        <v/>
      </c>
      <c r="AE54" s="86" t="str">
        <f>IF(SUMIFS(Journal!$D$3:$D$143,Journal!$A$3:$A$143,$B54,Journal!$E$3:$E$143,AE$3)=0,"",SUMIFS(Journal!$D$3:$D$143,Journal!$A$3:$A$143,$B54,Journal!$E$3:$E$143,AE$3))</f>
        <v/>
      </c>
      <c r="AF54" s="86" t="str">
        <f>IF(SUMIFS(Journal!$D$3:$D$143,Journal!$A$3:$A$143,$B54,Journal!$F$3:$F$143,AE$3)=0,"",SUMIFS(Journal!$D$3:$D$143,Journal!$A$3:$A$143,$B54,Journal!$F$3:$F$143,AE$3))</f>
        <v/>
      </c>
      <c r="AG54" s="86" t="str">
        <f>IF(SUMIFS(Journal!$D$3:$D$143,Journal!$A$3:$A$143,$B54,Journal!$E$3:$E$143,AG$3)=0,"",SUMIFS(Journal!$D$3:$D$143,Journal!$A$3:$A$143,$B54,Journal!$E$3:$E$143,AG$3))</f>
        <v/>
      </c>
      <c r="AH54" s="86" t="str">
        <f>IF(SUMIFS(Journal!$D$3:$D$143,Journal!$A$3:$A$143,$B54,Journal!$F$3:$F$143,AG$3)=0,"",SUMIFS(Journal!$D$3:$D$143,Journal!$A$3:$A$143,$B54,Journal!$F$3:$F$143,AG$3))</f>
        <v/>
      </c>
      <c r="AI54" s="86" t="str">
        <f>IF(SUMIFS(Journal!$D$3:$D$143,Journal!$A$3:$A$143,$B54,Journal!$E$3:$E$143,AI$3)=0,"",SUMIFS(Journal!$D$3:$D$143,Journal!$A$3:$A$143,$B54,Journal!$E$3:$E$143,AI$3))</f>
        <v/>
      </c>
      <c r="AJ54" s="86" t="str">
        <f>IF(SUMIFS(Journal!$D$3:$D$143,Journal!$A$3:$A$143,$B54,Journal!$F$3:$F$143,AI$3)=0,"",SUMIFS(Journal!$D$3:$D$143,Journal!$A$3:$A$143,$B54,Journal!$F$3:$F$143,AI$3))</f>
        <v/>
      </c>
      <c r="AK54" s="86">
        <f>IF(SUMIFS(Journal!$D$3:$D$143,Journal!$A$3:$A$143,$B54,Journal!$E$3:$E$143,AK$3)=0,"",SUMIFS(Journal!$D$3:$D$143,Journal!$A$3:$A$143,$B54,Journal!$E$3:$E$143,AK$3))</f>
        <v>600</v>
      </c>
      <c r="AL54" s="86" t="str">
        <f>IF(SUMIFS(Journal!$D$3:$D$143,Journal!$A$3:$A$143,$B54,Journal!$F$3:$F$143,AK$3)=0,"",SUMIFS(Journal!$D$3:$D$143,Journal!$A$3:$A$143,$B54,Journal!$F$3:$F$143,AK$3))</f>
        <v/>
      </c>
      <c r="AM54" s="86" t="str">
        <f>IF(SUMIFS(Journal!$D$3:$D$143,Journal!$A$3:$A$143,$B54,Journal!$E$3:$E$143,AM$3)=0,"",SUMIFS(Journal!$D$3:$D$143,Journal!$A$3:$A$143,$B54,Journal!$E$3:$E$143,AM$3))</f>
        <v/>
      </c>
      <c r="AN54" s="86" t="str">
        <f>IF(SUMIFS(Journal!$D$3:$D$143,Journal!$A$3:$A$143,$B54,Journal!$F$3:$F$143,AM$3)=0,"",SUMIFS(Journal!$D$3:$D$143,Journal!$A$3:$A$143,$B54,Journal!$F$3:$F$143,AM$3))</f>
        <v/>
      </c>
      <c r="AO54" s="86" t="str">
        <f>IF(SUMIFS(Journal!$D$3:$D$143,Journal!$A$3:$A$143,$B54,Journal!$E$3:$E$143,AO$3)=0,"",SUMIFS(Journal!$D$3:$D$143,Journal!$A$3:$A$143,$B54,Journal!$E$3:$E$143,AO$3))</f>
        <v/>
      </c>
      <c r="AP54" s="86" t="str">
        <f>IF(SUMIFS(Journal!$D$3:$D$143,Journal!$A$3:$A$143,$B54,Journal!$F$3:$F$143,AO$3)=0,"",SUMIFS(Journal!$D$3:$D$143,Journal!$A$3:$A$143,$B54,Journal!$F$3:$F$143,AO$3))</f>
        <v/>
      </c>
      <c r="AQ54" s="86" t="str">
        <f>IF(SUMIFS(Journal!$D$3:$D$143,Journal!$A$3:$A$143,$B54,Journal!$E$3:$E$143,AQ$3)=0,"",SUMIFS(Journal!$D$3:$D$143,Journal!$A$3:$A$143,$B54,Journal!$E$3:$E$143,AQ$3))</f>
        <v/>
      </c>
      <c r="AR54" s="86" t="str">
        <f>IF(SUMIFS(Journal!$D$3:$D$143,Journal!$A$3:$A$143,$B54,Journal!$F$3:$F$143,AQ$3)=0,"",SUMIFS(Journal!$D$3:$D$143,Journal!$A$3:$A$143,$B54,Journal!$F$3:$F$143,AQ$3))</f>
        <v/>
      </c>
      <c r="AS54" s="86" t="str">
        <f>IF(SUMIFS(Journal!$D$3:$D$143,Journal!$A$3:$A$143,$B54,Journal!$E$3:$E$143,AS$3)=0,"",SUMIFS(Journal!$D$3:$D$143,Journal!$A$3:$A$143,$B54,Journal!$E$3:$E$143,AS$3))</f>
        <v/>
      </c>
      <c r="AT54" s="86" t="str">
        <f>IF(SUMIFS(Journal!$D$3:$D$143,Journal!$A$3:$A$143,$B54,Journal!$F$3:$F$143,AS$3)=0,"",SUMIFS(Journal!$D$3:$D$143,Journal!$A$3:$A$143,$B54,Journal!$F$3:$F$143,AS$3))</f>
        <v/>
      </c>
      <c r="AU54" s="86" t="str">
        <f>IF(SUMIFS(Journal!$D$3:$D$143,Journal!$A$3:$A$143,$B54,Journal!$E$3:$E$143,AU$3)=0,"",SUMIFS(Journal!$D$3:$D$143,Journal!$A$3:$A$143,$B54,Journal!$E$3:$E$143,AU$3))</f>
        <v/>
      </c>
      <c r="AV54" s="86" t="str">
        <f>IF(SUMIFS(Journal!$D$3:$D$143,Journal!$A$3:$A$143,$B54,Journal!$F$3:$F$143,AU$3)=0,"",SUMIFS(Journal!$D$3:$D$143,Journal!$A$3:$A$143,$B54,Journal!$F$3:$F$143,AU$3))</f>
        <v/>
      </c>
      <c r="AW54" s="86" t="str">
        <f>IF(SUMIFS(Journal!$D$3:$D$143,Journal!$A$3:$A$143,$B54,Journal!$E$3:$E$143,AW$3)=0,"",SUMIFS(Journal!$D$3:$D$143,Journal!$A$3:$A$143,$B54,Journal!$E$3:$E$143,AW$3))</f>
        <v/>
      </c>
      <c r="AX54" s="86" t="str">
        <f>IF(SUMIFS(Journal!$D$3:$D$143,Journal!$A$3:$A$143,$B54,Journal!$F$3:$F$143,AW$3)=0,"",SUMIFS(Journal!$D$3:$D$143,Journal!$A$3:$A$143,$B54,Journal!$F$3:$F$143,AW$3))</f>
        <v/>
      </c>
      <c r="AY54" s="86" t="str">
        <f>IF(SUMIFS(Journal!$D$3:$D$143,Journal!$A$3:$A$143,$B54,Journal!$E$3:$E$143,AY$3)=0,"",SUMIFS(Journal!$D$3:$D$143,Journal!$A$3:$A$143,$B54,Journal!$E$3:$E$143,AY$3))</f>
        <v/>
      </c>
      <c r="AZ54" s="86" t="str">
        <f>IF(SUMIFS(Journal!$D$3:$D$143,Journal!$A$3:$A$143,$B54,Journal!$F$3:$F$143,AY$3)=0,"",SUMIFS(Journal!$D$3:$D$143,Journal!$A$3:$A$143,$B54,Journal!$F$3:$F$143,AY$3))</f>
        <v/>
      </c>
      <c r="BA54" s="86" t="str">
        <f>IF(SUMIFS(Journal!$D$3:$D$143,Journal!$A$3:$A$143,$B54,Journal!$E$3:$E$143,BA$3)=0,"",SUMIFS(Journal!$D$3:$D$143,Journal!$A$3:$A$143,$B54,Journal!$E$3:$E$143,BA$3))</f>
        <v/>
      </c>
      <c r="BB54" s="86" t="str">
        <f>IF(SUMIFS(Journal!$D$3:$D$143,Journal!$A$3:$A$143,$B54,Journal!$F$3:$F$143,BA$3)=0,"",SUMIFS(Journal!$D$3:$D$143,Journal!$A$3:$A$143,$B54,Journal!$F$3:$F$143,BA$3))</f>
        <v/>
      </c>
    </row>
    <row r="55">
      <c r="A55" s="84">
        <f>VLOOKUP(B55,Journal!$A$3:$C$143,2,FALSE)</f>
        <v>45424</v>
      </c>
      <c r="B55" s="85" t="s">
        <v>396</v>
      </c>
      <c r="C55" s="86" t="str">
        <f>VLOOKUP(B55,Journal!$A$3:$C$143,3,FALSE)</f>
        <v>Equipment rental receipts batch</v>
      </c>
      <c r="D55" s="86">
        <f>SUMIF(Journal!$A$3:$A$143,B55,Journal!$D$3:$D$143)</f>
        <v>13000</v>
      </c>
      <c r="E55" s="86">
        <f>IF(SUMIFS(Journal!$D$3:$D$143,Journal!$A$3:$A$143,$B55,Journal!$E$3:$E$143,E$3)=0,"",SUMIFS(Journal!$D$3:$D$143,Journal!$A$3:$A$143,$B55,Journal!$E$3:$E$143,E$3))</f>
        <v>13000</v>
      </c>
      <c r="F55" s="86" t="str">
        <f>IF(SUMIFS(Journal!$D$3:$D$143,Journal!$A$3:$A$143,$B55,Journal!$F$3:$F$143,E$3)=0,"",SUMIFS(Journal!$D$3:$D$143,Journal!$A$3:$A$143,$B55,Journal!$F$3:$F$143,E$3))</f>
        <v/>
      </c>
      <c r="G55" s="86" t="str">
        <f>IF(SUMIFS(Journal!$D$3:$D$143,Journal!$A$3:$A$143,$B55,Journal!$E$3:$E$143,G$3)=0,"",SUMIFS(Journal!$D$3:$D$143,Journal!$A$3:$A$143,$B55,Journal!$E$3:$E$143,G$3))</f>
        <v/>
      </c>
      <c r="H55" s="86" t="str">
        <f>IF(SUMIFS(Journal!$D$3:$D$143,Journal!$A$3:$A$143,$B55,Journal!$F$3:$F$143,G$3)=0,"",SUMIFS(Journal!$D$3:$D$143,Journal!$A$3:$A$143,$B55,Journal!$F$3:$F$143,G$3))</f>
        <v/>
      </c>
      <c r="I55" s="86" t="str">
        <f>IF(SUMIFS(Journal!$D$3:$D$143,Journal!$A$3:$A$143,$B55,Journal!$E$3:$E$143,I$3)=0,"",SUMIFS(Journal!$D$3:$D$143,Journal!$A$3:$A$143,$B55,Journal!$E$3:$E$143,I$3))</f>
        <v/>
      </c>
      <c r="J55" s="86" t="str">
        <f>IF(SUMIFS(Journal!$D$3:$D$143,Journal!$A$3:$A$143,$B55,Journal!$F$3:$F$143,I$3)=0,"",SUMIFS(Journal!$D$3:$D$143,Journal!$A$3:$A$143,$B55,Journal!$F$3:$F$143,I$3))</f>
        <v/>
      </c>
      <c r="K55" s="86" t="str">
        <f>IF(SUMIFS(Journal!$D$3:$D$143,Journal!$A$3:$A$143,$B55,Journal!$E$3:$E$143,K$3)=0,"",SUMIFS(Journal!$D$3:$D$143,Journal!$A$3:$A$143,$B55,Journal!$E$3:$E$143,K$3))</f>
        <v/>
      </c>
      <c r="L55" s="86" t="str">
        <f>IF(SUMIFS(Journal!$D$3:$D$143,Journal!$A$3:$A$143,$B55,Journal!$F$3:$F$143,K$3)=0,"",SUMIFS(Journal!$D$3:$D$143,Journal!$A$3:$A$143,$B55,Journal!$F$3:$F$143,K$3))</f>
        <v/>
      </c>
      <c r="M55" s="86" t="str">
        <f>IF(SUMIFS(Journal!$D$3:$D$143,Journal!$A$3:$A$143,$B55,Journal!$E$3:$E$143,M$3)=0,"",SUMIFS(Journal!$D$3:$D$143,Journal!$A$3:$A$143,$B55,Journal!$E$3:$E$143,M$3))</f>
        <v/>
      </c>
      <c r="N55" s="86" t="str">
        <f>IF(SUMIFS(Journal!$D$3:$D$143,Journal!$A$3:$A$143,$B55,Journal!$F$3:$F$143,M$3)=0,"",SUMIFS(Journal!$D$3:$D$143,Journal!$A$3:$A$143,$B55,Journal!$F$3:$F$143,M$3))</f>
        <v/>
      </c>
      <c r="O55" s="86" t="str">
        <f>IF(SUMIFS(Journal!$D$3:$D$143,Journal!$A$3:$A$143,$B55,Journal!$E$3:$E$143,O$3)=0,"",SUMIFS(Journal!$D$3:$D$143,Journal!$A$3:$A$143,$B55,Journal!$E$3:$E$143,O$3))</f>
        <v/>
      </c>
      <c r="P55" s="86" t="str">
        <f>IF(SUMIFS(Journal!$D$3:$D$143,Journal!$A$3:$A$143,$B55,Journal!$F$3:$F$143,O$3)=0,"",SUMIFS(Journal!$D$3:$D$143,Journal!$A$3:$A$143,$B55,Journal!$F$3:$F$143,O$3))</f>
        <v/>
      </c>
      <c r="Q55" s="86" t="str">
        <f>IF(SUMIFS(Journal!$D$3:$D$143,Journal!$A$3:$A$143,$B55,Journal!$E$3:$E$143,Q$3)=0,"",SUMIFS(Journal!$D$3:$D$143,Journal!$A$3:$A$143,$B55,Journal!$E$3:$E$143,Q$3))</f>
        <v/>
      </c>
      <c r="R55" s="86" t="str">
        <f>IF(SUMIFS(Journal!$D$3:$D$143,Journal!$A$3:$A$143,$B55,Journal!$F$3:$F$143,Q$3)=0,"",SUMIFS(Journal!$D$3:$D$143,Journal!$A$3:$A$143,$B55,Journal!$F$3:$F$143,Q$3))</f>
        <v/>
      </c>
      <c r="S55" s="86" t="str">
        <f>IF(SUMIFS(Journal!$D$3:$D$143,Journal!$A$3:$A$143,$B55,Journal!$E$3:$E$143,S$3)=0,"",SUMIFS(Journal!$D$3:$D$143,Journal!$A$3:$A$143,$B55,Journal!$E$3:$E$143,S$3))</f>
        <v/>
      </c>
      <c r="T55" s="86" t="str">
        <f>IF(SUMIFS(Journal!$D$3:$D$143,Journal!$A$3:$A$143,$B55,Journal!$F$3:$F$143,S$3)=0,"",SUMIFS(Journal!$D$3:$D$143,Journal!$A$3:$A$143,$B55,Journal!$F$3:$F$143,S$3))</f>
        <v/>
      </c>
      <c r="U55" s="86" t="str">
        <f>IF(SUMIFS(Journal!$D$3:$D$143,Journal!$A$3:$A$143,$B55,Journal!$E$3:$E$143,U$3)=0,"",SUMIFS(Journal!$D$3:$D$143,Journal!$A$3:$A$143,$B55,Journal!$E$3:$E$143,U$3))</f>
        <v/>
      </c>
      <c r="V55" s="86" t="str">
        <f>IF(SUMIFS(Journal!$D$3:$D$143,Journal!$A$3:$A$143,$B55,Journal!$F$3:$F$143,U$3)=0,"",SUMIFS(Journal!$D$3:$D$143,Journal!$A$3:$A$143,$B55,Journal!$F$3:$F$143,U$3))</f>
        <v/>
      </c>
      <c r="W55" s="86" t="str">
        <f>IF(SUMIFS(Journal!$D$3:$D$143,Journal!$A$3:$A$143,$B55,Journal!$E$3:$E$143,W$3)=0,"",SUMIFS(Journal!$D$3:$D$143,Journal!$A$3:$A$143,$B55,Journal!$E$3:$E$143,W$3))</f>
        <v/>
      </c>
      <c r="X55" s="86">
        <f>IF(SUMIFS(Journal!$D$3:$D$143,Journal!$A$3:$A$143,$B55,Journal!$F$3:$F$143,W$3)=0,"",SUMIFS(Journal!$D$3:$D$143,Journal!$A$3:$A$143,$B55,Journal!$F$3:$F$143,W$3))</f>
        <v>13000</v>
      </c>
      <c r="Y55" s="86" t="str">
        <f>IF(SUMIFS(Journal!$D$3:$D$143,Journal!$A$3:$A$143,$B55,Journal!$E$3:$E$143,Y$3)=0,"",SUMIFS(Journal!$D$3:$D$143,Journal!$A$3:$A$143,$B55,Journal!$E$3:$E$143,Y$3))</f>
        <v/>
      </c>
      <c r="Z55" s="86" t="str">
        <f>IF(SUMIFS(Journal!$D$3:$D$143,Journal!$A$3:$A$143,$B55,Journal!$F$3:$F$143,Y$3)=0,"",SUMIFS(Journal!$D$3:$D$143,Journal!$A$3:$A$143,$B55,Journal!$F$3:$F$143,Y$3))</f>
        <v/>
      </c>
      <c r="AA55" s="86" t="str">
        <f>IF(SUMIFS(Journal!$D$3:$D$143,Journal!$A$3:$A$143,$B55,Journal!$E$3:$E$143,AA$3)=0,"",SUMIFS(Journal!$D$3:$D$143,Journal!$A$3:$A$143,$B55,Journal!$E$3:$E$143,AA$3))</f>
        <v/>
      </c>
      <c r="AB55" s="86" t="str">
        <f>IF(SUMIFS(Journal!$D$3:$D$143,Journal!$A$3:$A$143,$B55,Journal!$F$3:$F$143,AA$3)=0,"",SUMIFS(Journal!$D$3:$D$143,Journal!$A$3:$A$143,$B55,Journal!$F$3:$F$143,AA$3))</f>
        <v/>
      </c>
      <c r="AC55" s="86" t="str">
        <f>IF(SUMIFS(Journal!$D$3:$D$143,Journal!$A$3:$A$143,$B55,Journal!$E$3:$E$143,AC$3)=0,"",SUMIFS(Journal!$D$3:$D$143,Journal!$A$3:$A$143,$B55,Journal!$E$3:$E$143,AC$3))</f>
        <v/>
      </c>
      <c r="AD55" s="86" t="str">
        <f>IF(SUMIFS(Journal!$D$3:$D$143,Journal!$A$3:$A$143,$B55,Journal!$F$3:$F$143,AC$3)=0,"",SUMIFS(Journal!$D$3:$D$143,Journal!$A$3:$A$143,$B55,Journal!$F$3:$F$143,AC$3))</f>
        <v/>
      </c>
      <c r="AE55" s="86" t="str">
        <f>IF(SUMIFS(Journal!$D$3:$D$143,Journal!$A$3:$A$143,$B55,Journal!$E$3:$E$143,AE$3)=0,"",SUMIFS(Journal!$D$3:$D$143,Journal!$A$3:$A$143,$B55,Journal!$E$3:$E$143,AE$3))</f>
        <v/>
      </c>
      <c r="AF55" s="86" t="str">
        <f>IF(SUMIFS(Journal!$D$3:$D$143,Journal!$A$3:$A$143,$B55,Journal!$F$3:$F$143,AE$3)=0,"",SUMIFS(Journal!$D$3:$D$143,Journal!$A$3:$A$143,$B55,Journal!$F$3:$F$143,AE$3))</f>
        <v/>
      </c>
      <c r="AG55" s="86" t="str">
        <f>IF(SUMIFS(Journal!$D$3:$D$143,Journal!$A$3:$A$143,$B55,Journal!$E$3:$E$143,AG$3)=0,"",SUMIFS(Journal!$D$3:$D$143,Journal!$A$3:$A$143,$B55,Journal!$E$3:$E$143,AG$3))</f>
        <v/>
      </c>
      <c r="AH55" s="86" t="str">
        <f>IF(SUMIFS(Journal!$D$3:$D$143,Journal!$A$3:$A$143,$B55,Journal!$F$3:$F$143,AG$3)=0,"",SUMIFS(Journal!$D$3:$D$143,Journal!$A$3:$A$143,$B55,Journal!$F$3:$F$143,AG$3))</f>
        <v/>
      </c>
      <c r="AI55" s="86" t="str">
        <f>IF(SUMIFS(Journal!$D$3:$D$143,Journal!$A$3:$A$143,$B55,Journal!$E$3:$E$143,AI$3)=0,"",SUMIFS(Journal!$D$3:$D$143,Journal!$A$3:$A$143,$B55,Journal!$E$3:$E$143,AI$3))</f>
        <v/>
      </c>
      <c r="AJ55" s="86" t="str">
        <f>IF(SUMIFS(Journal!$D$3:$D$143,Journal!$A$3:$A$143,$B55,Journal!$F$3:$F$143,AI$3)=0,"",SUMIFS(Journal!$D$3:$D$143,Journal!$A$3:$A$143,$B55,Journal!$F$3:$F$143,AI$3))</f>
        <v/>
      </c>
      <c r="AK55" s="86" t="str">
        <f>IF(SUMIFS(Journal!$D$3:$D$143,Journal!$A$3:$A$143,$B55,Journal!$E$3:$E$143,AK$3)=0,"",SUMIFS(Journal!$D$3:$D$143,Journal!$A$3:$A$143,$B55,Journal!$E$3:$E$143,AK$3))</f>
        <v/>
      </c>
      <c r="AL55" s="86" t="str">
        <f>IF(SUMIFS(Journal!$D$3:$D$143,Journal!$A$3:$A$143,$B55,Journal!$F$3:$F$143,AK$3)=0,"",SUMIFS(Journal!$D$3:$D$143,Journal!$A$3:$A$143,$B55,Journal!$F$3:$F$143,AK$3))</f>
        <v/>
      </c>
      <c r="AM55" s="86" t="str">
        <f>IF(SUMIFS(Journal!$D$3:$D$143,Journal!$A$3:$A$143,$B55,Journal!$E$3:$E$143,AM$3)=0,"",SUMIFS(Journal!$D$3:$D$143,Journal!$A$3:$A$143,$B55,Journal!$E$3:$E$143,AM$3))</f>
        <v/>
      </c>
      <c r="AN55" s="86" t="str">
        <f>IF(SUMIFS(Journal!$D$3:$D$143,Journal!$A$3:$A$143,$B55,Journal!$F$3:$F$143,AM$3)=0,"",SUMIFS(Journal!$D$3:$D$143,Journal!$A$3:$A$143,$B55,Journal!$F$3:$F$143,AM$3))</f>
        <v/>
      </c>
      <c r="AO55" s="86" t="str">
        <f>IF(SUMIFS(Journal!$D$3:$D$143,Journal!$A$3:$A$143,$B55,Journal!$E$3:$E$143,AO$3)=0,"",SUMIFS(Journal!$D$3:$D$143,Journal!$A$3:$A$143,$B55,Journal!$E$3:$E$143,AO$3))</f>
        <v/>
      </c>
      <c r="AP55" s="86" t="str">
        <f>IF(SUMIFS(Journal!$D$3:$D$143,Journal!$A$3:$A$143,$B55,Journal!$F$3:$F$143,AO$3)=0,"",SUMIFS(Journal!$D$3:$D$143,Journal!$A$3:$A$143,$B55,Journal!$F$3:$F$143,AO$3))</f>
        <v/>
      </c>
      <c r="AQ55" s="86" t="str">
        <f>IF(SUMIFS(Journal!$D$3:$D$143,Journal!$A$3:$A$143,$B55,Journal!$E$3:$E$143,AQ$3)=0,"",SUMIFS(Journal!$D$3:$D$143,Journal!$A$3:$A$143,$B55,Journal!$E$3:$E$143,AQ$3))</f>
        <v/>
      </c>
      <c r="AR55" s="86" t="str">
        <f>IF(SUMIFS(Journal!$D$3:$D$143,Journal!$A$3:$A$143,$B55,Journal!$F$3:$F$143,AQ$3)=0,"",SUMIFS(Journal!$D$3:$D$143,Journal!$A$3:$A$143,$B55,Journal!$F$3:$F$143,AQ$3))</f>
        <v/>
      </c>
      <c r="AS55" s="86" t="str">
        <f>IF(SUMIFS(Journal!$D$3:$D$143,Journal!$A$3:$A$143,$B55,Journal!$E$3:$E$143,AS$3)=0,"",SUMIFS(Journal!$D$3:$D$143,Journal!$A$3:$A$143,$B55,Journal!$E$3:$E$143,AS$3))</f>
        <v/>
      </c>
      <c r="AT55" s="86" t="str">
        <f>IF(SUMIFS(Journal!$D$3:$D$143,Journal!$A$3:$A$143,$B55,Journal!$F$3:$F$143,AS$3)=0,"",SUMIFS(Journal!$D$3:$D$143,Journal!$A$3:$A$143,$B55,Journal!$F$3:$F$143,AS$3))</f>
        <v/>
      </c>
      <c r="AU55" s="86" t="str">
        <f>IF(SUMIFS(Journal!$D$3:$D$143,Journal!$A$3:$A$143,$B55,Journal!$E$3:$E$143,AU$3)=0,"",SUMIFS(Journal!$D$3:$D$143,Journal!$A$3:$A$143,$B55,Journal!$E$3:$E$143,AU$3))</f>
        <v/>
      </c>
      <c r="AV55" s="86" t="str">
        <f>IF(SUMIFS(Journal!$D$3:$D$143,Journal!$A$3:$A$143,$B55,Journal!$F$3:$F$143,AU$3)=0,"",SUMIFS(Journal!$D$3:$D$143,Journal!$A$3:$A$143,$B55,Journal!$F$3:$F$143,AU$3))</f>
        <v/>
      </c>
      <c r="AW55" s="86" t="str">
        <f>IF(SUMIFS(Journal!$D$3:$D$143,Journal!$A$3:$A$143,$B55,Journal!$E$3:$E$143,AW$3)=0,"",SUMIFS(Journal!$D$3:$D$143,Journal!$A$3:$A$143,$B55,Journal!$E$3:$E$143,AW$3))</f>
        <v/>
      </c>
      <c r="AX55" s="86" t="str">
        <f>IF(SUMIFS(Journal!$D$3:$D$143,Journal!$A$3:$A$143,$B55,Journal!$F$3:$F$143,AW$3)=0,"",SUMIFS(Journal!$D$3:$D$143,Journal!$A$3:$A$143,$B55,Journal!$F$3:$F$143,AW$3))</f>
        <v/>
      </c>
      <c r="AY55" s="86" t="str">
        <f>IF(SUMIFS(Journal!$D$3:$D$143,Journal!$A$3:$A$143,$B55,Journal!$E$3:$E$143,AY$3)=0,"",SUMIFS(Journal!$D$3:$D$143,Journal!$A$3:$A$143,$B55,Journal!$E$3:$E$143,AY$3))</f>
        <v/>
      </c>
      <c r="AZ55" s="86" t="str">
        <f>IF(SUMIFS(Journal!$D$3:$D$143,Journal!$A$3:$A$143,$B55,Journal!$F$3:$F$143,AY$3)=0,"",SUMIFS(Journal!$D$3:$D$143,Journal!$A$3:$A$143,$B55,Journal!$F$3:$F$143,AY$3))</f>
        <v/>
      </c>
      <c r="BA55" s="86" t="str">
        <f>IF(SUMIFS(Journal!$D$3:$D$143,Journal!$A$3:$A$143,$B55,Journal!$E$3:$E$143,BA$3)=0,"",SUMIFS(Journal!$D$3:$D$143,Journal!$A$3:$A$143,$B55,Journal!$E$3:$E$143,BA$3))</f>
        <v/>
      </c>
      <c r="BB55" s="86" t="str">
        <f>IF(SUMIFS(Journal!$D$3:$D$143,Journal!$A$3:$A$143,$B55,Journal!$F$3:$F$143,BA$3)=0,"",SUMIFS(Journal!$D$3:$D$143,Journal!$A$3:$A$143,$B55,Journal!$F$3:$F$143,BA$3))</f>
        <v/>
      </c>
    </row>
    <row r="56">
      <c r="A56" s="84">
        <f>VLOOKUP(B56,Journal!$A$3:$C$143,2,FALSE)</f>
        <v>45430</v>
      </c>
      <c r="B56" s="85" t="s">
        <v>399</v>
      </c>
      <c r="C56" s="86" t="str">
        <f>VLOOKUP(B56,Journal!$A$3:$C$143,3,FALSE)</f>
        <v>Retail camping-supply sales</v>
      </c>
      <c r="D56" s="86">
        <f>SUMIF(Journal!$A$3:$A$143,B56,Journal!$D$3:$D$143)</f>
        <v>12800</v>
      </c>
      <c r="E56" s="86">
        <f>IF(SUMIFS(Journal!$D$3:$D$143,Journal!$A$3:$A$143,$B56,Journal!$E$3:$E$143,E$3)=0,"",SUMIFS(Journal!$D$3:$D$143,Journal!$A$3:$A$143,$B56,Journal!$E$3:$E$143,E$3))</f>
        <v>7760</v>
      </c>
      <c r="F56" s="86" t="str">
        <f>IF(SUMIFS(Journal!$D$3:$D$143,Journal!$A$3:$A$143,$B56,Journal!$F$3:$F$143,E$3)=0,"",SUMIFS(Journal!$D$3:$D$143,Journal!$A$3:$A$143,$B56,Journal!$F$3:$F$143,E$3))</f>
        <v/>
      </c>
      <c r="G56" s="86" t="str">
        <f>IF(SUMIFS(Journal!$D$3:$D$143,Journal!$A$3:$A$143,$B56,Journal!$E$3:$E$143,G$3)=0,"",SUMIFS(Journal!$D$3:$D$143,Journal!$A$3:$A$143,$B56,Journal!$E$3:$E$143,G$3))</f>
        <v/>
      </c>
      <c r="H56" s="86" t="str">
        <f>IF(SUMIFS(Journal!$D$3:$D$143,Journal!$A$3:$A$143,$B56,Journal!$F$3:$F$143,G$3)=0,"",SUMIFS(Journal!$D$3:$D$143,Journal!$A$3:$A$143,$B56,Journal!$F$3:$F$143,G$3))</f>
        <v/>
      </c>
      <c r="I56" s="86" t="str">
        <f>IF(SUMIFS(Journal!$D$3:$D$143,Journal!$A$3:$A$143,$B56,Journal!$E$3:$E$143,I$3)=0,"",SUMIFS(Journal!$D$3:$D$143,Journal!$A$3:$A$143,$B56,Journal!$E$3:$E$143,I$3))</f>
        <v/>
      </c>
      <c r="J56" s="86">
        <f>IF(SUMIFS(Journal!$D$3:$D$143,Journal!$A$3:$A$143,$B56,Journal!$F$3:$F$143,I$3)=0,"",SUMIFS(Journal!$D$3:$D$143,Journal!$A$3:$A$143,$B56,Journal!$F$3:$F$143,I$3))</f>
        <v>4800</v>
      </c>
      <c r="K56" s="86" t="str">
        <f>IF(SUMIFS(Journal!$D$3:$D$143,Journal!$A$3:$A$143,$B56,Journal!$E$3:$E$143,K$3)=0,"",SUMIFS(Journal!$D$3:$D$143,Journal!$A$3:$A$143,$B56,Journal!$E$3:$E$143,K$3))</f>
        <v/>
      </c>
      <c r="L56" s="86" t="str">
        <f>IF(SUMIFS(Journal!$D$3:$D$143,Journal!$A$3:$A$143,$B56,Journal!$F$3:$F$143,K$3)=0,"",SUMIFS(Journal!$D$3:$D$143,Journal!$A$3:$A$143,$B56,Journal!$F$3:$F$143,K$3))</f>
        <v/>
      </c>
      <c r="M56" s="86" t="str">
        <f>IF(SUMIFS(Journal!$D$3:$D$143,Journal!$A$3:$A$143,$B56,Journal!$E$3:$E$143,M$3)=0,"",SUMIFS(Journal!$D$3:$D$143,Journal!$A$3:$A$143,$B56,Journal!$E$3:$E$143,M$3))</f>
        <v/>
      </c>
      <c r="N56" s="86" t="str">
        <f>IF(SUMIFS(Journal!$D$3:$D$143,Journal!$A$3:$A$143,$B56,Journal!$F$3:$F$143,M$3)=0,"",SUMIFS(Journal!$D$3:$D$143,Journal!$A$3:$A$143,$B56,Journal!$F$3:$F$143,M$3))</f>
        <v/>
      </c>
      <c r="O56" s="86" t="str">
        <f>IF(SUMIFS(Journal!$D$3:$D$143,Journal!$A$3:$A$143,$B56,Journal!$E$3:$E$143,O$3)=0,"",SUMIFS(Journal!$D$3:$D$143,Journal!$A$3:$A$143,$B56,Journal!$E$3:$E$143,O$3))</f>
        <v/>
      </c>
      <c r="P56" s="86" t="str">
        <f>IF(SUMIFS(Journal!$D$3:$D$143,Journal!$A$3:$A$143,$B56,Journal!$F$3:$F$143,O$3)=0,"",SUMIFS(Journal!$D$3:$D$143,Journal!$A$3:$A$143,$B56,Journal!$F$3:$F$143,O$3))</f>
        <v/>
      </c>
      <c r="Q56" s="86" t="str">
        <f>IF(SUMIFS(Journal!$D$3:$D$143,Journal!$A$3:$A$143,$B56,Journal!$E$3:$E$143,Q$3)=0,"",SUMIFS(Journal!$D$3:$D$143,Journal!$A$3:$A$143,$B56,Journal!$E$3:$E$143,Q$3))</f>
        <v/>
      </c>
      <c r="R56" s="86" t="str">
        <f>IF(SUMIFS(Journal!$D$3:$D$143,Journal!$A$3:$A$143,$B56,Journal!$F$3:$F$143,Q$3)=0,"",SUMIFS(Journal!$D$3:$D$143,Journal!$A$3:$A$143,$B56,Journal!$F$3:$F$143,Q$3))</f>
        <v/>
      </c>
      <c r="S56" s="86" t="str">
        <f>IF(SUMIFS(Journal!$D$3:$D$143,Journal!$A$3:$A$143,$B56,Journal!$E$3:$E$143,S$3)=0,"",SUMIFS(Journal!$D$3:$D$143,Journal!$A$3:$A$143,$B56,Journal!$E$3:$E$143,S$3))</f>
        <v/>
      </c>
      <c r="T56" s="86" t="str">
        <f>IF(SUMIFS(Journal!$D$3:$D$143,Journal!$A$3:$A$143,$B56,Journal!$F$3:$F$143,S$3)=0,"",SUMIFS(Journal!$D$3:$D$143,Journal!$A$3:$A$143,$B56,Journal!$F$3:$F$143,S$3))</f>
        <v/>
      </c>
      <c r="U56" s="86" t="str">
        <f>IF(SUMIFS(Journal!$D$3:$D$143,Journal!$A$3:$A$143,$B56,Journal!$E$3:$E$143,U$3)=0,"",SUMIFS(Journal!$D$3:$D$143,Journal!$A$3:$A$143,$B56,Journal!$E$3:$E$143,U$3))</f>
        <v/>
      </c>
      <c r="V56" s="86" t="str">
        <f>IF(SUMIFS(Journal!$D$3:$D$143,Journal!$A$3:$A$143,$B56,Journal!$F$3:$F$143,U$3)=0,"",SUMIFS(Journal!$D$3:$D$143,Journal!$A$3:$A$143,$B56,Journal!$F$3:$F$143,U$3))</f>
        <v/>
      </c>
      <c r="W56" s="86" t="str">
        <f>IF(SUMIFS(Journal!$D$3:$D$143,Journal!$A$3:$A$143,$B56,Journal!$E$3:$E$143,W$3)=0,"",SUMIFS(Journal!$D$3:$D$143,Journal!$A$3:$A$143,$B56,Journal!$E$3:$E$143,W$3))</f>
        <v/>
      </c>
      <c r="X56" s="86" t="str">
        <f>IF(SUMIFS(Journal!$D$3:$D$143,Journal!$A$3:$A$143,$B56,Journal!$F$3:$F$143,W$3)=0,"",SUMIFS(Journal!$D$3:$D$143,Journal!$A$3:$A$143,$B56,Journal!$F$3:$F$143,W$3))</f>
        <v/>
      </c>
      <c r="Y56" s="86" t="str">
        <f>IF(SUMIFS(Journal!$D$3:$D$143,Journal!$A$3:$A$143,$B56,Journal!$E$3:$E$143,Y$3)=0,"",SUMIFS(Journal!$D$3:$D$143,Journal!$A$3:$A$143,$B56,Journal!$E$3:$E$143,Y$3))</f>
        <v/>
      </c>
      <c r="Z56" s="86" t="str">
        <f>IF(SUMIFS(Journal!$D$3:$D$143,Journal!$A$3:$A$143,$B56,Journal!$F$3:$F$143,Y$3)=0,"",SUMIFS(Journal!$D$3:$D$143,Journal!$A$3:$A$143,$B56,Journal!$F$3:$F$143,Y$3))</f>
        <v/>
      </c>
      <c r="AA56" s="86" t="str">
        <f>IF(SUMIFS(Journal!$D$3:$D$143,Journal!$A$3:$A$143,$B56,Journal!$E$3:$E$143,AA$3)=0,"",SUMIFS(Journal!$D$3:$D$143,Journal!$A$3:$A$143,$B56,Journal!$E$3:$E$143,AA$3))</f>
        <v/>
      </c>
      <c r="AB56" s="86">
        <f>IF(SUMIFS(Journal!$D$3:$D$143,Journal!$A$3:$A$143,$B56,Journal!$F$3:$F$143,AA$3)=0,"",SUMIFS(Journal!$D$3:$D$143,Journal!$A$3:$A$143,$B56,Journal!$F$3:$F$143,AA$3))</f>
        <v>8000</v>
      </c>
      <c r="AC56" s="86" t="str">
        <f>IF(SUMIFS(Journal!$D$3:$D$143,Journal!$A$3:$A$143,$B56,Journal!$E$3:$E$143,AC$3)=0,"",SUMIFS(Journal!$D$3:$D$143,Journal!$A$3:$A$143,$B56,Journal!$E$3:$E$143,AC$3))</f>
        <v/>
      </c>
      <c r="AD56" s="86" t="str">
        <f>IF(SUMIFS(Journal!$D$3:$D$143,Journal!$A$3:$A$143,$B56,Journal!$F$3:$F$143,AC$3)=0,"",SUMIFS(Journal!$D$3:$D$143,Journal!$A$3:$A$143,$B56,Journal!$F$3:$F$143,AC$3))</f>
        <v/>
      </c>
      <c r="AE56" s="86">
        <f>IF(SUMIFS(Journal!$D$3:$D$143,Journal!$A$3:$A$143,$B56,Journal!$E$3:$E$143,AE$3)=0,"",SUMIFS(Journal!$D$3:$D$143,Journal!$A$3:$A$143,$B56,Journal!$E$3:$E$143,AE$3))</f>
        <v>4800</v>
      </c>
      <c r="AF56" s="86" t="str">
        <f>IF(SUMIFS(Journal!$D$3:$D$143,Journal!$A$3:$A$143,$B56,Journal!$F$3:$F$143,AE$3)=0,"",SUMIFS(Journal!$D$3:$D$143,Journal!$A$3:$A$143,$B56,Journal!$F$3:$F$143,AE$3))</f>
        <v/>
      </c>
      <c r="AG56" s="86" t="str">
        <f>IF(SUMIFS(Journal!$D$3:$D$143,Journal!$A$3:$A$143,$B56,Journal!$E$3:$E$143,AG$3)=0,"",SUMIFS(Journal!$D$3:$D$143,Journal!$A$3:$A$143,$B56,Journal!$E$3:$E$143,AG$3))</f>
        <v/>
      </c>
      <c r="AH56" s="86" t="str">
        <f>IF(SUMIFS(Journal!$D$3:$D$143,Journal!$A$3:$A$143,$B56,Journal!$F$3:$F$143,AG$3)=0,"",SUMIFS(Journal!$D$3:$D$143,Journal!$A$3:$A$143,$B56,Journal!$F$3:$F$143,AG$3))</f>
        <v/>
      </c>
      <c r="AI56" s="86" t="str">
        <f>IF(SUMIFS(Journal!$D$3:$D$143,Journal!$A$3:$A$143,$B56,Journal!$E$3:$E$143,AI$3)=0,"",SUMIFS(Journal!$D$3:$D$143,Journal!$A$3:$A$143,$B56,Journal!$E$3:$E$143,AI$3))</f>
        <v/>
      </c>
      <c r="AJ56" s="86" t="str">
        <f>IF(SUMIFS(Journal!$D$3:$D$143,Journal!$A$3:$A$143,$B56,Journal!$F$3:$F$143,AI$3)=0,"",SUMIFS(Journal!$D$3:$D$143,Journal!$A$3:$A$143,$B56,Journal!$F$3:$F$143,AI$3))</f>
        <v/>
      </c>
      <c r="AK56" s="86" t="str">
        <f>IF(SUMIFS(Journal!$D$3:$D$143,Journal!$A$3:$A$143,$B56,Journal!$E$3:$E$143,AK$3)=0,"",SUMIFS(Journal!$D$3:$D$143,Journal!$A$3:$A$143,$B56,Journal!$E$3:$E$143,AK$3))</f>
        <v/>
      </c>
      <c r="AL56" s="86" t="str">
        <f>IF(SUMIFS(Journal!$D$3:$D$143,Journal!$A$3:$A$143,$B56,Journal!$F$3:$F$143,AK$3)=0,"",SUMIFS(Journal!$D$3:$D$143,Journal!$A$3:$A$143,$B56,Journal!$F$3:$F$143,AK$3))</f>
        <v/>
      </c>
      <c r="AM56" s="86" t="str">
        <f>IF(SUMIFS(Journal!$D$3:$D$143,Journal!$A$3:$A$143,$B56,Journal!$E$3:$E$143,AM$3)=0,"",SUMIFS(Journal!$D$3:$D$143,Journal!$A$3:$A$143,$B56,Journal!$E$3:$E$143,AM$3))</f>
        <v/>
      </c>
      <c r="AN56" s="86" t="str">
        <f>IF(SUMIFS(Journal!$D$3:$D$143,Journal!$A$3:$A$143,$B56,Journal!$F$3:$F$143,AM$3)=0,"",SUMIFS(Journal!$D$3:$D$143,Journal!$A$3:$A$143,$B56,Journal!$F$3:$F$143,AM$3))</f>
        <v/>
      </c>
      <c r="AO56" s="86" t="str">
        <f>IF(SUMIFS(Journal!$D$3:$D$143,Journal!$A$3:$A$143,$B56,Journal!$E$3:$E$143,AO$3)=0,"",SUMIFS(Journal!$D$3:$D$143,Journal!$A$3:$A$143,$B56,Journal!$E$3:$E$143,AO$3))</f>
        <v/>
      </c>
      <c r="AP56" s="86" t="str">
        <f>IF(SUMIFS(Journal!$D$3:$D$143,Journal!$A$3:$A$143,$B56,Journal!$F$3:$F$143,AO$3)=0,"",SUMIFS(Journal!$D$3:$D$143,Journal!$A$3:$A$143,$B56,Journal!$F$3:$F$143,AO$3))</f>
        <v/>
      </c>
      <c r="AQ56" s="86">
        <f>IF(SUMIFS(Journal!$D$3:$D$143,Journal!$A$3:$A$143,$B56,Journal!$E$3:$E$143,AQ$3)=0,"",SUMIFS(Journal!$D$3:$D$143,Journal!$A$3:$A$143,$B56,Journal!$E$3:$E$143,AQ$3))</f>
        <v>240</v>
      </c>
      <c r="AR56" s="86" t="str">
        <f>IF(SUMIFS(Journal!$D$3:$D$143,Journal!$A$3:$A$143,$B56,Journal!$F$3:$F$143,AQ$3)=0,"",SUMIFS(Journal!$D$3:$D$143,Journal!$A$3:$A$143,$B56,Journal!$F$3:$F$143,AQ$3))</f>
        <v/>
      </c>
      <c r="AS56" s="86" t="str">
        <f>IF(SUMIFS(Journal!$D$3:$D$143,Journal!$A$3:$A$143,$B56,Journal!$E$3:$E$143,AS$3)=0,"",SUMIFS(Journal!$D$3:$D$143,Journal!$A$3:$A$143,$B56,Journal!$E$3:$E$143,AS$3))</f>
        <v/>
      </c>
      <c r="AT56" s="86" t="str">
        <f>IF(SUMIFS(Journal!$D$3:$D$143,Journal!$A$3:$A$143,$B56,Journal!$F$3:$F$143,AS$3)=0,"",SUMIFS(Journal!$D$3:$D$143,Journal!$A$3:$A$143,$B56,Journal!$F$3:$F$143,AS$3))</f>
        <v/>
      </c>
      <c r="AU56" s="86" t="str">
        <f>IF(SUMIFS(Journal!$D$3:$D$143,Journal!$A$3:$A$143,$B56,Journal!$E$3:$E$143,AU$3)=0,"",SUMIFS(Journal!$D$3:$D$143,Journal!$A$3:$A$143,$B56,Journal!$E$3:$E$143,AU$3))</f>
        <v/>
      </c>
      <c r="AV56" s="86" t="str">
        <f>IF(SUMIFS(Journal!$D$3:$D$143,Journal!$A$3:$A$143,$B56,Journal!$F$3:$F$143,AU$3)=0,"",SUMIFS(Journal!$D$3:$D$143,Journal!$A$3:$A$143,$B56,Journal!$F$3:$F$143,AU$3))</f>
        <v/>
      </c>
      <c r="AW56" s="86" t="str">
        <f>IF(SUMIFS(Journal!$D$3:$D$143,Journal!$A$3:$A$143,$B56,Journal!$E$3:$E$143,AW$3)=0,"",SUMIFS(Journal!$D$3:$D$143,Journal!$A$3:$A$143,$B56,Journal!$E$3:$E$143,AW$3))</f>
        <v/>
      </c>
      <c r="AX56" s="86" t="str">
        <f>IF(SUMIFS(Journal!$D$3:$D$143,Journal!$A$3:$A$143,$B56,Journal!$F$3:$F$143,AW$3)=0,"",SUMIFS(Journal!$D$3:$D$143,Journal!$A$3:$A$143,$B56,Journal!$F$3:$F$143,AW$3))</f>
        <v/>
      </c>
      <c r="AY56" s="86" t="str">
        <f>IF(SUMIFS(Journal!$D$3:$D$143,Journal!$A$3:$A$143,$B56,Journal!$E$3:$E$143,AY$3)=0,"",SUMIFS(Journal!$D$3:$D$143,Journal!$A$3:$A$143,$B56,Journal!$E$3:$E$143,AY$3))</f>
        <v/>
      </c>
      <c r="AZ56" s="86" t="str">
        <f>IF(SUMIFS(Journal!$D$3:$D$143,Journal!$A$3:$A$143,$B56,Journal!$F$3:$F$143,AY$3)=0,"",SUMIFS(Journal!$D$3:$D$143,Journal!$A$3:$A$143,$B56,Journal!$F$3:$F$143,AY$3))</f>
        <v/>
      </c>
      <c r="BA56" s="86" t="str">
        <f>IF(SUMIFS(Journal!$D$3:$D$143,Journal!$A$3:$A$143,$B56,Journal!$E$3:$E$143,BA$3)=0,"",SUMIFS(Journal!$D$3:$D$143,Journal!$A$3:$A$143,$B56,Journal!$E$3:$E$143,BA$3))</f>
        <v/>
      </c>
      <c r="BB56" s="86" t="str">
        <f>IF(SUMIFS(Journal!$D$3:$D$143,Journal!$A$3:$A$143,$B56,Journal!$F$3:$F$143,BA$3)=0,"",SUMIFS(Journal!$D$3:$D$143,Journal!$A$3:$A$143,$B56,Journal!$F$3:$F$143,BA$3))</f>
        <v/>
      </c>
    </row>
    <row r="57">
      <c r="A57" s="84">
        <f>VLOOKUP(B57,Journal!$A$3:$C$143,2,FALSE)</f>
        <v>45432</v>
      </c>
      <c r="B57" s="85" t="s">
        <v>405</v>
      </c>
      <c r="C57" s="86" t="str">
        <f>VLOOKUP(B57,Journal!$A$3:$C$143,3,FALSE)</f>
        <v>Corporate guided tour delivered; deposit applied</v>
      </c>
      <c r="D57" s="86">
        <f>SUMIF(Journal!$A$3:$A$143,B57,Journal!$D$3:$D$143)</f>
        <v>9000</v>
      </c>
      <c r="E57" s="86" t="str">
        <f>IF(SUMIFS(Journal!$D$3:$D$143,Journal!$A$3:$A$143,$B57,Journal!$E$3:$E$143,E$3)=0,"",SUMIFS(Journal!$D$3:$D$143,Journal!$A$3:$A$143,$B57,Journal!$E$3:$E$143,E$3))</f>
        <v/>
      </c>
      <c r="F57" s="86" t="str">
        <f>IF(SUMIFS(Journal!$D$3:$D$143,Journal!$A$3:$A$143,$B57,Journal!$F$3:$F$143,E$3)=0,"",SUMIFS(Journal!$D$3:$D$143,Journal!$A$3:$A$143,$B57,Journal!$F$3:$F$143,E$3))</f>
        <v/>
      </c>
      <c r="G57" s="86">
        <f>IF(SUMIFS(Journal!$D$3:$D$143,Journal!$A$3:$A$143,$B57,Journal!$E$3:$E$143,G$3)=0,"",SUMIFS(Journal!$D$3:$D$143,Journal!$A$3:$A$143,$B57,Journal!$E$3:$E$143,G$3))</f>
        <v>5000</v>
      </c>
      <c r="H57" s="86" t="str">
        <f>IF(SUMIFS(Journal!$D$3:$D$143,Journal!$A$3:$A$143,$B57,Journal!$F$3:$F$143,G$3)=0,"",SUMIFS(Journal!$D$3:$D$143,Journal!$A$3:$A$143,$B57,Journal!$F$3:$F$143,G$3))</f>
        <v/>
      </c>
      <c r="I57" s="86" t="str">
        <f>IF(SUMIFS(Journal!$D$3:$D$143,Journal!$A$3:$A$143,$B57,Journal!$E$3:$E$143,I$3)=0,"",SUMIFS(Journal!$D$3:$D$143,Journal!$A$3:$A$143,$B57,Journal!$E$3:$E$143,I$3))</f>
        <v/>
      </c>
      <c r="J57" s="86" t="str">
        <f>IF(SUMIFS(Journal!$D$3:$D$143,Journal!$A$3:$A$143,$B57,Journal!$F$3:$F$143,I$3)=0,"",SUMIFS(Journal!$D$3:$D$143,Journal!$A$3:$A$143,$B57,Journal!$F$3:$F$143,I$3))</f>
        <v/>
      </c>
      <c r="K57" s="86" t="str">
        <f>IF(SUMIFS(Journal!$D$3:$D$143,Journal!$A$3:$A$143,$B57,Journal!$E$3:$E$143,K$3)=0,"",SUMIFS(Journal!$D$3:$D$143,Journal!$A$3:$A$143,$B57,Journal!$E$3:$E$143,K$3))</f>
        <v/>
      </c>
      <c r="L57" s="86" t="str">
        <f>IF(SUMIFS(Journal!$D$3:$D$143,Journal!$A$3:$A$143,$B57,Journal!$F$3:$F$143,K$3)=0,"",SUMIFS(Journal!$D$3:$D$143,Journal!$A$3:$A$143,$B57,Journal!$F$3:$F$143,K$3))</f>
        <v/>
      </c>
      <c r="M57" s="86" t="str">
        <f>IF(SUMIFS(Journal!$D$3:$D$143,Journal!$A$3:$A$143,$B57,Journal!$E$3:$E$143,M$3)=0,"",SUMIFS(Journal!$D$3:$D$143,Journal!$A$3:$A$143,$B57,Journal!$E$3:$E$143,M$3))</f>
        <v/>
      </c>
      <c r="N57" s="86" t="str">
        <f>IF(SUMIFS(Journal!$D$3:$D$143,Journal!$A$3:$A$143,$B57,Journal!$F$3:$F$143,M$3)=0,"",SUMIFS(Journal!$D$3:$D$143,Journal!$A$3:$A$143,$B57,Journal!$F$3:$F$143,M$3))</f>
        <v/>
      </c>
      <c r="O57" s="86" t="str">
        <f>IF(SUMIFS(Journal!$D$3:$D$143,Journal!$A$3:$A$143,$B57,Journal!$E$3:$E$143,O$3)=0,"",SUMIFS(Journal!$D$3:$D$143,Journal!$A$3:$A$143,$B57,Journal!$E$3:$E$143,O$3))</f>
        <v/>
      </c>
      <c r="P57" s="86" t="str">
        <f>IF(SUMIFS(Journal!$D$3:$D$143,Journal!$A$3:$A$143,$B57,Journal!$F$3:$F$143,O$3)=0,"",SUMIFS(Journal!$D$3:$D$143,Journal!$A$3:$A$143,$B57,Journal!$F$3:$F$143,O$3))</f>
        <v/>
      </c>
      <c r="Q57" s="86">
        <f>IF(SUMIFS(Journal!$D$3:$D$143,Journal!$A$3:$A$143,$B57,Journal!$E$3:$E$143,Q$3)=0,"",SUMIFS(Journal!$D$3:$D$143,Journal!$A$3:$A$143,$B57,Journal!$E$3:$E$143,Q$3))</f>
        <v>4000</v>
      </c>
      <c r="R57" s="86" t="str">
        <f>IF(SUMIFS(Journal!$D$3:$D$143,Journal!$A$3:$A$143,$B57,Journal!$F$3:$F$143,Q$3)=0,"",SUMIFS(Journal!$D$3:$D$143,Journal!$A$3:$A$143,$B57,Journal!$F$3:$F$143,Q$3))</f>
        <v/>
      </c>
      <c r="S57" s="86" t="str">
        <f>IF(SUMIFS(Journal!$D$3:$D$143,Journal!$A$3:$A$143,$B57,Journal!$E$3:$E$143,S$3)=0,"",SUMIFS(Journal!$D$3:$D$143,Journal!$A$3:$A$143,$B57,Journal!$E$3:$E$143,S$3))</f>
        <v/>
      </c>
      <c r="T57" s="86" t="str">
        <f>IF(SUMIFS(Journal!$D$3:$D$143,Journal!$A$3:$A$143,$B57,Journal!$F$3:$F$143,S$3)=0,"",SUMIFS(Journal!$D$3:$D$143,Journal!$A$3:$A$143,$B57,Journal!$F$3:$F$143,S$3))</f>
        <v/>
      </c>
      <c r="U57" s="86" t="str">
        <f>IF(SUMIFS(Journal!$D$3:$D$143,Journal!$A$3:$A$143,$B57,Journal!$E$3:$E$143,U$3)=0,"",SUMIFS(Journal!$D$3:$D$143,Journal!$A$3:$A$143,$B57,Journal!$E$3:$E$143,U$3))</f>
        <v/>
      </c>
      <c r="V57" s="86" t="str">
        <f>IF(SUMIFS(Journal!$D$3:$D$143,Journal!$A$3:$A$143,$B57,Journal!$F$3:$F$143,U$3)=0,"",SUMIFS(Journal!$D$3:$D$143,Journal!$A$3:$A$143,$B57,Journal!$F$3:$F$143,U$3))</f>
        <v/>
      </c>
      <c r="W57" s="86" t="str">
        <f>IF(SUMIFS(Journal!$D$3:$D$143,Journal!$A$3:$A$143,$B57,Journal!$E$3:$E$143,W$3)=0,"",SUMIFS(Journal!$D$3:$D$143,Journal!$A$3:$A$143,$B57,Journal!$E$3:$E$143,W$3))</f>
        <v/>
      </c>
      <c r="X57" s="86" t="str">
        <f>IF(SUMIFS(Journal!$D$3:$D$143,Journal!$A$3:$A$143,$B57,Journal!$F$3:$F$143,W$3)=0,"",SUMIFS(Journal!$D$3:$D$143,Journal!$A$3:$A$143,$B57,Journal!$F$3:$F$143,W$3))</f>
        <v/>
      </c>
      <c r="Y57" s="86" t="str">
        <f>IF(SUMIFS(Journal!$D$3:$D$143,Journal!$A$3:$A$143,$B57,Journal!$E$3:$E$143,Y$3)=0,"",SUMIFS(Journal!$D$3:$D$143,Journal!$A$3:$A$143,$B57,Journal!$E$3:$E$143,Y$3))</f>
        <v/>
      </c>
      <c r="Z57" s="86">
        <f>IF(SUMIFS(Journal!$D$3:$D$143,Journal!$A$3:$A$143,$B57,Journal!$F$3:$F$143,Y$3)=0,"",SUMIFS(Journal!$D$3:$D$143,Journal!$A$3:$A$143,$B57,Journal!$F$3:$F$143,Y$3))</f>
        <v>9000</v>
      </c>
      <c r="AA57" s="86" t="str">
        <f>IF(SUMIFS(Journal!$D$3:$D$143,Journal!$A$3:$A$143,$B57,Journal!$E$3:$E$143,AA$3)=0,"",SUMIFS(Journal!$D$3:$D$143,Journal!$A$3:$A$143,$B57,Journal!$E$3:$E$143,AA$3))</f>
        <v/>
      </c>
      <c r="AB57" s="86" t="str">
        <f>IF(SUMIFS(Journal!$D$3:$D$143,Journal!$A$3:$A$143,$B57,Journal!$F$3:$F$143,AA$3)=0,"",SUMIFS(Journal!$D$3:$D$143,Journal!$A$3:$A$143,$B57,Journal!$F$3:$F$143,AA$3))</f>
        <v/>
      </c>
      <c r="AC57" s="86" t="str">
        <f>IF(SUMIFS(Journal!$D$3:$D$143,Journal!$A$3:$A$143,$B57,Journal!$E$3:$E$143,AC$3)=0,"",SUMIFS(Journal!$D$3:$D$143,Journal!$A$3:$A$143,$B57,Journal!$E$3:$E$143,AC$3))</f>
        <v/>
      </c>
      <c r="AD57" s="86" t="str">
        <f>IF(SUMIFS(Journal!$D$3:$D$143,Journal!$A$3:$A$143,$B57,Journal!$F$3:$F$143,AC$3)=0,"",SUMIFS(Journal!$D$3:$D$143,Journal!$A$3:$A$143,$B57,Journal!$F$3:$F$143,AC$3))</f>
        <v/>
      </c>
      <c r="AE57" s="86" t="str">
        <f>IF(SUMIFS(Journal!$D$3:$D$143,Journal!$A$3:$A$143,$B57,Journal!$E$3:$E$143,AE$3)=0,"",SUMIFS(Journal!$D$3:$D$143,Journal!$A$3:$A$143,$B57,Journal!$E$3:$E$143,AE$3))</f>
        <v/>
      </c>
      <c r="AF57" s="86" t="str">
        <f>IF(SUMIFS(Journal!$D$3:$D$143,Journal!$A$3:$A$143,$B57,Journal!$F$3:$F$143,AE$3)=0,"",SUMIFS(Journal!$D$3:$D$143,Journal!$A$3:$A$143,$B57,Journal!$F$3:$F$143,AE$3))</f>
        <v/>
      </c>
      <c r="AG57" s="86" t="str">
        <f>IF(SUMIFS(Journal!$D$3:$D$143,Journal!$A$3:$A$143,$B57,Journal!$E$3:$E$143,AG$3)=0,"",SUMIFS(Journal!$D$3:$D$143,Journal!$A$3:$A$143,$B57,Journal!$E$3:$E$143,AG$3))</f>
        <v/>
      </c>
      <c r="AH57" s="86" t="str">
        <f>IF(SUMIFS(Journal!$D$3:$D$143,Journal!$A$3:$A$143,$B57,Journal!$F$3:$F$143,AG$3)=0,"",SUMIFS(Journal!$D$3:$D$143,Journal!$A$3:$A$143,$B57,Journal!$F$3:$F$143,AG$3))</f>
        <v/>
      </c>
      <c r="AI57" s="86" t="str">
        <f>IF(SUMIFS(Journal!$D$3:$D$143,Journal!$A$3:$A$143,$B57,Journal!$E$3:$E$143,AI$3)=0,"",SUMIFS(Journal!$D$3:$D$143,Journal!$A$3:$A$143,$B57,Journal!$E$3:$E$143,AI$3))</f>
        <v/>
      </c>
      <c r="AJ57" s="86" t="str">
        <f>IF(SUMIFS(Journal!$D$3:$D$143,Journal!$A$3:$A$143,$B57,Journal!$F$3:$F$143,AI$3)=0,"",SUMIFS(Journal!$D$3:$D$143,Journal!$A$3:$A$143,$B57,Journal!$F$3:$F$143,AI$3))</f>
        <v/>
      </c>
      <c r="AK57" s="86" t="str">
        <f>IF(SUMIFS(Journal!$D$3:$D$143,Journal!$A$3:$A$143,$B57,Journal!$E$3:$E$143,AK$3)=0,"",SUMIFS(Journal!$D$3:$D$143,Journal!$A$3:$A$143,$B57,Journal!$E$3:$E$143,AK$3))</f>
        <v/>
      </c>
      <c r="AL57" s="86" t="str">
        <f>IF(SUMIFS(Journal!$D$3:$D$143,Journal!$A$3:$A$143,$B57,Journal!$F$3:$F$143,AK$3)=0,"",SUMIFS(Journal!$D$3:$D$143,Journal!$A$3:$A$143,$B57,Journal!$F$3:$F$143,AK$3))</f>
        <v/>
      </c>
      <c r="AM57" s="86" t="str">
        <f>IF(SUMIFS(Journal!$D$3:$D$143,Journal!$A$3:$A$143,$B57,Journal!$E$3:$E$143,AM$3)=0,"",SUMIFS(Journal!$D$3:$D$143,Journal!$A$3:$A$143,$B57,Journal!$E$3:$E$143,AM$3))</f>
        <v/>
      </c>
      <c r="AN57" s="86" t="str">
        <f>IF(SUMIFS(Journal!$D$3:$D$143,Journal!$A$3:$A$143,$B57,Journal!$F$3:$F$143,AM$3)=0,"",SUMIFS(Journal!$D$3:$D$143,Journal!$A$3:$A$143,$B57,Journal!$F$3:$F$143,AM$3))</f>
        <v/>
      </c>
      <c r="AO57" s="86" t="str">
        <f>IF(SUMIFS(Journal!$D$3:$D$143,Journal!$A$3:$A$143,$B57,Journal!$E$3:$E$143,AO$3)=0,"",SUMIFS(Journal!$D$3:$D$143,Journal!$A$3:$A$143,$B57,Journal!$E$3:$E$143,AO$3))</f>
        <v/>
      </c>
      <c r="AP57" s="86" t="str">
        <f>IF(SUMIFS(Journal!$D$3:$D$143,Journal!$A$3:$A$143,$B57,Journal!$F$3:$F$143,AO$3)=0,"",SUMIFS(Journal!$D$3:$D$143,Journal!$A$3:$A$143,$B57,Journal!$F$3:$F$143,AO$3))</f>
        <v/>
      </c>
      <c r="AQ57" s="86" t="str">
        <f>IF(SUMIFS(Journal!$D$3:$D$143,Journal!$A$3:$A$143,$B57,Journal!$E$3:$E$143,AQ$3)=0,"",SUMIFS(Journal!$D$3:$D$143,Journal!$A$3:$A$143,$B57,Journal!$E$3:$E$143,AQ$3))</f>
        <v/>
      </c>
      <c r="AR57" s="86" t="str">
        <f>IF(SUMIFS(Journal!$D$3:$D$143,Journal!$A$3:$A$143,$B57,Journal!$F$3:$F$143,AQ$3)=0,"",SUMIFS(Journal!$D$3:$D$143,Journal!$A$3:$A$143,$B57,Journal!$F$3:$F$143,AQ$3))</f>
        <v/>
      </c>
      <c r="AS57" s="86" t="str">
        <f>IF(SUMIFS(Journal!$D$3:$D$143,Journal!$A$3:$A$143,$B57,Journal!$E$3:$E$143,AS$3)=0,"",SUMIFS(Journal!$D$3:$D$143,Journal!$A$3:$A$143,$B57,Journal!$E$3:$E$143,AS$3))</f>
        <v/>
      </c>
      <c r="AT57" s="86" t="str">
        <f>IF(SUMIFS(Journal!$D$3:$D$143,Journal!$A$3:$A$143,$B57,Journal!$F$3:$F$143,AS$3)=0,"",SUMIFS(Journal!$D$3:$D$143,Journal!$A$3:$A$143,$B57,Journal!$F$3:$F$143,AS$3))</f>
        <v/>
      </c>
      <c r="AU57" s="86" t="str">
        <f>IF(SUMIFS(Journal!$D$3:$D$143,Journal!$A$3:$A$143,$B57,Journal!$E$3:$E$143,AU$3)=0,"",SUMIFS(Journal!$D$3:$D$143,Journal!$A$3:$A$143,$B57,Journal!$E$3:$E$143,AU$3))</f>
        <v/>
      </c>
      <c r="AV57" s="86" t="str">
        <f>IF(SUMIFS(Journal!$D$3:$D$143,Journal!$A$3:$A$143,$B57,Journal!$F$3:$F$143,AU$3)=0,"",SUMIFS(Journal!$D$3:$D$143,Journal!$A$3:$A$143,$B57,Journal!$F$3:$F$143,AU$3))</f>
        <v/>
      </c>
      <c r="AW57" s="86" t="str">
        <f>IF(SUMIFS(Journal!$D$3:$D$143,Journal!$A$3:$A$143,$B57,Journal!$E$3:$E$143,AW$3)=0,"",SUMIFS(Journal!$D$3:$D$143,Journal!$A$3:$A$143,$B57,Journal!$E$3:$E$143,AW$3))</f>
        <v/>
      </c>
      <c r="AX57" s="86" t="str">
        <f>IF(SUMIFS(Journal!$D$3:$D$143,Journal!$A$3:$A$143,$B57,Journal!$F$3:$F$143,AW$3)=0,"",SUMIFS(Journal!$D$3:$D$143,Journal!$A$3:$A$143,$B57,Journal!$F$3:$F$143,AW$3))</f>
        <v/>
      </c>
      <c r="AY57" s="86" t="str">
        <f>IF(SUMIFS(Journal!$D$3:$D$143,Journal!$A$3:$A$143,$B57,Journal!$E$3:$E$143,AY$3)=0,"",SUMIFS(Journal!$D$3:$D$143,Journal!$A$3:$A$143,$B57,Journal!$E$3:$E$143,AY$3))</f>
        <v/>
      </c>
      <c r="AZ57" s="86" t="str">
        <f>IF(SUMIFS(Journal!$D$3:$D$143,Journal!$A$3:$A$143,$B57,Journal!$F$3:$F$143,AY$3)=0,"",SUMIFS(Journal!$D$3:$D$143,Journal!$A$3:$A$143,$B57,Journal!$F$3:$F$143,AY$3))</f>
        <v/>
      </c>
      <c r="BA57" s="86" t="str">
        <f>IF(SUMIFS(Journal!$D$3:$D$143,Journal!$A$3:$A$143,$B57,Journal!$E$3:$E$143,BA$3)=0,"",SUMIFS(Journal!$D$3:$D$143,Journal!$A$3:$A$143,$B57,Journal!$E$3:$E$143,BA$3))</f>
        <v/>
      </c>
      <c r="BB57" s="86" t="str">
        <f>IF(SUMIFS(Journal!$D$3:$D$143,Journal!$A$3:$A$143,$B57,Journal!$F$3:$F$143,BA$3)=0,"",SUMIFS(Journal!$D$3:$D$143,Journal!$A$3:$A$143,$B57,Journal!$F$3:$F$143,BA$3))</f>
        <v/>
      </c>
    </row>
    <row r="58">
      <c r="A58" s="84">
        <f>VLOOKUP(B58,Journal!$A$3:$C$143,2,FALSE)</f>
        <v>45436</v>
      </c>
      <c r="B58" s="85" t="s">
        <v>410</v>
      </c>
      <c r="C58" s="86" t="str">
        <f>VLOOKUP(B58,Journal!$A$3:$C$143,3,FALSE)</f>
        <v>Employee payroll settlement</v>
      </c>
      <c r="D58" s="86">
        <f>SUMIF(Journal!$A$3:$A$143,B58,Journal!$D$3:$D$143)</f>
        <v>11240</v>
      </c>
      <c r="E58" s="86" t="str">
        <f>IF(SUMIFS(Journal!$D$3:$D$143,Journal!$A$3:$A$143,$B58,Journal!$E$3:$E$143,E$3)=0,"",SUMIFS(Journal!$D$3:$D$143,Journal!$A$3:$A$143,$B58,Journal!$E$3:$E$143,E$3))</f>
        <v/>
      </c>
      <c r="F58" s="86">
        <f>IF(SUMIFS(Journal!$D$3:$D$143,Journal!$A$3:$A$143,$B58,Journal!$F$3:$F$143,E$3)=0,"",SUMIFS(Journal!$D$3:$D$143,Journal!$A$3:$A$143,$B58,Journal!$F$3:$F$143,E$3))</f>
        <v>11240</v>
      </c>
      <c r="G58" s="86" t="str">
        <f>IF(SUMIFS(Journal!$D$3:$D$143,Journal!$A$3:$A$143,$B58,Journal!$E$3:$E$143,G$3)=0,"",SUMIFS(Journal!$D$3:$D$143,Journal!$A$3:$A$143,$B58,Journal!$E$3:$E$143,G$3))</f>
        <v/>
      </c>
      <c r="H58" s="86" t="str">
        <f>IF(SUMIFS(Journal!$D$3:$D$143,Journal!$A$3:$A$143,$B58,Journal!$F$3:$F$143,G$3)=0,"",SUMIFS(Journal!$D$3:$D$143,Journal!$A$3:$A$143,$B58,Journal!$F$3:$F$143,G$3))</f>
        <v/>
      </c>
      <c r="I58" s="86" t="str">
        <f>IF(SUMIFS(Journal!$D$3:$D$143,Journal!$A$3:$A$143,$B58,Journal!$E$3:$E$143,I$3)=0,"",SUMIFS(Journal!$D$3:$D$143,Journal!$A$3:$A$143,$B58,Journal!$E$3:$E$143,I$3))</f>
        <v/>
      </c>
      <c r="J58" s="86" t="str">
        <f>IF(SUMIFS(Journal!$D$3:$D$143,Journal!$A$3:$A$143,$B58,Journal!$F$3:$F$143,I$3)=0,"",SUMIFS(Journal!$D$3:$D$143,Journal!$A$3:$A$143,$B58,Journal!$F$3:$F$143,I$3))</f>
        <v/>
      </c>
      <c r="K58" s="86" t="str">
        <f>IF(SUMIFS(Journal!$D$3:$D$143,Journal!$A$3:$A$143,$B58,Journal!$E$3:$E$143,K$3)=0,"",SUMIFS(Journal!$D$3:$D$143,Journal!$A$3:$A$143,$B58,Journal!$E$3:$E$143,K$3))</f>
        <v/>
      </c>
      <c r="L58" s="86" t="str">
        <f>IF(SUMIFS(Journal!$D$3:$D$143,Journal!$A$3:$A$143,$B58,Journal!$F$3:$F$143,K$3)=0,"",SUMIFS(Journal!$D$3:$D$143,Journal!$A$3:$A$143,$B58,Journal!$F$3:$F$143,K$3))</f>
        <v/>
      </c>
      <c r="M58" s="86" t="str">
        <f>IF(SUMIFS(Journal!$D$3:$D$143,Journal!$A$3:$A$143,$B58,Journal!$E$3:$E$143,M$3)=0,"",SUMIFS(Journal!$D$3:$D$143,Journal!$A$3:$A$143,$B58,Journal!$E$3:$E$143,M$3))</f>
        <v/>
      </c>
      <c r="N58" s="86" t="str">
        <f>IF(SUMIFS(Journal!$D$3:$D$143,Journal!$A$3:$A$143,$B58,Journal!$F$3:$F$143,M$3)=0,"",SUMIFS(Journal!$D$3:$D$143,Journal!$A$3:$A$143,$B58,Journal!$F$3:$F$143,M$3))</f>
        <v/>
      </c>
      <c r="O58" s="86" t="str">
        <f>IF(SUMIFS(Journal!$D$3:$D$143,Journal!$A$3:$A$143,$B58,Journal!$E$3:$E$143,O$3)=0,"",SUMIFS(Journal!$D$3:$D$143,Journal!$A$3:$A$143,$B58,Journal!$E$3:$E$143,O$3))</f>
        <v/>
      </c>
      <c r="P58" s="86" t="str">
        <f>IF(SUMIFS(Journal!$D$3:$D$143,Journal!$A$3:$A$143,$B58,Journal!$F$3:$F$143,O$3)=0,"",SUMIFS(Journal!$D$3:$D$143,Journal!$A$3:$A$143,$B58,Journal!$F$3:$F$143,O$3))</f>
        <v/>
      </c>
      <c r="Q58" s="86" t="str">
        <f>IF(SUMIFS(Journal!$D$3:$D$143,Journal!$A$3:$A$143,$B58,Journal!$E$3:$E$143,Q$3)=0,"",SUMIFS(Journal!$D$3:$D$143,Journal!$A$3:$A$143,$B58,Journal!$E$3:$E$143,Q$3))</f>
        <v/>
      </c>
      <c r="R58" s="86" t="str">
        <f>IF(SUMIFS(Journal!$D$3:$D$143,Journal!$A$3:$A$143,$B58,Journal!$F$3:$F$143,Q$3)=0,"",SUMIFS(Journal!$D$3:$D$143,Journal!$A$3:$A$143,$B58,Journal!$F$3:$F$143,Q$3))</f>
        <v/>
      </c>
      <c r="S58" s="86" t="str">
        <f>IF(SUMIFS(Journal!$D$3:$D$143,Journal!$A$3:$A$143,$B58,Journal!$E$3:$E$143,S$3)=0,"",SUMIFS(Journal!$D$3:$D$143,Journal!$A$3:$A$143,$B58,Journal!$E$3:$E$143,S$3))</f>
        <v/>
      </c>
      <c r="T58" s="86" t="str">
        <f>IF(SUMIFS(Journal!$D$3:$D$143,Journal!$A$3:$A$143,$B58,Journal!$F$3:$F$143,S$3)=0,"",SUMIFS(Journal!$D$3:$D$143,Journal!$A$3:$A$143,$B58,Journal!$F$3:$F$143,S$3))</f>
        <v/>
      </c>
      <c r="U58" s="86" t="str">
        <f>IF(SUMIFS(Journal!$D$3:$D$143,Journal!$A$3:$A$143,$B58,Journal!$E$3:$E$143,U$3)=0,"",SUMIFS(Journal!$D$3:$D$143,Journal!$A$3:$A$143,$B58,Journal!$E$3:$E$143,U$3))</f>
        <v/>
      </c>
      <c r="V58" s="86" t="str">
        <f>IF(SUMIFS(Journal!$D$3:$D$143,Journal!$A$3:$A$143,$B58,Journal!$F$3:$F$143,U$3)=0,"",SUMIFS(Journal!$D$3:$D$143,Journal!$A$3:$A$143,$B58,Journal!$F$3:$F$143,U$3))</f>
        <v/>
      </c>
      <c r="W58" s="86" t="str">
        <f>IF(SUMIFS(Journal!$D$3:$D$143,Journal!$A$3:$A$143,$B58,Journal!$E$3:$E$143,W$3)=0,"",SUMIFS(Journal!$D$3:$D$143,Journal!$A$3:$A$143,$B58,Journal!$E$3:$E$143,W$3))</f>
        <v/>
      </c>
      <c r="X58" s="86" t="str">
        <f>IF(SUMIFS(Journal!$D$3:$D$143,Journal!$A$3:$A$143,$B58,Journal!$F$3:$F$143,W$3)=0,"",SUMIFS(Journal!$D$3:$D$143,Journal!$A$3:$A$143,$B58,Journal!$F$3:$F$143,W$3))</f>
        <v/>
      </c>
      <c r="Y58" s="86" t="str">
        <f>IF(SUMIFS(Journal!$D$3:$D$143,Journal!$A$3:$A$143,$B58,Journal!$E$3:$E$143,Y$3)=0,"",SUMIFS(Journal!$D$3:$D$143,Journal!$A$3:$A$143,$B58,Journal!$E$3:$E$143,Y$3))</f>
        <v/>
      </c>
      <c r="Z58" s="86" t="str">
        <f>IF(SUMIFS(Journal!$D$3:$D$143,Journal!$A$3:$A$143,$B58,Journal!$F$3:$F$143,Y$3)=0,"",SUMIFS(Journal!$D$3:$D$143,Journal!$A$3:$A$143,$B58,Journal!$F$3:$F$143,Y$3))</f>
        <v/>
      </c>
      <c r="AA58" s="86" t="str">
        <f>IF(SUMIFS(Journal!$D$3:$D$143,Journal!$A$3:$A$143,$B58,Journal!$E$3:$E$143,AA$3)=0,"",SUMIFS(Journal!$D$3:$D$143,Journal!$A$3:$A$143,$B58,Journal!$E$3:$E$143,AA$3))</f>
        <v/>
      </c>
      <c r="AB58" s="86" t="str">
        <f>IF(SUMIFS(Journal!$D$3:$D$143,Journal!$A$3:$A$143,$B58,Journal!$F$3:$F$143,AA$3)=0,"",SUMIFS(Journal!$D$3:$D$143,Journal!$A$3:$A$143,$B58,Journal!$F$3:$F$143,AA$3))</f>
        <v/>
      </c>
      <c r="AC58" s="86" t="str">
        <f>IF(SUMIFS(Journal!$D$3:$D$143,Journal!$A$3:$A$143,$B58,Journal!$E$3:$E$143,AC$3)=0,"",SUMIFS(Journal!$D$3:$D$143,Journal!$A$3:$A$143,$B58,Journal!$E$3:$E$143,AC$3))</f>
        <v/>
      </c>
      <c r="AD58" s="86" t="str">
        <f>IF(SUMIFS(Journal!$D$3:$D$143,Journal!$A$3:$A$143,$B58,Journal!$F$3:$F$143,AC$3)=0,"",SUMIFS(Journal!$D$3:$D$143,Journal!$A$3:$A$143,$B58,Journal!$F$3:$F$143,AC$3))</f>
        <v/>
      </c>
      <c r="AE58" s="86" t="str">
        <f>IF(SUMIFS(Journal!$D$3:$D$143,Journal!$A$3:$A$143,$B58,Journal!$E$3:$E$143,AE$3)=0,"",SUMIFS(Journal!$D$3:$D$143,Journal!$A$3:$A$143,$B58,Journal!$E$3:$E$143,AE$3))</f>
        <v/>
      </c>
      <c r="AF58" s="86" t="str">
        <f>IF(SUMIFS(Journal!$D$3:$D$143,Journal!$A$3:$A$143,$B58,Journal!$F$3:$F$143,AE$3)=0,"",SUMIFS(Journal!$D$3:$D$143,Journal!$A$3:$A$143,$B58,Journal!$F$3:$F$143,AE$3))</f>
        <v/>
      </c>
      <c r="AG58" s="86">
        <f>IF(SUMIFS(Journal!$D$3:$D$143,Journal!$A$3:$A$143,$B58,Journal!$E$3:$E$143,AG$3)=0,"",SUMIFS(Journal!$D$3:$D$143,Journal!$A$3:$A$143,$B58,Journal!$E$3:$E$143,AG$3))</f>
        <v>11240</v>
      </c>
      <c r="AH58" s="86" t="str">
        <f>IF(SUMIFS(Journal!$D$3:$D$143,Journal!$A$3:$A$143,$B58,Journal!$F$3:$F$143,AG$3)=0,"",SUMIFS(Journal!$D$3:$D$143,Journal!$A$3:$A$143,$B58,Journal!$F$3:$F$143,AG$3))</f>
        <v/>
      </c>
      <c r="AI58" s="86" t="str">
        <f>IF(SUMIFS(Journal!$D$3:$D$143,Journal!$A$3:$A$143,$B58,Journal!$E$3:$E$143,AI$3)=0,"",SUMIFS(Journal!$D$3:$D$143,Journal!$A$3:$A$143,$B58,Journal!$E$3:$E$143,AI$3))</f>
        <v/>
      </c>
      <c r="AJ58" s="86" t="str">
        <f>IF(SUMIFS(Journal!$D$3:$D$143,Journal!$A$3:$A$143,$B58,Journal!$F$3:$F$143,AI$3)=0,"",SUMIFS(Journal!$D$3:$D$143,Journal!$A$3:$A$143,$B58,Journal!$F$3:$F$143,AI$3))</f>
        <v/>
      </c>
      <c r="AK58" s="86" t="str">
        <f>IF(SUMIFS(Journal!$D$3:$D$143,Journal!$A$3:$A$143,$B58,Journal!$E$3:$E$143,AK$3)=0,"",SUMIFS(Journal!$D$3:$D$143,Journal!$A$3:$A$143,$B58,Journal!$E$3:$E$143,AK$3))</f>
        <v/>
      </c>
      <c r="AL58" s="86" t="str">
        <f>IF(SUMIFS(Journal!$D$3:$D$143,Journal!$A$3:$A$143,$B58,Journal!$F$3:$F$143,AK$3)=0,"",SUMIFS(Journal!$D$3:$D$143,Journal!$A$3:$A$143,$B58,Journal!$F$3:$F$143,AK$3))</f>
        <v/>
      </c>
      <c r="AM58" s="86" t="str">
        <f>IF(SUMIFS(Journal!$D$3:$D$143,Journal!$A$3:$A$143,$B58,Journal!$E$3:$E$143,AM$3)=0,"",SUMIFS(Journal!$D$3:$D$143,Journal!$A$3:$A$143,$B58,Journal!$E$3:$E$143,AM$3))</f>
        <v/>
      </c>
      <c r="AN58" s="86" t="str">
        <f>IF(SUMIFS(Journal!$D$3:$D$143,Journal!$A$3:$A$143,$B58,Journal!$F$3:$F$143,AM$3)=0,"",SUMIFS(Journal!$D$3:$D$143,Journal!$A$3:$A$143,$B58,Journal!$F$3:$F$143,AM$3))</f>
        <v/>
      </c>
      <c r="AO58" s="86" t="str">
        <f>IF(SUMIFS(Journal!$D$3:$D$143,Journal!$A$3:$A$143,$B58,Journal!$E$3:$E$143,AO$3)=0,"",SUMIFS(Journal!$D$3:$D$143,Journal!$A$3:$A$143,$B58,Journal!$E$3:$E$143,AO$3))</f>
        <v/>
      </c>
      <c r="AP58" s="86" t="str">
        <f>IF(SUMIFS(Journal!$D$3:$D$143,Journal!$A$3:$A$143,$B58,Journal!$F$3:$F$143,AO$3)=0,"",SUMIFS(Journal!$D$3:$D$143,Journal!$A$3:$A$143,$B58,Journal!$F$3:$F$143,AO$3))</f>
        <v/>
      </c>
      <c r="AQ58" s="86" t="str">
        <f>IF(SUMIFS(Journal!$D$3:$D$143,Journal!$A$3:$A$143,$B58,Journal!$E$3:$E$143,AQ$3)=0,"",SUMIFS(Journal!$D$3:$D$143,Journal!$A$3:$A$143,$B58,Journal!$E$3:$E$143,AQ$3))</f>
        <v/>
      </c>
      <c r="AR58" s="86" t="str">
        <f>IF(SUMIFS(Journal!$D$3:$D$143,Journal!$A$3:$A$143,$B58,Journal!$F$3:$F$143,AQ$3)=0,"",SUMIFS(Journal!$D$3:$D$143,Journal!$A$3:$A$143,$B58,Journal!$F$3:$F$143,AQ$3))</f>
        <v/>
      </c>
      <c r="AS58" s="86" t="str">
        <f>IF(SUMIFS(Journal!$D$3:$D$143,Journal!$A$3:$A$143,$B58,Journal!$E$3:$E$143,AS$3)=0,"",SUMIFS(Journal!$D$3:$D$143,Journal!$A$3:$A$143,$B58,Journal!$E$3:$E$143,AS$3))</f>
        <v/>
      </c>
      <c r="AT58" s="86" t="str">
        <f>IF(SUMIFS(Journal!$D$3:$D$143,Journal!$A$3:$A$143,$B58,Journal!$F$3:$F$143,AS$3)=0,"",SUMIFS(Journal!$D$3:$D$143,Journal!$A$3:$A$143,$B58,Journal!$F$3:$F$143,AS$3))</f>
        <v/>
      </c>
      <c r="AU58" s="86" t="str">
        <f>IF(SUMIFS(Journal!$D$3:$D$143,Journal!$A$3:$A$143,$B58,Journal!$E$3:$E$143,AU$3)=0,"",SUMIFS(Journal!$D$3:$D$143,Journal!$A$3:$A$143,$B58,Journal!$E$3:$E$143,AU$3))</f>
        <v/>
      </c>
      <c r="AV58" s="86" t="str">
        <f>IF(SUMIFS(Journal!$D$3:$D$143,Journal!$A$3:$A$143,$B58,Journal!$F$3:$F$143,AU$3)=0,"",SUMIFS(Journal!$D$3:$D$143,Journal!$A$3:$A$143,$B58,Journal!$F$3:$F$143,AU$3))</f>
        <v/>
      </c>
      <c r="AW58" s="86" t="str">
        <f>IF(SUMIFS(Journal!$D$3:$D$143,Journal!$A$3:$A$143,$B58,Journal!$E$3:$E$143,AW$3)=0,"",SUMIFS(Journal!$D$3:$D$143,Journal!$A$3:$A$143,$B58,Journal!$E$3:$E$143,AW$3))</f>
        <v/>
      </c>
      <c r="AX58" s="86" t="str">
        <f>IF(SUMIFS(Journal!$D$3:$D$143,Journal!$A$3:$A$143,$B58,Journal!$F$3:$F$143,AW$3)=0,"",SUMIFS(Journal!$D$3:$D$143,Journal!$A$3:$A$143,$B58,Journal!$F$3:$F$143,AW$3))</f>
        <v/>
      </c>
      <c r="AY58" s="86" t="str">
        <f>IF(SUMIFS(Journal!$D$3:$D$143,Journal!$A$3:$A$143,$B58,Journal!$E$3:$E$143,AY$3)=0,"",SUMIFS(Journal!$D$3:$D$143,Journal!$A$3:$A$143,$B58,Journal!$E$3:$E$143,AY$3))</f>
        <v/>
      </c>
      <c r="AZ58" s="86" t="str">
        <f>IF(SUMIFS(Journal!$D$3:$D$143,Journal!$A$3:$A$143,$B58,Journal!$F$3:$F$143,AY$3)=0,"",SUMIFS(Journal!$D$3:$D$143,Journal!$A$3:$A$143,$B58,Journal!$F$3:$F$143,AY$3))</f>
        <v/>
      </c>
      <c r="BA58" s="86" t="str">
        <f>IF(SUMIFS(Journal!$D$3:$D$143,Journal!$A$3:$A$143,$B58,Journal!$E$3:$E$143,BA$3)=0,"",SUMIFS(Journal!$D$3:$D$143,Journal!$A$3:$A$143,$B58,Journal!$E$3:$E$143,BA$3))</f>
        <v/>
      </c>
      <c r="BB58" s="86" t="str">
        <f>IF(SUMIFS(Journal!$D$3:$D$143,Journal!$A$3:$A$143,$B58,Journal!$F$3:$F$143,BA$3)=0,"",SUMIFS(Journal!$D$3:$D$143,Journal!$A$3:$A$143,$B58,Journal!$F$3:$F$143,BA$3))</f>
        <v/>
      </c>
    </row>
    <row r="59">
      <c r="A59" s="84">
        <f>VLOOKUP(B59,Journal!$A$3:$C$143,2,FALSE)</f>
        <v>45437</v>
      </c>
      <c r="B59" s="85" t="s">
        <v>414</v>
      </c>
      <c r="C59" s="86" t="str">
        <f>VLOOKUP(B59,Journal!$A$3:$C$143,3,FALSE)</f>
        <v>Purchased retail inventory on account</v>
      </c>
      <c r="D59" s="86">
        <f>SUMIF(Journal!$A$3:$A$143,B59,Journal!$D$3:$D$143)</f>
        <v>9000</v>
      </c>
      <c r="E59" s="86" t="str">
        <f>IF(SUMIFS(Journal!$D$3:$D$143,Journal!$A$3:$A$143,$B59,Journal!$E$3:$E$143,E$3)=0,"",SUMIFS(Journal!$D$3:$D$143,Journal!$A$3:$A$143,$B59,Journal!$E$3:$E$143,E$3))</f>
        <v/>
      </c>
      <c r="F59" s="86" t="str">
        <f>IF(SUMIFS(Journal!$D$3:$D$143,Journal!$A$3:$A$143,$B59,Journal!$F$3:$F$143,E$3)=0,"",SUMIFS(Journal!$D$3:$D$143,Journal!$A$3:$A$143,$B59,Journal!$F$3:$F$143,E$3))</f>
        <v/>
      </c>
      <c r="G59" s="86" t="str">
        <f>IF(SUMIFS(Journal!$D$3:$D$143,Journal!$A$3:$A$143,$B59,Journal!$E$3:$E$143,G$3)=0,"",SUMIFS(Journal!$D$3:$D$143,Journal!$A$3:$A$143,$B59,Journal!$E$3:$E$143,G$3))</f>
        <v/>
      </c>
      <c r="H59" s="86" t="str">
        <f>IF(SUMIFS(Journal!$D$3:$D$143,Journal!$A$3:$A$143,$B59,Journal!$F$3:$F$143,G$3)=0,"",SUMIFS(Journal!$D$3:$D$143,Journal!$A$3:$A$143,$B59,Journal!$F$3:$F$143,G$3))</f>
        <v/>
      </c>
      <c r="I59" s="86">
        <f>IF(SUMIFS(Journal!$D$3:$D$143,Journal!$A$3:$A$143,$B59,Journal!$E$3:$E$143,I$3)=0,"",SUMIFS(Journal!$D$3:$D$143,Journal!$A$3:$A$143,$B59,Journal!$E$3:$E$143,I$3))</f>
        <v>9000</v>
      </c>
      <c r="J59" s="86" t="str">
        <f>IF(SUMIFS(Journal!$D$3:$D$143,Journal!$A$3:$A$143,$B59,Journal!$F$3:$F$143,I$3)=0,"",SUMIFS(Journal!$D$3:$D$143,Journal!$A$3:$A$143,$B59,Journal!$F$3:$F$143,I$3))</f>
        <v/>
      </c>
      <c r="K59" s="86" t="str">
        <f>IF(SUMIFS(Journal!$D$3:$D$143,Journal!$A$3:$A$143,$B59,Journal!$E$3:$E$143,K$3)=0,"",SUMIFS(Journal!$D$3:$D$143,Journal!$A$3:$A$143,$B59,Journal!$E$3:$E$143,K$3))</f>
        <v/>
      </c>
      <c r="L59" s="86" t="str">
        <f>IF(SUMIFS(Journal!$D$3:$D$143,Journal!$A$3:$A$143,$B59,Journal!$F$3:$F$143,K$3)=0,"",SUMIFS(Journal!$D$3:$D$143,Journal!$A$3:$A$143,$B59,Journal!$F$3:$F$143,K$3))</f>
        <v/>
      </c>
      <c r="M59" s="86" t="str">
        <f>IF(SUMIFS(Journal!$D$3:$D$143,Journal!$A$3:$A$143,$B59,Journal!$E$3:$E$143,M$3)=0,"",SUMIFS(Journal!$D$3:$D$143,Journal!$A$3:$A$143,$B59,Journal!$E$3:$E$143,M$3))</f>
        <v/>
      </c>
      <c r="N59" s="86" t="str">
        <f>IF(SUMIFS(Journal!$D$3:$D$143,Journal!$A$3:$A$143,$B59,Journal!$F$3:$F$143,M$3)=0,"",SUMIFS(Journal!$D$3:$D$143,Journal!$A$3:$A$143,$B59,Journal!$F$3:$F$143,M$3))</f>
        <v/>
      </c>
      <c r="O59" s="86" t="str">
        <f>IF(SUMIFS(Journal!$D$3:$D$143,Journal!$A$3:$A$143,$B59,Journal!$E$3:$E$143,O$3)=0,"",SUMIFS(Journal!$D$3:$D$143,Journal!$A$3:$A$143,$B59,Journal!$E$3:$E$143,O$3))</f>
        <v/>
      </c>
      <c r="P59" s="86">
        <f>IF(SUMIFS(Journal!$D$3:$D$143,Journal!$A$3:$A$143,$B59,Journal!$F$3:$F$143,O$3)=0,"",SUMIFS(Journal!$D$3:$D$143,Journal!$A$3:$A$143,$B59,Journal!$F$3:$F$143,O$3))</f>
        <v>9000</v>
      </c>
      <c r="Q59" s="86" t="str">
        <f>IF(SUMIFS(Journal!$D$3:$D$143,Journal!$A$3:$A$143,$B59,Journal!$E$3:$E$143,Q$3)=0,"",SUMIFS(Journal!$D$3:$D$143,Journal!$A$3:$A$143,$B59,Journal!$E$3:$E$143,Q$3))</f>
        <v/>
      </c>
      <c r="R59" s="86" t="str">
        <f>IF(SUMIFS(Journal!$D$3:$D$143,Journal!$A$3:$A$143,$B59,Journal!$F$3:$F$143,Q$3)=0,"",SUMIFS(Journal!$D$3:$D$143,Journal!$A$3:$A$143,$B59,Journal!$F$3:$F$143,Q$3))</f>
        <v/>
      </c>
      <c r="S59" s="86" t="str">
        <f>IF(SUMIFS(Journal!$D$3:$D$143,Journal!$A$3:$A$143,$B59,Journal!$E$3:$E$143,S$3)=0,"",SUMIFS(Journal!$D$3:$D$143,Journal!$A$3:$A$143,$B59,Journal!$E$3:$E$143,S$3))</f>
        <v/>
      </c>
      <c r="T59" s="86" t="str">
        <f>IF(SUMIFS(Journal!$D$3:$D$143,Journal!$A$3:$A$143,$B59,Journal!$F$3:$F$143,S$3)=0,"",SUMIFS(Journal!$D$3:$D$143,Journal!$A$3:$A$143,$B59,Journal!$F$3:$F$143,S$3))</f>
        <v/>
      </c>
      <c r="U59" s="86" t="str">
        <f>IF(SUMIFS(Journal!$D$3:$D$143,Journal!$A$3:$A$143,$B59,Journal!$E$3:$E$143,U$3)=0,"",SUMIFS(Journal!$D$3:$D$143,Journal!$A$3:$A$143,$B59,Journal!$E$3:$E$143,U$3))</f>
        <v/>
      </c>
      <c r="V59" s="86" t="str">
        <f>IF(SUMIFS(Journal!$D$3:$D$143,Journal!$A$3:$A$143,$B59,Journal!$F$3:$F$143,U$3)=0,"",SUMIFS(Journal!$D$3:$D$143,Journal!$A$3:$A$143,$B59,Journal!$F$3:$F$143,U$3))</f>
        <v/>
      </c>
      <c r="W59" s="86" t="str">
        <f>IF(SUMIFS(Journal!$D$3:$D$143,Journal!$A$3:$A$143,$B59,Journal!$E$3:$E$143,W$3)=0,"",SUMIFS(Journal!$D$3:$D$143,Journal!$A$3:$A$143,$B59,Journal!$E$3:$E$143,W$3))</f>
        <v/>
      </c>
      <c r="X59" s="86" t="str">
        <f>IF(SUMIFS(Journal!$D$3:$D$143,Journal!$A$3:$A$143,$B59,Journal!$F$3:$F$143,W$3)=0,"",SUMIFS(Journal!$D$3:$D$143,Journal!$A$3:$A$143,$B59,Journal!$F$3:$F$143,W$3))</f>
        <v/>
      </c>
      <c r="Y59" s="86" t="str">
        <f>IF(SUMIFS(Journal!$D$3:$D$143,Journal!$A$3:$A$143,$B59,Journal!$E$3:$E$143,Y$3)=0,"",SUMIFS(Journal!$D$3:$D$143,Journal!$A$3:$A$143,$B59,Journal!$E$3:$E$143,Y$3))</f>
        <v/>
      </c>
      <c r="Z59" s="86" t="str">
        <f>IF(SUMIFS(Journal!$D$3:$D$143,Journal!$A$3:$A$143,$B59,Journal!$F$3:$F$143,Y$3)=0,"",SUMIFS(Journal!$D$3:$D$143,Journal!$A$3:$A$143,$B59,Journal!$F$3:$F$143,Y$3))</f>
        <v/>
      </c>
      <c r="AA59" s="86" t="str">
        <f>IF(SUMIFS(Journal!$D$3:$D$143,Journal!$A$3:$A$143,$B59,Journal!$E$3:$E$143,AA$3)=0,"",SUMIFS(Journal!$D$3:$D$143,Journal!$A$3:$A$143,$B59,Journal!$E$3:$E$143,AA$3))</f>
        <v/>
      </c>
      <c r="AB59" s="86" t="str">
        <f>IF(SUMIFS(Journal!$D$3:$D$143,Journal!$A$3:$A$143,$B59,Journal!$F$3:$F$143,AA$3)=0,"",SUMIFS(Journal!$D$3:$D$143,Journal!$A$3:$A$143,$B59,Journal!$F$3:$F$143,AA$3))</f>
        <v/>
      </c>
      <c r="AC59" s="86" t="str">
        <f>IF(SUMIFS(Journal!$D$3:$D$143,Journal!$A$3:$A$143,$B59,Journal!$E$3:$E$143,AC$3)=0,"",SUMIFS(Journal!$D$3:$D$143,Journal!$A$3:$A$143,$B59,Journal!$E$3:$E$143,AC$3))</f>
        <v/>
      </c>
      <c r="AD59" s="86" t="str">
        <f>IF(SUMIFS(Journal!$D$3:$D$143,Journal!$A$3:$A$143,$B59,Journal!$F$3:$F$143,AC$3)=0,"",SUMIFS(Journal!$D$3:$D$143,Journal!$A$3:$A$143,$B59,Journal!$F$3:$F$143,AC$3))</f>
        <v/>
      </c>
      <c r="AE59" s="86" t="str">
        <f>IF(SUMIFS(Journal!$D$3:$D$143,Journal!$A$3:$A$143,$B59,Journal!$E$3:$E$143,AE$3)=0,"",SUMIFS(Journal!$D$3:$D$143,Journal!$A$3:$A$143,$B59,Journal!$E$3:$E$143,AE$3))</f>
        <v/>
      </c>
      <c r="AF59" s="86" t="str">
        <f>IF(SUMIFS(Journal!$D$3:$D$143,Journal!$A$3:$A$143,$B59,Journal!$F$3:$F$143,AE$3)=0,"",SUMIFS(Journal!$D$3:$D$143,Journal!$A$3:$A$143,$B59,Journal!$F$3:$F$143,AE$3))</f>
        <v/>
      </c>
      <c r="AG59" s="86" t="str">
        <f>IF(SUMIFS(Journal!$D$3:$D$143,Journal!$A$3:$A$143,$B59,Journal!$E$3:$E$143,AG$3)=0,"",SUMIFS(Journal!$D$3:$D$143,Journal!$A$3:$A$143,$B59,Journal!$E$3:$E$143,AG$3))</f>
        <v/>
      </c>
      <c r="AH59" s="86" t="str">
        <f>IF(SUMIFS(Journal!$D$3:$D$143,Journal!$A$3:$A$143,$B59,Journal!$F$3:$F$143,AG$3)=0,"",SUMIFS(Journal!$D$3:$D$143,Journal!$A$3:$A$143,$B59,Journal!$F$3:$F$143,AG$3))</f>
        <v/>
      </c>
      <c r="AI59" s="86" t="str">
        <f>IF(SUMIFS(Journal!$D$3:$D$143,Journal!$A$3:$A$143,$B59,Journal!$E$3:$E$143,AI$3)=0,"",SUMIFS(Journal!$D$3:$D$143,Journal!$A$3:$A$143,$B59,Journal!$E$3:$E$143,AI$3))</f>
        <v/>
      </c>
      <c r="AJ59" s="86" t="str">
        <f>IF(SUMIFS(Journal!$D$3:$D$143,Journal!$A$3:$A$143,$B59,Journal!$F$3:$F$143,AI$3)=0,"",SUMIFS(Journal!$D$3:$D$143,Journal!$A$3:$A$143,$B59,Journal!$F$3:$F$143,AI$3))</f>
        <v/>
      </c>
      <c r="AK59" s="86" t="str">
        <f>IF(SUMIFS(Journal!$D$3:$D$143,Journal!$A$3:$A$143,$B59,Journal!$E$3:$E$143,AK$3)=0,"",SUMIFS(Journal!$D$3:$D$143,Journal!$A$3:$A$143,$B59,Journal!$E$3:$E$143,AK$3))</f>
        <v/>
      </c>
      <c r="AL59" s="86" t="str">
        <f>IF(SUMIFS(Journal!$D$3:$D$143,Journal!$A$3:$A$143,$B59,Journal!$F$3:$F$143,AK$3)=0,"",SUMIFS(Journal!$D$3:$D$143,Journal!$A$3:$A$143,$B59,Journal!$F$3:$F$143,AK$3))</f>
        <v/>
      </c>
      <c r="AM59" s="86" t="str">
        <f>IF(SUMIFS(Journal!$D$3:$D$143,Journal!$A$3:$A$143,$B59,Journal!$E$3:$E$143,AM$3)=0,"",SUMIFS(Journal!$D$3:$D$143,Journal!$A$3:$A$143,$B59,Journal!$E$3:$E$143,AM$3))</f>
        <v/>
      </c>
      <c r="AN59" s="86" t="str">
        <f>IF(SUMIFS(Journal!$D$3:$D$143,Journal!$A$3:$A$143,$B59,Journal!$F$3:$F$143,AM$3)=0,"",SUMIFS(Journal!$D$3:$D$143,Journal!$A$3:$A$143,$B59,Journal!$F$3:$F$143,AM$3))</f>
        <v/>
      </c>
      <c r="AO59" s="86" t="str">
        <f>IF(SUMIFS(Journal!$D$3:$D$143,Journal!$A$3:$A$143,$B59,Journal!$E$3:$E$143,AO$3)=0,"",SUMIFS(Journal!$D$3:$D$143,Journal!$A$3:$A$143,$B59,Journal!$E$3:$E$143,AO$3))</f>
        <v/>
      </c>
      <c r="AP59" s="86" t="str">
        <f>IF(SUMIFS(Journal!$D$3:$D$143,Journal!$A$3:$A$143,$B59,Journal!$F$3:$F$143,AO$3)=0,"",SUMIFS(Journal!$D$3:$D$143,Journal!$A$3:$A$143,$B59,Journal!$F$3:$F$143,AO$3))</f>
        <v/>
      </c>
      <c r="AQ59" s="86" t="str">
        <f>IF(SUMIFS(Journal!$D$3:$D$143,Journal!$A$3:$A$143,$B59,Journal!$E$3:$E$143,AQ$3)=0,"",SUMIFS(Journal!$D$3:$D$143,Journal!$A$3:$A$143,$B59,Journal!$E$3:$E$143,AQ$3))</f>
        <v/>
      </c>
      <c r="AR59" s="86" t="str">
        <f>IF(SUMIFS(Journal!$D$3:$D$143,Journal!$A$3:$A$143,$B59,Journal!$F$3:$F$143,AQ$3)=0,"",SUMIFS(Journal!$D$3:$D$143,Journal!$A$3:$A$143,$B59,Journal!$F$3:$F$143,AQ$3))</f>
        <v/>
      </c>
      <c r="AS59" s="86" t="str">
        <f>IF(SUMIFS(Journal!$D$3:$D$143,Journal!$A$3:$A$143,$B59,Journal!$E$3:$E$143,AS$3)=0,"",SUMIFS(Journal!$D$3:$D$143,Journal!$A$3:$A$143,$B59,Journal!$E$3:$E$143,AS$3))</f>
        <v/>
      </c>
      <c r="AT59" s="86" t="str">
        <f>IF(SUMIFS(Journal!$D$3:$D$143,Journal!$A$3:$A$143,$B59,Journal!$F$3:$F$143,AS$3)=0,"",SUMIFS(Journal!$D$3:$D$143,Journal!$A$3:$A$143,$B59,Journal!$F$3:$F$143,AS$3))</f>
        <v/>
      </c>
      <c r="AU59" s="86" t="str">
        <f>IF(SUMIFS(Journal!$D$3:$D$143,Journal!$A$3:$A$143,$B59,Journal!$E$3:$E$143,AU$3)=0,"",SUMIFS(Journal!$D$3:$D$143,Journal!$A$3:$A$143,$B59,Journal!$E$3:$E$143,AU$3))</f>
        <v/>
      </c>
      <c r="AV59" s="86" t="str">
        <f>IF(SUMIFS(Journal!$D$3:$D$143,Journal!$A$3:$A$143,$B59,Journal!$F$3:$F$143,AU$3)=0,"",SUMIFS(Journal!$D$3:$D$143,Journal!$A$3:$A$143,$B59,Journal!$F$3:$F$143,AU$3))</f>
        <v/>
      </c>
      <c r="AW59" s="86" t="str">
        <f>IF(SUMIFS(Journal!$D$3:$D$143,Journal!$A$3:$A$143,$B59,Journal!$E$3:$E$143,AW$3)=0,"",SUMIFS(Journal!$D$3:$D$143,Journal!$A$3:$A$143,$B59,Journal!$E$3:$E$143,AW$3))</f>
        <v/>
      </c>
      <c r="AX59" s="86" t="str">
        <f>IF(SUMIFS(Journal!$D$3:$D$143,Journal!$A$3:$A$143,$B59,Journal!$F$3:$F$143,AW$3)=0,"",SUMIFS(Journal!$D$3:$D$143,Journal!$A$3:$A$143,$B59,Journal!$F$3:$F$143,AW$3))</f>
        <v/>
      </c>
      <c r="AY59" s="86" t="str">
        <f>IF(SUMIFS(Journal!$D$3:$D$143,Journal!$A$3:$A$143,$B59,Journal!$E$3:$E$143,AY$3)=0,"",SUMIFS(Journal!$D$3:$D$143,Journal!$A$3:$A$143,$B59,Journal!$E$3:$E$143,AY$3))</f>
        <v/>
      </c>
      <c r="AZ59" s="86" t="str">
        <f>IF(SUMIFS(Journal!$D$3:$D$143,Journal!$A$3:$A$143,$B59,Journal!$F$3:$F$143,AY$3)=0,"",SUMIFS(Journal!$D$3:$D$143,Journal!$A$3:$A$143,$B59,Journal!$F$3:$F$143,AY$3))</f>
        <v/>
      </c>
      <c r="BA59" s="86" t="str">
        <f>IF(SUMIFS(Journal!$D$3:$D$143,Journal!$A$3:$A$143,$B59,Journal!$E$3:$E$143,BA$3)=0,"",SUMIFS(Journal!$D$3:$D$143,Journal!$A$3:$A$143,$B59,Journal!$E$3:$E$143,BA$3))</f>
        <v/>
      </c>
      <c r="BB59" s="86" t="str">
        <f>IF(SUMIFS(Journal!$D$3:$D$143,Journal!$A$3:$A$143,$B59,Journal!$F$3:$F$143,BA$3)=0,"",SUMIFS(Journal!$D$3:$D$143,Journal!$A$3:$A$143,$B59,Journal!$F$3:$F$143,BA$3))</f>
        <v/>
      </c>
    </row>
    <row r="60">
      <c r="A60" s="84">
        <f>VLOOKUP(B60,Journal!$A$3:$C$143,2,FALSE)</f>
        <v>45443</v>
      </c>
      <c r="B60" s="85" t="s">
        <v>419</v>
      </c>
      <c r="C60" s="86" t="str">
        <f>VLOOKUP(B60,Journal!$A$3:$C$143,3,FALSE)</f>
        <v>Monthly utility settlement</v>
      </c>
      <c r="D60" s="86">
        <f>SUMIF(Journal!$A$3:$A$143,B60,Journal!$D$3:$D$143)</f>
        <v>1048</v>
      </c>
      <c r="E60" s="86" t="str">
        <f>IF(SUMIFS(Journal!$D$3:$D$143,Journal!$A$3:$A$143,$B60,Journal!$E$3:$E$143,E$3)=0,"",SUMIFS(Journal!$D$3:$D$143,Journal!$A$3:$A$143,$B60,Journal!$E$3:$E$143,E$3))</f>
        <v/>
      </c>
      <c r="F60" s="86">
        <f>IF(SUMIFS(Journal!$D$3:$D$143,Journal!$A$3:$A$143,$B60,Journal!$F$3:$F$143,E$3)=0,"",SUMIFS(Journal!$D$3:$D$143,Journal!$A$3:$A$143,$B60,Journal!$F$3:$F$143,E$3))</f>
        <v>1048</v>
      </c>
      <c r="G60" s="86" t="str">
        <f>IF(SUMIFS(Journal!$D$3:$D$143,Journal!$A$3:$A$143,$B60,Journal!$E$3:$E$143,G$3)=0,"",SUMIFS(Journal!$D$3:$D$143,Journal!$A$3:$A$143,$B60,Journal!$E$3:$E$143,G$3))</f>
        <v/>
      </c>
      <c r="H60" s="86" t="str">
        <f>IF(SUMIFS(Journal!$D$3:$D$143,Journal!$A$3:$A$143,$B60,Journal!$F$3:$F$143,G$3)=0,"",SUMIFS(Journal!$D$3:$D$143,Journal!$A$3:$A$143,$B60,Journal!$F$3:$F$143,G$3))</f>
        <v/>
      </c>
      <c r="I60" s="86" t="str">
        <f>IF(SUMIFS(Journal!$D$3:$D$143,Journal!$A$3:$A$143,$B60,Journal!$E$3:$E$143,I$3)=0,"",SUMIFS(Journal!$D$3:$D$143,Journal!$A$3:$A$143,$B60,Journal!$E$3:$E$143,I$3))</f>
        <v/>
      </c>
      <c r="J60" s="86" t="str">
        <f>IF(SUMIFS(Journal!$D$3:$D$143,Journal!$A$3:$A$143,$B60,Journal!$F$3:$F$143,I$3)=0,"",SUMIFS(Journal!$D$3:$D$143,Journal!$A$3:$A$143,$B60,Journal!$F$3:$F$143,I$3))</f>
        <v/>
      </c>
      <c r="K60" s="86" t="str">
        <f>IF(SUMIFS(Journal!$D$3:$D$143,Journal!$A$3:$A$143,$B60,Journal!$E$3:$E$143,K$3)=0,"",SUMIFS(Journal!$D$3:$D$143,Journal!$A$3:$A$143,$B60,Journal!$E$3:$E$143,K$3))</f>
        <v/>
      </c>
      <c r="L60" s="86" t="str">
        <f>IF(SUMIFS(Journal!$D$3:$D$143,Journal!$A$3:$A$143,$B60,Journal!$F$3:$F$143,K$3)=0,"",SUMIFS(Journal!$D$3:$D$143,Journal!$A$3:$A$143,$B60,Journal!$F$3:$F$143,K$3))</f>
        <v/>
      </c>
      <c r="M60" s="86" t="str">
        <f>IF(SUMIFS(Journal!$D$3:$D$143,Journal!$A$3:$A$143,$B60,Journal!$E$3:$E$143,M$3)=0,"",SUMIFS(Journal!$D$3:$D$143,Journal!$A$3:$A$143,$B60,Journal!$E$3:$E$143,M$3))</f>
        <v/>
      </c>
      <c r="N60" s="86" t="str">
        <f>IF(SUMIFS(Journal!$D$3:$D$143,Journal!$A$3:$A$143,$B60,Journal!$F$3:$F$143,M$3)=0,"",SUMIFS(Journal!$D$3:$D$143,Journal!$A$3:$A$143,$B60,Journal!$F$3:$F$143,M$3))</f>
        <v/>
      </c>
      <c r="O60" s="86" t="str">
        <f>IF(SUMIFS(Journal!$D$3:$D$143,Journal!$A$3:$A$143,$B60,Journal!$E$3:$E$143,O$3)=0,"",SUMIFS(Journal!$D$3:$D$143,Journal!$A$3:$A$143,$B60,Journal!$E$3:$E$143,O$3))</f>
        <v/>
      </c>
      <c r="P60" s="86" t="str">
        <f>IF(SUMIFS(Journal!$D$3:$D$143,Journal!$A$3:$A$143,$B60,Journal!$F$3:$F$143,O$3)=0,"",SUMIFS(Journal!$D$3:$D$143,Journal!$A$3:$A$143,$B60,Journal!$F$3:$F$143,O$3))</f>
        <v/>
      </c>
      <c r="Q60" s="86" t="str">
        <f>IF(SUMIFS(Journal!$D$3:$D$143,Journal!$A$3:$A$143,$B60,Journal!$E$3:$E$143,Q$3)=0,"",SUMIFS(Journal!$D$3:$D$143,Journal!$A$3:$A$143,$B60,Journal!$E$3:$E$143,Q$3))</f>
        <v/>
      </c>
      <c r="R60" s="86" t="str">
        <f>IF(SUMIFS(Journal!$D$3:$D$143,Journal!$A$3:$A$143,$B60,Journal!$F$3:$F$143,Q$3)=0,"",SUMIFS(Journal!$D$3:$D$143,Journal!$A$3:$A$143,$B60,Journal!$F$3:$F$143,Q$3))</f>
        <v/>
      </c>
      <c r="S60" s="86" t="str">
        <f>IF(SUMIFS(Journal!$D$3:$D$143,Journal!$A$3:$A$143,$B60,Journal!$E$3:$E$143,S$3)=0,"",SUMIFS(Journal!$D$3:$D$143,Journal!$A$3:$A$143,$B60,Journal!$E$3:$E$143,S$3))</f>
        <v/>
      </c>
      <c r="T60" s="86" t="str">
        <f>IF(SUMIFS(Journal!$D$3:$D$143,Journal!$A$3:$A$143,$B60,Journal!$F$3:$F$143,S$3)=0,"",SUMIFS(Journal!$D$3:$D$143,Journal!$A$3:$A$143,$B60,Journal!$F$3:$F$143,S$3))</f>
        <v/>
      </c>
      <c r="U60" s="86" t="str">
        <f>IF(SUMIFS(Journal!$D$3:$D$143,Journal!$A$3:$A$143,$B60,Journal!$E$3:$E$143,U$3)=0,"",SUMIFS(Journal!$D$3:$D$143,Journal!$A$3:$A$143,$B60,Journal!$E$3:$E$143,U$3))</f>
        <v/>
      </c>
      <c r="V60" s="86" t="str">
        <f>IF(SUMIFS(Journal!$D$3:$D$143,Journal!$A$3:$A$143,$B60,Journal!$F$3:$F$143,U$3)=0,"",SUMIFS(Journal!$D$3:$D$143,Journal!$A$3:$A$143,$B60,Journal!$F$3:$F$143,U$3))</f>
        <v/>
      </c>
      <c r="W60" s="86" t="str">
        <f>IF(SUMIFS(Journal!$D$3:$D$143,Journal!$A$3:$A$143,$B60,Journal!$E$3:$E$143,W$3)=0,"",SUMIFS(Journal!$D$3:$D$143,Journal!$A$3:$A$143,$B60,Journal!$E$3:$E$143,W$3))</f>
        <v/>
      </c>
      <c r="X60" s="86" t="str">
        <f>IF(SUMIFS(Journal!$D$3:$D$143,Journal!$A$3:$A$143,$B60,Journal!$F$3:$F$143,W$3)=0,"",SUMIFS(Journal!$D$3:$D$143,Journal!$A$3:$A$143,$B60,Journal!$F$3:$F$143,W$3))</f>
        <v/>
      </c>
      <c r="Y60" s="86" t="str">
        <f>IF(SUMIFS(Journal!$D$3:$D$143,Journal!$A$3:$A$143,$B60,Journal!$E$3:$E$143,Y$3)=0,"",SUMIFS(Journal!$D$3:$D$143,Journal!$A$3:$A$143,$B60,Journal!$E$3:$E$143,Y$3))</f>
        <v/>
      </c>
      <c r="Z60" s="86" t="str">
        <f>IF(SUMIFS(Journal!$D$3:$D$143,Journal!$A$3:$A$143,$B60,Journal!$F$3:$F$143,Y$3)=0,"",SUMIFS(Journal!$D$3:$D$143,Journal!$A$3:$A$143,$B60,Journal!$F$3:$F$143,Y$3))</f>
        <v/>
      </c>
      <c r="AA60" s="86" t="str">
        <f>IF(SUMIFS(Journal!$D$3:$D$143,Journal!$A$3:$A$143,$B60,Journal!$E$3:$E$143,AA$3)=0,"",SUMIFS(Journal!$D$3:$D$143,Journal!$A$3:$A$143,$B60,Journal!$E$3:$E$143,AA$3))</f>
        <v/>
      </c>
      <c r="AB60" s="86" t="str">
        <f>IF(SUMIFS(Journal!$D$3:$D$143,Journal!$A$3:$A$143,$B60,Journal!$F$3:$F$143,AA$3)=0,"",SUMIFS(Journal!$D$3:$D$143,Journal!$A$3:$A$143,$B60,Journal!$F$3:$F$143,AA$3))</f>
        <v/>
      </c>
      <c r="AC60" s="86" t="str">
        <f>IF(SUMIFS(Journal!$D$3:$D$143,Journal!$A$3:$A$143,$B60,Journal!$E$3:$E$143,AC$3)=0,"",SUMIFS(Journal!$D$3:$D$143,Journal!$A$3:$A$143,$B60,Journal!$E$3:$E$143,AC$3))</f>
        <v/>
      </c>
      <c r="AD60" s="86" t="str">
        <f>IF(SUMIFS(Journal!$D$3:$D$143,Journal!$A$3:$A$143,$B60,Journal!$F$3:$F$143,AC$3)=0,"",SUMIFS(Journal!$D$3:$D$143,Journal!$A$3:$A$143,$B60,Journal!$F$3:$F$143,AC$3))</f>
        <v/>
      </c>
      <c r="AE60" s="86" t="str">
        <f>IF(SUMIFS(Journal!$D$3:$D$143,Journal!$A$3:$A$143,$B60,Journal!$E$3:$E$143,AE$3)=0,"",SUMIFS(Journal!$D$3:$D$143,Journal!$A$3:$A$143,$B60,Journal!$E$3:$E$143,AE$3))</f>
        <v/>
      </c>
      <c r="AF60" s="86" t="str">
        <f>IF(SUMIFS(Journal!$D$3:$D$143,Journal!$A$3:$A$143,$B60,Journal!$F$3:$F$143,AE$3)=0,"",SUMIFS(Journal!$D$3:$D$143,Journal!$A$3:$A$143,$B60,Journal!$F$3:$F$143,AE$3))</f>
        <v/>
      </c>
      <c r="AG60" s="86" t="str">
        <f>IF(SUMIFS(Journal!$D$3:$D$143,Journal!$A$3:$A$143,$B60,Journal!$E$3:$E$143,AG$3)=0,"",SUMIFS(Journal!$D$3:$D$143,Journal!$A$3:$A$143,$B60,Journal!$E$3:$E$143,AG$3))</f>
        <v/>
      </c>
      <c r="AH60" s="86" t="str">
        <f>IF(SUMIFS(Journal!$D$3:$D$143,Journal!$A$3:$A$143,$B60,Journal!$F$3:$F$143,AG$3)=0,"",SUMIFS(Journal!$D$3:$D$143,Journal!$A$3:$A$143,$B60,Journal!$F$3:$F$143,AG$3))</f>
        <v/>
      </c>
      <c r="AI60" s="86" t="str">
        <f>IF(SUMIFS(Journal!$D$3:$D$143,Journal!$A$3:$A$143,$B60,Journal!$E$3:$E$143,AI$3)=0,"",SUMIFS(Journal!$D$3:$D$143,Journal!$A$3:$A$143,$B60,Journal!$E$3:$E$143,AI$3))</f>
        <v/>
      </c>
      <c r="AJ60" s="86" t="str">
        <f>IF(SUMIFS(Journal!$D$3:$D$143,Journal!$A$3:$A$143,$B60,Journal!$F$3:$F$143,AI$3)=0,"",SUMIFS(Journal!$D$3:$D$143,Journal!$A$3:$A$143,$B60,Journal!$F$3:$F$143,AI$3))</f>
        <v/>
      </c>
      <c r="AK60" s="86" t="str">
        <f>IF(SUMIFS(Journal!$D$3:$D$143,Journal!$A$3:$A$143,$B60,Journal!$E$3:$E$143,AK$3)=0,"",SUMIFS(Journal!$D$3:$D$143,Journal!$A$3:$A$143,$B60,Journal!$E$3:$E$143,AK$3))</f>
        <v/>
      </c>
      <c r="AL60" s="86" t="str">
        <f>IF(SUMIFS(Journal!$D$3:$D$143,Journal!$A$3:$A$143,$B60,Journal!$F$3:$F$143,AK$3)=0,"",SUMIFS(Journal!$D$3:$D$143,Journal!$A$3:$A$143,$B60,Journal!$F$3:$F$143,AK$3))</f>
        <v/>
      </c>
      <c r="AM60" s="86">
        <f>IF(SUMIFS(Journal!$D$3:$D$143,Journal!$A$3:$A$143,$B60,Journal!$E$3:$E$143,AM$3)=0,"",SUMIFS(Journal!$D$3:$D$143,Journal!$A$3:$A$143,$B60,Journal!$E$3:$E$143,AM$3))</f>
        <v>1048</v>
      </c>
      <c r="AN60" s="86" t="str">
        <f>IF(SUMIFS(Journal!$D$3:$D$143,Journal!$A$3:$A$143,$B60,Journal!$F$3:$F$143,AM$3)=0,"",SUMIFS(Journal!$D$3:$D$143,Journal!$A$3:$A$143,$B60,Journal!$F$3:$F$143,AM$3))</f>
        <v/>
      </c>
      <c r="AO60" s="86" t="str">
        <f>IF(SUMIFS(Journal!$D$3:$D$143,Journal!$A$3:$A$143,$B60,Journal!$E$3:$E$143,AO$3)=0,"",SUMIFS(Journal!$D$3:$D$143,Journal!$A$3:$A$143,$B60,Journal!$E$3:$E$143,AO$3))</f>
        <v/>
      </c>
      <c r="AP60" s="86" t="str">
        <f>IF(SUMIFS(Journal!$D$3:$D$143,Journal!$A$3:$A$143,$B60,Journal!$F$3:$F$143,AO$3)=0,"",SUMIFS(Journal!$D$3:$D$143,Journal!$A$3:$A$143,$B60,Journal!$F$3:$F$143,AO$3))</f>
        <v/>
      </c>
      <c r="AQ60" s="86" t="str">
        <f>IF(SUMIFS(Journal!$D$3:$D$143,Journal!$A$3:$A$143,$B60,Journal!$E$3:$E$143,AQ$3)=0,"",SUMIFS(Journal!$D$3:$D$143,Journal!$A$3:$A$143,$B60,Journal!$E$3:$E$143,AQ$3))</f>
        <v/>
      </c>
      <c r="AR60" s="86" t="str">
        <f>IF(SUMIFS(Journal!$D$3:$D$143,Journal!$A$3:$A$143,$B60,Journal!$F$3:$F$143,AQ$3)=0,"",SUMIFS(Journal!$D$3:$D$143,Journal!$A$3:$A$143,$B60,Journal!$F$3:$F$143,AQ$3))</f>
        <v/>
      </c>
      <c r="AS60" s="86" t="str">
        <f>IF(SUMIFS(Journal!$D$3:$D$143,Journal!$A$3:$A$143,$B60,Journal!$E$3:$E$143,AS$3)=0,"",SUMIFS(Journal!$D$3:$D$143,Journal!$A$3:$A$143,$B60,Journal!$E$3:$E$143,AS$3))</f>
        <v/>
      </c>
      <c r="AT60" s="86" t="str">
        <f>IF(SUMIFS(Journal!$D$3:$D$143,Journal!$A$3:$A$143,$B60,Journal!$F$3:$F$143,AS$3)=0,"",SUMIFS(Journal!$D$3:$D$143,Journal!$A$3:$A$143,$B60,Journal!$F$3:$F$143,AS$3))</f>
        <v/>
      </c>
      <c r="AU60" s="86" t="str">
        <f>IF(SUMIFS(Journal!$D$3:$D$143,Journal!$A$3:$A$143,$B60,Journal!$E$3:$E$143,AU$3)=0,"",SUMIFS(Journal!$D$3:$D$143,Journal!$A$3:$A$143,$B60,Journal!$E$3:$E$143,AU$3))</f>
        <v/>
      </c>
      <c r="AV60" s="86" t="str">
        <f>IF(SUMIFS(Journal!$D$3:$D$143,Journal!$A$3:$A$143,$B60,Journal!$F$3:$F$143,AU$3)=0,"",SUMIFS(Journal!$D$3:$D$143,Journal!$A$3:$A$143,$B60,Journal!$F$3:$F$143,AU$3))</f>
        <v/>
      </c>
      <c r="AW60" s="86" t="str">
        <f>IF(SUMIFS(Journal!$D$3:$D$143,Journal!$A$3:$A$143,$B60,Journal!$E$3:$E$143,AW$3)=0,"",SUMIFS(Journal!$D$3:$D$143,Journal!$A$3:$A$143,$B60,Journal!$E$3:$E$143,AW$3))</f>
        <v/>
      </c>
      <c r="AX60" s="86" t="str">
        <f>IF(SUMIFS(Journal!$D$3:$D$143,Journal!$A$3:$A$143,$B60,Journal!$F$3:$F$143,AW$3)=0,"",SUMIFS(Journal!$D$3:$D$143,Journal!$A$3:$A$143,$B60,Journal!$F$3:$F$143,AW$3))</f>
        <v/>
      </c>
      <c r="AY60" s="86" t="str">
        <f>IF(SUMIFS(Journal!$D$3:$D$143,Journal!$A$3:$A$143,$B60,Journal!$E$3:$E$143,AY$3)=0,"",SUMIFS(Journal!$D$3:$D$143,Journal!$A$3:$A$143,$B60,Journal!$E$3:$E$143,AY$3))</f>
        <v/>
      </c>
      <c r="AZ60" s="86" t="str">
        <f>IF(SUMIFS(Journal!$D$3:$D$143,Journal!$A$3:$A$143,$B60,Journal!$F$3:$F$143,AY$3)=0,"",SUMIFS(Journal!$D$3:$D$143,Journal!$A$3:$A$143,$B60,Journal!$F$3:$F$143,AY$3))</f>
        <v/>
      </c>
      <c r="BA60" s="86" t="str">
        <f>IF(SUMIFS(Journal!$D$3:$D$143,Journal!$A$3:$A$143,$B60,Journal!$E$3:$E$143,BA$3)=0,"",SUMIFS(Journal!$D$3:$D$143,Journal!$A$3:$A$143,$B60,Journal!$E$3:$E$143,BA$3))</f>
        <v/>
      </c>
      <c r="BB60" s="86" t="str">
        <f>IF(SUMIFS(Journal!$D$3:$D$143,Journal!$A$3:$A$143,$B60,Journal!$F$3:$F$143,BA$3)=0,"",SUMIFS(Journal!$D$3:$D$143,Journal!$A$3:$A$143,$B60,Journal!$F$3:$F$143,BA$3))</f>
        <v/>
      </c>
    </row>
    <row r="61">
      <c r="A61" s="84">
        <f>VLOOKUP(B61,Journal!$A$3:$C$143,2,FALSE)</f>
        <v>45443</v>
      </c>
      <c r="B61" s="85" t="s">
        <v>423</v>
      </c>
      <c r="C61" s="86" t="str">
        <f>VLOOKUP(B61,Journal!$A$3:$C$143,3,FALSE)</f>
        <v>Facility equipment purchase</v>
      </c>
      <c r="D61" s="86">
        <f>SUMIF(Journal!$A$3:$A$143,B61,Journal!$D$3:$D$143)</f>
        <v>2200</v>
      </c>
      <c r="E61" s="86" t="str">
        <f>IF(SUMIFS(Journal!$D$3:$D$143,Journal!$A$3:$A$143,$B61,Journal!$E$3:$E$143,E$3)=0,"",SUMIFS(Journal!$D$3:$D$143,Journal!$A$3:$A$143,$B61,Journal!$E$3:$E$143,E$3))</f>
        <v/>
      </c>
      <c r="F61" s="86">
        <f>IF(SUMIFS(Journal!$D$3:$D$143,Journal!$A$3:$A$143,$B61,Journal!$F$3:$F$143,E$3)=0,"",SUMIFS(Journal!$D$3:$D$143,Journal!$A$3:$A$143,$B61,Journal!$F$3:$F$143,E$3))</f>
        <v>2200</v>
      </c>
      <c r="G61" s="86" t="str">
        <f>IF(SUMIFS(Journal!$D$3:$D$143,Journal!$A$3:$A$143,$B61,Journal!$E$3:$E$143,G$3)=0,"",SUMIFS(Journal!$D$3:$D$143,Journal!$A$3:$A$143,$B61,Journal!$E$3:$E$143,G$3))</f>
        <v/>
      </c>
      <c r="H61" s="86" t="str">
        <f>IF(SUMIFS(Journal!$D$3:$D$143,Journal!$A$3:$A$143,$B61,Journal!$F$3:$F$143,G$3)=0,"",SUMIFS(Journal!$D$3:$D$143,Journal!$A$3:$A$143,$B61,Journal!$F$3:$F$143,G$3))</f>
        <v/>
      </c>
      <c r="I61" s="86" t="str">
        <f>IF(SUMIFS(Journal!$D$3:$D$143,Journal!$A$3:$A$143,$B61,Journal!$E$3:$E$143,I$3)=0,"",SUMIFS(Journal!$D$3:$D$143,Journal!$A$3:$A$143,$B61,Journal!$E$3:$E$143,I$3))</f>
        <v/>
      </c>
      <c r="J61" s="86" t="str">
        <f>IF(SUMIFS(Journal!$D$3:$D$143,Journal!$A$3:$A$143,$B61,Journal!$F$3:$F$143,I$3)=0,"",SUMIFS(Journal!$D$3:$D$143,Journal!$A$3:$A$143,$B61,Journal!$F$3:$F$143,I$3))</f>
        <v/>
      </c>
      <c r="K61" s="86" t="str">
        <f>IF(SUMIFS(Journal!$D$3:$D$143,Journal!$A$3:$A$143,$B61,Journal!$E$3:$E$143,K$3)=0,"",SUMIFS(Journal!$D$3:$D$143,Journal!$A$3:$A$143,$B61,Journal!$E$3:$E$143,K$3))</f>
        <v/>
      </c>
      <c r="L61" s="86" t="str">
        <f>IF(SUMIFS(Journal!$D$3:$D$143,Journal!$A$3:$A$143,$B61,Journal!$F$3:$F$143,K$3)=0,"",SUMIFS(Journal!$D$3:$D$143,Journal!$A$3:$A$143,$B61,Journal!$F$3:$F$143,K$3))</f>
        <v/>
      </c>
      <c r="M61" s="86">
        <f>IF(SUMIFS(Journal!$D$3:$D$143,Journal!$A$3:$A$143,$B61,Journal!$E$3:$E$143,M$3)=0,"",SUMIFS(Journal!$D$3:$D$143,Journal!$A$3:$A$143,$B61,Journal!$E$3:$E$143,M$3))</f>
        <v>2200</v>
      </c>
      <c r="N61" s="86" t="str">
        <f>IF(SUMIFS(Journal!$D$3:$D$143,Journal!$A$3:$A$143,$B61,Journal!$F$3:$F$143,M$3)=0,"",SUMIFS(Journal!$D$3:$D$143,Journal!$A$3:$A$143,$B61,Journal!$F$3:$F$143,M$3))</f>
        <v/>
      </c>
      <c r="O61" s="86" t="str">
        <f>IF(SUMIFS(Journal!$D$3:$D$143,Journal!$A$3:$A$143,$B61,Journal!$E$3:$E$143,O$3)=0,"",SUMIFS(Journal!$D$3:$D$143,Journal!$A$3:$A$143,$B61,Journal!$E$3:$E$143,O$3))</f>
        <v/>
      </c>
      <c r="P61" s="86" t="str">
        <f>IF(SUMIFS(Journal!$D$3:$D$143,Journal!$A$3:$A$143,$B61,Journal!$F$3:$F$143,O$3)=0,"",SUMIFS(Journal!$D$3:$D$143,Journal!$A$3:$A$143,$B61,Journal!$F$3:$F$143,O$3))</f>
        <v/>
      </c>
      <c r="Q61" s="86" t="str">
        <f>IF(SUMIFS(Journal!$D$3:$D$143,Journal!$A$3:$A$143,$B61,Journal!$E$3:$E$143,Q$3)=0,"",SUMIFS(Journal!$D$3:$D$143,Journal!$A$3:$A$143,$B61,Journal!$E$3:$E$143,Q$3))</f>
        <v/>
      </c>
      <c r="R61" s="86" t="str">
        <f>IF(SUMIFS(Journal!$D$3:$D$143,Journal!$A$3:$A$143,$B61,Journal!$F$3:$F$143,Q$3)=0,"",SUMIFS(Journal!$D$3:$D$143,Journal!$A$3:$A$143,$B61,Journal!$F$3:$F$143,Q$3))</f>
        <v/>
      </c>
      <c r="S61" s="86" t="str">
        <f>IF(SUMIFS(Journal!$D$3:$D$143,Journal!$A$3:$A$143,$B61,Journal!$E$3:$E$143,S$3)=0,"",SUMIFS(Journal!$D$3:$D$143,Journal!$A$3:$A$143,$B61,Journal!$E$3:$E$143,S$3))</f>
        <v/>
      </c>
      <c r="T61" s="86" t="str">
        <f>IF(SUMIFS(Journal!$D$3:$D$143,Journal!$A$3:$A$143,$B61,Journal!$F$3:$F$143,S$3)=0,"",SUMIFS(Journal!$D$3:$D$143,Journal!$A$3:$A$143,$B61,Journal!$F$3:$F$143,S$3))</f>
        <v/>
      </c>
      <c r="U61" s="86" t="str">
        <f>IF(SUMIFS(Journal!$D$3:$D$143,Journal!$A$3:$A$143,$B61,Journal!$E$3:$E$143,U$3)=0,"",SUMIFS(Journal!$D$3:$D$143,Journal!$A$3:$A$143,$B61,Journal!$E$3:$E$143,U$3))</f>
        <v/>
      </c>
      <c r="V61" s="86" t="str">
        <f>IF(SUMIFS(Journal!$D$3:$D$143,Journal!$A$3:$A$143,$B61,Journal!$F$3:$F$143,U$3)=0,"",SUMIFS(Journal!$D$3:$D$143,Journal!$A$3:$A$143,$B61,Journal!$F$3:$F$143,U$3))</f>
        <v/>
      </c>
      <c r="W61" s="86" t="str">
        <f>IF(SUMIFS(Journal!$D$3:$D$143,Journal!$A$3:$A$143,$B61,Journal!$E$3:$E$143,W$3)=0,"",SUMIFS(Journal!$D$3:$D$143,Journal!$A$3:$A$143,$B61,Journal!$E$3:$E$143,W$3))</f>
        <v/>
      </c>
      <c r="X61" s="86" t="str">
        <f>IF(SUMIFS(Journal!$D$3:$D$143,Journal!$A$3:$A$143,$B61,Journal!$F$3:$F$143,W$3)=0,"",SUMIFS(Journal!$D$3:$D$143,Journal!$A$3:$A$143,$B61,Journal!$F$3:$F$143,W$3))</f>
        <v/>
      </c>
      <c r="Y61" s="86" t="str">
        <f>IF(SUMIFS(Journal!$D$3:$D$143,Journal!$A$3:$A$143,$B61,Journal!$E$3:$E$143,Y$3)=0,"",SUMIFS(Journal!$D$3:$D$143,Journal!$A$3:$A$143,$B61,Journal!$E$3:$E$143,Y$3))</f>
        <v/>
      </c>
      <c r="Z61" s="86" t="str">
        <f>IF(SUMIFS(Journal!$D$3:$D$143,Journal!$A$3:$A$143,$B61,Journal!$F$3:$F$143,Y$3)=0,"",SUMIFS(Journal!$D$3:$D$143,Journal!$A$3:$A$143,$B61,Journal!$F$3:$F$143,Y$3))</f>
        <v/>
      </c>
      <c r="AA61" s="86" t="str">
        <f>IF(SUMIFS(Journal!$D$3:$D$143,Journal!$A$3:$A$143,$B61,Journal!$E$3:$E$143,AA$3)=0,"",SUMIFS(Journal!$D$3:$D$143,Journal!$A$3:$A$143,$B61,Journal!$E$3:$E$143,AA$3))</f>
        <v/>
      </c>
      <c r="AB61" s="86" t="str">
        <f>IF(SUMIFS(Journal!$D$3:$D$143,Journal!$A$3:$A$143,$B61,Journal!$F$3:$F$143,AA$3)=0,"",SUMIFS(Journal!$D$3:$D$143,Journal!$A$3:$A$143,$B61,Journal!$F$3:$F$143,AA$3))</f>
        <v/>
      </c>
      <c r="AC61" s="86" t="str">
        <f>IF(SUMIFS(Journal!$D$3:$D$143,Journal!$A$3:$A$143,$B61,Journal!$E$3:$E$143,AC$3)=0,"",SUMIFS(Journal!$D$3:$D$143,Journal!$A$3:$A$143,$B61,Journal!$E$3:$E$143,AC$3))</f>
        <v/>
      </c>
      <c r="AD61" s="86" t="str">
        <f>IF(SUMIFS(Journal!$D$3:$D$143,Journal!$A$3:$A$143,$B61,Journal!$F$3:$F$143,AC$3)=0,"",SUMIFS(Journal!$D$3:$D$143,Journal!$A$3:$A$143,$B61,Journal!$F$3:$F$143,AC$3))</f>
        <v/>
      </c>
      <c r="AE61" s="86" t="str">
        <f>IF(SUMIFS(Journal!$D$3:$D$143,Journal!$A$3:$A$143,$B61,Journal!$E$3:$E$143,AE$3)=0,"",SUMIFS(Journal!$D$3:$D$143,Journal!$A$3:$A$143,$B61,Journal!$E$3:$E$143,AE$3))</f>
        <v/>
      </c>
      <c r="AF61" s="86" t="str">
        <f>IF(SUMIFS(Journal!$D$3:$D$143,Journal!$A$3:$A$143,$B61,Journal!$F$3:$F$143,AE$3)=0,"",SUMIFS(Journal!$D$3:$D$143,Journal!$A$3:$A$143,$B61,Journal!$F$3:$F$143,AE$3))</f>
        <v/>
      </c>
      <c r="AG61" s="86" t="str">
        <f>IF(SUMIFS(Journal!$D$3:$D$143,Journal!$A$3:$A$143,$B61,Journal!$E$3:$E$143,AG$3)=0,"",SUMIFS(Journal!$D$3:$D$143,Journal!$A$3:$A$143,$B61,Journal!$E$3:$E$143,AG$3))</f>
        <v/>
      </c>
      <c r="AH61" s="86" t="str">
        <f>IF(SUMIFS(Journal!$D$3:$D$143,Journal!$A$3:$A$143,$B61,Journal!$F$3:$F$143,AG$3)=0,"",SUMIFS(Journal!$D$3:$D$143,Journal!$A$3:$A$143,$B61,Journal!$F$3:$F$143,AG$3))</f>
        <v/>
      </c>
      <c r="AI61" s="86" t="str">
        <f>IF(SUMIFS(Journal!$D$3:$D$143,Journal!$A$3:$A$143,$B61,Journal!$E$3:$E$143,AI$3)=0,"",SUMIFS(Journal!$D$3:$D$143,Journal!$A$3:$A$143,$B61,Journal!$E$3:$E$143,AI$3))</f>
        <v/>
      </c>
      <c r="AJ61" s="86" t="str">
        <f>IF(SUMIFS(Journal!$D$3:$D$143,Journal!$A$3:$A$143,$B61,Journal!$F$3:$F$143,AI$3)=0,"",SUMIFS(Journal!$D$3:$D$143,Journal!$A$3:$A$143,$B61,Journal!$F$3:$F$143,AI$3))</f>
        <v/>
      </c>
      <c r="AK61" s="86" t="str">
        <f>IF(SUMIFS(Journal!$D$3:$D$143,Journal!$A$3:$A$143,$B61,Journal!$E$3:$E$143,AK$3)=0,"",SUMIFS(Journal!$D$3:$D$143,Journal!$A$3:$A$143,$B61,Journal!$E$3:$E$143,AK$3))</f>
        <v/>
      </c>
      <c r="AL61" s="86" t="str">
        <f>IF(SUMIFS(Journal!$D$3:$D$143,Journal!$A$3:$A$143,$B61,Journal!$F$3:$F$143,AK$3)=0,"",SUMIFS(Journal!$D$3:$D$143,Journal!$A$3:$A$143,$B61,Journal!$F$3:$F$143,AK$3))</f>
        <v/>
      </c>
      <c r="AM61" s="86" t="str">
        <f>IF(SUMIFS(Journal!$D$3:$D$143,Journal!$A$3:$A$143,$B61,Journal!$E$3:$E$143,AM$3)=0,"",SUMIFS(Journal!$D$3:$D$143,Journal!$A$3:$A$143,$B61,Journal!$E$3:$E$143,AM$3))</f>
        <v/>
      </c>
      <c r="AN61" s="86" t="str">
        <f>IF(SUMIFS(Journal!$D$3:$D$143,Journal!$A$3:$A$143,$B61,Journal!$F$3:$F$143,AM$3)=0,"",SUMIFS(Journal!$D$3:$D$143,Journal!$A$3:$A$143,$B61,Journal!$F$3:$F$143,AM$3))</f>
        <v/>
      </c>
      <c r="AO61" s="86" t="str">
        <f>IF(SUMIFS(Journal!$D$3:$D$143,Journal!$A$3:$A$143,$B61,Journal!$E$3:$E$143,AO$3)=0,"",SUMIFS(Journal!$D$3:$D$143,Journal!$A$3:$A$143,$B61,Journal!$E$3:$E$143,AO$3))</f>
        <v/>
      </c>
      <c r="AP61" s="86" t="str">
        <f>IF(SUMIFS(Journal!$D$3:$D$143,Journal!$A$3:$A$143,$B61,Journal!$F$3:$F$143,AO$3)=0,"",SUMIFS(Journal!$D$3:$D$143,Journal!$A$3:$A$143,$B61,Journal!$F$3:$F$143,AO$3))</f>
        <v/>
      </c>
      <c r="AQ61" s="86" t="str">
        <f>IF(SUMIFS(Journal!$D$3:$D$143,Journal!$A$3:$A$143,$B61,Journal!$E$3:$E$143,AQ$3)=0,"",SUMIFS(Journal!$D$3:$D$143,Journal!$A$3:$A$143,$B61,Journal!$E$3:$E$143,AQ$3))</f>
        <v/>
      </c>
      <c r="AR61" s="86" t="str">
        <f>IF(SUMIFS(Journal!$D$3:$D$143,Journal!$A$3:$A$143,$B61,Journal!$F$3:$F$143,AQ$3)=0,"",SUMIFS(Journal!$D$3:$D$143,Journal!$A$3:$A$143,$B61,Journal!$F$3:$F$143,AQ$3))</f>
        <v/>
      </c>
      <c r="AS61" s="86" t="str">
        <f>IF(SUMIFS(Journal!$D$3:$D$143,Journal!$A$3:$A$143,$B61,Journal!$E$3:$E$143,AS$3)=0,"",SUMIFS(Journal!$D$3:$D$143,Journal!$A$3:$A$143,$B61,Journal!$E$3:$E$143,AS$3))</f>
        <v/>
      </c>
      <c r="AT61" s="86" t="str">
        <f>IF(SUMIFS(Journal!$D$3:$D$143,Journal!$A$3:$A$143,$B61,Journal!$F$3:$F$143,AS$3)=0,"",SUMIFS(Journal!$D$3:$D$143,Journal!$A$3:$A$143,$B61,Journal!$F$3:$F$143,AS$3))</f>
        <v/>
      </c>
      <c r="AU61" s="86" t="str">
        <f>IF(SUMIFS(Journal!$D$3:$D$143,Journal!$A$3:$A$143,$B61,Journal!$E$3:$E$143,AU$3)=0,"",SUMIFS(Journal!$D$3:$D$143,Journal!$A$3:$A$143,$B61,Journal!$E$3:$E$143,AU$3))</f>
        <v/>
      </c>
      <c r="AV61" s="86" t="str">
        <f>IF(SUMIFS(Journal!$D$3:$D$143,Journal!$A$3:$A$143,$B61,Journal!$F$3:$F$143,AU$3)=0,"",SUMIFS(Journal!$D$3:$D$143,Journal!$A$3:$A$143,$B61,Journal!$F$3:$F$143,AU$3))</f>
        <v/>
      </c>
      <c r="AW61" s="86" t="str">
        <f>IF(SUMIFS(Journal!$D$3:$D$143,Journal!$A$3:$A$143,$B61,Journal!$E$3:$E$143,AW$3)=0,"",SUMIFS(Journal!$D$3:$D$143,Journal!$A$3:$A$143,$B61,Journal!$E$3:$E$143,AW$3))</f>
        <v/>
      </c>
      <c r="AX61" s="86" t="str">
        <f>IF(SUMIFS(Journal!$D$3:$D$143,Journal!$A$3:$A$143,$B61,Journal!$F$3:$F$143,AW$3)=0,"",SUMIFS(Journal!$D$3:$D$143,Journal!$A$3:$A$143,$B61,Journal!$F$3:$F$143,AW$3))</f>
        <v/>
      </c>
      <c r="AY61" s="86" t="str">
        <f>IF(SUMIFS(Journal!$D$3:$D$143,Journal!$A$3:$A$143,$B61,Journal!$E$3:$E$143,AY$3)=0,"",SUMIFS(Journal!$D$3:$D$143,Journal!$A$3:$A$143,$B61,Journal!$E$3:$E$143,AY$3))</f>
        <v/>
      </c>
      <c r="AZ61" s="86" t="str">
        <f>IF(SUMIFS(Journal!$D$3:$D$143,Journal!$A$3:$A$143,$B61,Journal!$F$3:$F$143,AY$3)=0,"",SUMIFS(Journal!$D$3:$D$143,Journal!$A$3:$A$143,$B61,Journal!$F$3:$F$143,AY$3))</f>
        <v/>
      </c>
      <c r="BA61" s="86" t="str">
        <f>IF(SUMIFS(Journal!$D$3:$D$143,Journal!$A$3:$A$143,$B61,Journal!$E$3:$E$143,BA$3)=0,"",SUMIFS(Journal!$D$3:$D$143,Journal!$A$3:$A$143,$B61,Journal!$E$3:$E$143,BA$3))</f>
        <v/>
      </c>
      <c r="BB61" s="86" t="str">
        <f>IF(SUMIFS(Journal!$D$3:$D$143,Journal!$A$3:$A$143,$B61,Journal!$F$3:$F$143,BA$3)=0,"",SUMIFS(Journal!$D$3:$D$143,Journal!$A$3:$A$143,$B61,Journal!$F$3:$F$143,BA$3))</f>
        <v/>
      </c>
    </row>
    <row r="62">
      <c r="A62" s="84">
        <f>VLOOKUP(B62,Journal!$A$3:$C$143,2,FALSE)</f>
        <v>45444</v>
      </c>
      <c r="B62" s="85" t="s">
        <v>429</v>
      </c>
      <c r="C62" s="86" t="str">
        <f>VLOOKUP(B62,Journal!$A$3:$C$143,3,FALSE)</f>
        <v>Monthly facility rent</v>
      </c>
      <c r="D62" s="86">
        <f>SUMIF(Journal!$A$3:$A$143,B62,Journal!$D$3:$D$143)</f>
        <v>5400</v>
      </c>
      <c r="E62" s="86" t="str">
        <f>IF(SUMIFS(Journal!$D$3:$D$143,Journal!$A$3:$A$143,$B62,Journal!$E$3:$E$143,E$3)=0,"",SUMIFS(Journal!$D$3:$D$143,Journal!$A$3:$A$143,$B62,Journal!$E$3:$E$143,E$3))</f>
        <v/>
      </c>
      <c r="F62" s="86">
        <f>IF(SUMIFS(Journal!$D$3:$D$143,Journal!$A$3:$A$143,$B62,Journal!$F$3:$F$143,E$3)=0,"",SUMIFS(Journal!$D$3:$D$143,Journal!$A$3:$A$143,$B62,Journal!$F$3:$F$143,E$3))</f>
        <v>5400</v>
      </c>
      <c r="G62" s="86" t="str">
        <f>IF(SUMIFS(Journal!$D$3:$D$143,Journal!$A$3:$A$143,$B62,Journal!$E$3:$E$143,G$3)=0,"",SUMIFS(Journal!$D$3:$D$143,Journal!$A$3:$A$143,$B62,Journal!$E$3:$E$143,G$3))</f>
        <v/>
      </c>
      <c r="H62" s="86" t="str">
        <f>IF(SUMIFS(Journal!$D$3:$D$143,Journal!$A$3:$A$143,$B62,Journal!$F$3:$F$143,G$3)=0,"",SUMIFS(Journal!$D$3:$D$143,Journal!$A$3:$A$143,$B62,Journal!$F$3:$F$143,G$3))</f>
        <v/>
      </c>
      <c r="I62" s="86" t="str">
        <f>IF(SUMIFS(Journal!$D$3:$D$143,Journal!$A$3:$A$143,$B62,Journal!$E$3:$E$143,I$3)=0,"",SUMIFS(Journal!$D$3:$D$143,Journal!$A$3:$A$143,$B62,Journal!$E$3:$E$143,I$3))</f>
        <v/>
      </c>
      <c r="J62" s="86" t="str">
        <f>IF(SUMIFS(Journal!$D$3:$D$143,Journal!$A$3:$A$143,$B62,Journal!$F$3:$F$143,I$3)=0,"",SUMIFS(Journal!$D$3:$D$143,Journal!$A$3:$A$143,$B62,Journal!$F$3:$F$143,I$3))</f>
        <v/>
      </c>
      <c r="K62" s="86" t="str">
        <f>IF(SUMIFS(Journal!$D$3:$D$143,Journal!$A$3:$A$143,$B62,Journal!$E$3:$E$143,K$3)=0,"",SUMIFS(Journal!$D$3:$D$143,Journal!$A$3:$A$143,$B62,Journal!$E$3:$E$143,K$3))</f>
        <v/>
      </c>
      <c r="L62" s="86" t="str">
        <f>IF(SUMIFS(Journal!$D$3:$D$143,Journal!$A$3:$A$143,$B62,Journal!$F$3:$F$143,K$3)=0,"",SUMIFS(Journal!$D$3:$D$143,Journal!$A$3:$A$143,$B62,Journal!$F$3:$F$143,K$3))</f>
        <v/>
      </c>
      <c r="M62" s="86" t="str">
        <f>IF(SUMIFS(Journal!$D$3:$D$143,Journal!$A$3:$A$143,$B62,Journal!$E$3:$E$143,M$3)=0,"",SUMIFS(Journal!$D$3:$D$143,Journal!$A$3:$A$143,$B62,Journal!$E$3:$E$143,M$3))</f>
        <v/>
      </c>
      <c r="N62" s="86" t="str">
        <f>IF(SUMIFS(Journal!$D$3:$D$143,Journal!$A$3:$A$143,$B62,Journal!$F$3:$F$143,M$3)=0,"",SUMIFS(Journal!$D$3:$D$143,Journal!$A$3:$A$143,$B62,Journal!$F$3:$F$143,M$3))</f>
        <v/>
      </c>
      <c r="O62" s="86" t="str">
        <f>IF(SUMIFS(Journal!$D$3:$D$143,Journal!$A$3:$A$143,$B62,Journal!$E$3:$E$143,O$3)=0,"",SUMIFS(Journal!$D$3:$D$143,Journal!$A$3:$A$143,$B62,Journal!$E$3:$E$143,O$3))</f>
        <v/>
      </c>
      <c r="P62" s="86" t="str">
        <f>IF(SUMIFS(Journal!$D$3:$D$143,Journal!$A$3:$A$143,$B62,Journal!$F$3:$F$143,O$3)=0,"",SUMIFS(Journal!$D$3:$D$143,Journal!$A$3:$A$143,$B62,Journal!$F$3:$F$143,O$3))</f>
        <v/>
      </c>
      <c r="Q62" s="86" t="str">
        <f>IF(SUMIFS(Journal!$D$3:$D$143,Journal!$A$3:$A$143,$B62,Journal!$E$3:$E$143,Q$3)=0,"",SUMIFS(Journal!$D$3:$D$143,Journal!$A$3:$A$143,$B62,Journal!$E$3:$E$143,Q$3))</f>
        <v/>
      </c>
      <c r="R62" s="86" t="str">
        <f>IF(SUMIFS(Journal!$D$3:$D$143,Journal!$A$3:$A$143,$B62,Journal!$F$3:$F$143,Q$3)=0,"",SUMIFS(Journal!$D$3:$D$143,Journal!$A$3:$A$143,$B62,Journal!$F$3:$F$143,Q$3))</f>
        <v/>
      </c>
      <c r="S62" s="86" t="str">
        <f>IF(SUMIFS(Journal!$D$3:$D$143,Journal!$A$3:$A$143,$B62,Journal!$E$3:$E$143,S$3)=0,"",SUMIFS(Journal!$D$3:$D$143,Journal!$A$3:$A$143,$B62,Journal!$E$3:$E$143,S$3))</f>
        <v/>
      </c>
      <c r="T62" s="86" t="str">
        <f>IF(SUMIFS(Journal!$D$3:$D$143,Journal!$A$3:$A$143,$B62,Journal!$F$3:$F$143,S$3)=0,"",SUMIFS(Journal!$D$3:$D$143,Journal!$A$3:$A$143,$B62,Journal!$F$3:$F$143,S$3))</f>
        <v/>
      </c>
      <c r="U62" s="86" t="str">
        <f>IF(SUMIFS(Journal!$D$3:$D$143,Journal!$A$3:$A$143,$B62,Journal!$E$3:$E$143,U$3)=0,"",SUMIFS(Journal!$D$3:$D$143,Journal!$A$3:$A$143,$B62,Journal!$E$3:$E$143,U$3))</f>
        <v/>
      </c>
      <c r="V62" s="86" t="str">
        <f>IF(SUMIFS(Journal!$D$3:$D$143,Journal!$A$3:$A$143,$B62,Journal!$F$3:$F$143,U$3)=0,"",SUMIFS(Journal!$D$3:$D$143,Journal!$A$3:$A$143,$B62,Journal!$F$3:$F$143,U$3))</f>
        <v/>
      </c>
      <c r="W62" s="86" t="str">
        <f>IF(SUMIFS(Journal!$D$3:$D$143,Journal!$A$3:$A$143,$B62,Journal!$E$3:$E$143,W$3)=0,"",SUMIFS(Journal!$D$3:$D$143,Journal!$A$3:$A$143,$B62,Journal!$E$3:$E$143,W$3))</f>
        <v/>
      </c>
      <c r="X62" s="86" t="str">
        <f>IF(SUMIFS(Journal!$D$3:$D$143,Journal!$A$3:$A$143,$B62,Journal!$F$3:$F$143,W$3)=0,"",SUMIFS(Journal!$D$3:$D$143,Journal!$A$3:$A$143,$B62,Journal!$F$3:$F$143,W$3))</f>
        <v/>
      </c>
      <c r="Y62" s="86" t="str">
        <f>IF(SUMIFS(Journal!$D$3:$D$143,Journal!$A$3:$A$143,$B62,Journal!$E$3:$E$143,Y$3)=0,"",SUMIFS(Journal!$D$3:$D$143,Journal!$A$3:$A$143,$B62,Journal!$E$3:$E$143,Y$3))</f>
        <v/>
      </c>
      <c r="Z62" s="86" t="str">
        <f>IF(SUMIFS(Journal!$D$3:$D$143,Journal!$A$3:$A$143,$B62,Journal!$F$3:$F$143,Y$3)=0,"",SUMIFS(Journal!$D$3:$D$143,Journal!$A$3:$A$143,$B62,Journal!$F$3:$F$143,Y$3))</f>
        <v/>
      </c>
      <c r="AA62" s="86" t="str">
        <f>IF(SUMIFS(Journal!$D$3:$D$143,Journal!$A$3:$A$143,$B62,Journal!$E$3:$E$143,AA$3)=0,"",SUMIFS(Journal!$D$3:$D$143,Journal!$A$3:$A$143,$B62,Journal!$E$3:$E$143,AA$3))</f>
        <v/>
      </c>
      <c r="AB62" s="86" t="str">
        <f>IF(SUMIFS(Journal!$D$3:$D$143,Journal!$A$3:$A$143,$B62,Journal!$F$3:$F$143,AA$3)=0,"",SUMIFS(Journal!$D$3:$D$143,Journal!$A$3:$A$143,$B62,Journal!$F$3:$F$143,AA$3))</f>
        <v/>
      </c>
      <c r="AC62" s="86" t="str">
        <f>IF(SUMIFS(Journal!$D$3:$D$143,Journal!$A$3:$A$143,$B62,Journal!$E$3:$E$143,AC$3)=0,"",SUMIFS(Journal!$D$3:$D$143,Journal!$A$3:$A$143,$B62,Journal!$E$3:$E$143,AC$3))</f>
        <v/>
      </c>
      <c r="AD62" s="86" t="str">
        <f>IF(SUMIFS(Journal!$D$3:$D$143,Journal!$A$3:$A$143,$B62,Journal!$F$3:$F$143,AC$3)=0,"",SUMIFS(Journal!$D$3:$D$143,Journal!$A$3:$A$143,$B62,Journal!$F$3:$F$143,AC$3))</f>
        <v/>
      </c>
      <c r="AE62" s="86" t="str">
        <f>IF(SUMIFS(Journal!$D$3:$D$143,Journal!$A$3:$A$143,$B62,Journal!$E$3:$E$143,AE$3)=0,"",SUMIFS(Journal!$D$3:$D$143,Journal!$A$3:$A$143,$B62,Journal!$E$3:$E$143,AE$3))</f>
        <v/>
      </c>
      <c r="AF62" s="86" t="str">
        <f>IF(SUMIFS(Journal!$D$3:$D$143,Journal!$A$3:$A$143,$B62,Journal!$F$3:$F$143,AE$3)=0,"",SUMIFS(Journal!$D$3:$D$143,Journal!$A$3:$A$143,$B62,Journal!$F$3:$F$143,AE$3))</f>
        <v/>
      </c>
      <c r="AG62" s="86" t="str">
        <f>IF(SUMIFS(Journal!$D$3:$D$143,Journal!$A$3:$A$143,$B62,Journal!$E$3:$E$143,AG$3)=0,"",SUMIFS(Journal!$D$3:$D$143,Journal!$A$3:$A$143,$B62,Journal!$E$3:$E$143,AG$3))</f>
        <v/>
      </c>
      <c r="AH62" s="86" t="str">
        <f>IF(SUMIFS(Journal!$D$3:$D$143,Journal!$A$3:$A$143,$B62,Journal!$F$3:$F$143,AG$3)=0,"",SUMIFS(Journal!$D$3:$D$143,Journal!$A$3:$A$143,$B62,Journal!$F$3:$F$143,AG$3))</f>
        <v/>
      </c>
      <c r="AI62" s="86">
        <f>IF(SUMIFS(Journal!$D$3:$D$143,Journal!$A$3:$A$143,$B62,Journal!$E$3:$E$143,AI$3)=0,"",SUMIFS(Journal!$D$3:$D$143,Journal!$A$3:$A$143,$B62,Journal!$E$3:$E$143,AI$3))</f>
        <v>5400</v>
      </c>
      <c r="AJ62" s="86" t="str">
        <f>IF(SUMIFS(Journal!$D$3:$D$143,Journal!$A$3:$A$143,$B62,Journal!$F$3:$F$143,AI$3)=0,"",SUMIFS(Journal!$D$3:$D$143,Journal!$A$3:$A$143,$B62,Journal!$F$3:$F$143,AI$3))</f>
        <v/>
      </c>
      <c r="AK62" s="86" t="str">
        <f>IF(SUMIFS(Journal!$D$3:$D$143,Journal!$A$3:$A$143,$B62,Journal!$E$3:$E$143,AK$3)=0,"",SUMIFS(Journal!$D$3:$D$143,Journal!$A$3:$A$143,$B62,Journal!$E$3:$E$143,AK$3))</f>
        <v/>
      </c>
      <c r="AL62" s="86" t="str">
        <f>IF(SUMIFS(Journal!$D$3:$D$143,Journal!$A$3:$A$143,$B62,Journal!$F$3:$F$143,AK$3)=0,"",SUMIFS(Journal!$D$3:$D$143,Journal!$A$3:$A$143,$B62,Journal!$F$3:$F$143,AK$3))</f>
        <v/>
      </c>
      <c r="AM62" s="86" t="str">
        <f>IF(SUMIFS(Journal!$D$3:$D$143,Journal!$A$3:$A$143,$B62,Journal!$E$3:$E$143,AM$3)=0,"",SUMIFS(Journal!$D$3:$D$143,Journal!$A$3:$A$143,$B62,Journal!$E$3:$E$143,AM$3))</f>
        <v/>
      </c>
      <c r="AN62" s="86" t="str">
        <f>IF(SUMIFS(Journal!$D$3:$D$143,Journal!$A$3:$A$143,$B62,Journal!$F$3:$F$143,AM$3)=0,"",SUMIFS(Journal!$D$3:$D$143,Journal!$A$3:$A$143,$B62,Journal!$F$3:$F$143,AM$3))</f>
        <v/>
      </c>
      <c r="AO62" s="86" t="str">
        <f>IF(SUMIFS(Journal!$D$3:$D$143,Journal!$A$3:$A$143,$B62,Journal!$E$3:$E$143,AO$3)=0,"",SUMIFS(Journal!$D$3:$D$143,Journal!$A$3:$A$143,$B62,Journal!$E$3:$E$143,AO$3))</f>
        <v/>
      </c>
      <c r="AP62" s="86" t="str">
        <f>IF(SUMIFS(Journal!$D$3:$D$143,Journal!$A$3:$A$143,$B62,Journal!$F$3:$F$143,AO$3)=0,"",SUMIFS(Journal!$D$3:$D$143,Journal!$A$3:$A$143,$B62,Journal!$F$3:$F$143,AO$3))</f>
        <v/>
      </c>
      <c r="AQ62" s="86" t="str">
        <f>IF(SUMIFS(Journal!$D$3:$D$143,Journal!$A$3:$A$143,$B62,Journal!$E$3:$E$143,AQ$3)=0,"",SUMIFS(Journal!$D$3:$D$143,Journal!$A$3:$A$143,$B62,Journal!$E$3:$E$143,AQ$3))</f>
        <v/>
      </c>
      <c r="AR62" s="86" t="str">
        <f>IF(SUMIFS(Journal!$D$3:$D$143,Journal!$A$3:$A$143,$B62,Journal!$F$3:$F$143,AQ$3)=0,"",SUMIFS(Journal!$D$3:$D$143,Journal!$A$3:$A$143,$B62,Journal!$F$3:$F$143,AQ$3))</f>
        <v/>
      </c>
      <c r="AS62" s="86" t="str">
        <f>IF(SUMIFS(Journal!$D$3:$D$143,Journal!$A$3:$A$143,$B62,Journal!$E$3:$E$143,AS$3)=0,"",SUMIFS(Journal!$D$3:$D$143,Journal!$A$3:$A$143,$B62,Journal!$E$3:$E$143,AS$3))</f>
        <v/>
      </c>
      <c r="AT62" s="86" t="str">
        <f>IF(SUMIFS(Journal!$D$3:$D$143,Journal!$A$3:$A$143,$B62,Journal!$F$3:$F$143,AS$3)=0,"",SUMIFS(Journal!$D$3:$D$143,Journal!$A$3:$A$143,$B62,Journal!$F$3:$F$143,AS$3))</f>
        <v/>
      </c>
      <c r="AU62" s="86" t="str">
        <f>IF(SUMIFS(Journal!$D$3:$D$143,Journal!$A$3:$A$143,$B62,Journal!$E$3:$E$143,AU$3)=0,"",SUMIFS(Journal!$D$3:$D$143,Journal!$A$3:$A$143,$B62,Journal!$E$3:$E$143,AU$3))</f>
        <v/>
      </c>
      <c r="AV62" s="86" t="str">
        <f>IF(SUMIFS(Journal!$D$3:$D$143,Journal!$A$3:$A$143,$B62,Journal!$F$3:$F$143,AU$3)=0,"",SUMIFS(Journal!$D$3:$D$143,Journal!$A$3:$A$143,$B62,Journal!$F$3:$F$143,AU$3))</f>
        <v/>
      </c>
      <c r="AW62" s="86" t="str">
        <f>IF(SUMIFS(Journal!$D$3:$D$143,Journal!$A$3:$A$143,$B62,Journal!$E$3:$E$143,AW$3)=0,"",SUMIFS(Journal!$D$3:$D$143,Journal!$A$3:$A$143,$B62,Journal!$E$3:$E$143,AW$3))</f>
        <v/>
      </c>
      <c r="AX62" s="86" t="str">
        <f>IF(SUMIFS(Journal!$D$3:$D$143,Journal!$A$3:$A$143,$B62,Journal!$F$3:$F$143,AW$3)=0,"",SUMIFS(Journal!$D$3:$D$143,Journal!$A$3:$A$143,$B62,Journal!$F$3:$F$143,AW$3))</f>
        <v/>
      </c>
      <c r="AY62" s="86" t="str">
        <f>IF(SUMIFS(Journal!$D$3:$D$143,Journal!$A$3:$A$143,$B62,Journal!$E$3:$E$143,AY$3)=0,"",SUMIFS(Journal!$D$3:$D$143,Journal!$A$3:$A$143,$B62,Journal!$E$3:$E$143,AY$3))</f>
        <v/>
      </c>
      <c r="AZ62" s="86" t="str">
        <f>IF(SUMIFS(Journal!$D$3:$D$143,Journal!$A$3:$A$143,$B62,Journal!$F$3:$F$143,AY$3)=0,"",SUMIFS(Journal!$D$3:$D$143,Journal!$A$3:$A$143,$B62,Journal!$F$3:$F$143,AY$3))</f>
        <v/>
      </c>
      <c r="BA62" s="86" t="str">
        <f>IF(SUMIFS(Journal!$D$3:$D$143,Journal!$A$3:$A$143,$B62,Journal!$E$3:$E$143,BA$3)=0,"",SUMIFS(Journal!$D$3:$D$143,Journal!$A$3:$A$143,$B62,Journal!$E$3:$E$143,BA$3))</f>
        <v/>
      </c>
      <c r="BB62" s="86" t="str">
        <f>IF(SUMIFS(Journal!$D$3:$D$143,Journal!$A$3:$A$143,$B62,Journal!$F$3:$F$143,BA$3)=0,"",SUMIFS(Journal!$D$3:$D$143,Journal!$A$3:$A$143,$B62,Journal!$F$3:$F$143,BA$3))</f>
        <v/>
      </c>
    </row>
    <row r="63">
      <c r="A63" s="84">
        <f>VLOOKUP(B63,Journal!$A$3:$C$143,2,FALSE)</f>
        <v>45448</v>
      </c>
      <c r="B63" s="85" t="s">
        <v>433</v>
      </c>
      <c r="C63" s="86" t="str">
        <f>VLOOKUP(B63,Journal!$A$3:$C$143,3,FALSE)</f>
        <v>Collected part of May corporate tour receivable</v>
      </c>
      <c r="D63" s="86">
        <f>SUMIF(Journal!$A$3:$A$143,B63,Journal!$D$3:$D$143)</f>
        <v>3000</v>
      </c>
      <c r="E63" s="86">
        <f>IF(SUMIFS(Journal!$D$3:$D$143,Journal!$A$3:$A$143,$B63,Journal!$E$3:$E$143,E$3)=0,"",SUMIFS(Journal!$D$3:$D$143,Journal!$A$3:$A$143,$B63,Journal!$E$3:$E$143,E$3))</f>
        <v>3000</v>
      </c>
      <c r="F63" s="86" t="str">
        <f>IF(SUMIFS(Journal!$D$3:$D$143,Journal!$A$3:$A$143,$B63,Journal!$F$3:$F$143,E$3)=0,"",SUMIFS(Journal!$D$3:$D$143,Journal!$A$3:$A$143,$B63,Journal!$F$3:$F$143,E$3))</f>
        <v/>
      </c>
      <c r="G63" s="86" t="str">
        <f>IF(SUMIFS(Journal!$D$3:$D$143,Journal!$A$3:$A$143,$B63,Journal!$E$3:$E$143,G$3)=0,"",SUMIFS(Journal!$D$3:$D$143,Journal!$A$3:$A$143,$B63,Journal!$E$3:$E$143,G$3))</f>
        <v/>
      </c>
      <c r="H63" s="86">
        <f>IF(SUMIFS(Journal!$D$3:$D$143,Journal!$A$3:$A$143,$B63,Journal!$F$3:$F$143,G$3)=0,"",SUMIFS(Journal!$D$3:$D$143,Journal!$A$3:$A$143,$B63,Journal!$F$3:$F$143,G$3))</f>
        <v>3000</v>
      </c>
      <c r="I63" s="86" t="str">
        <f>IF(SUMIFS(Journal!$D$3:$D$143,Journal!$A$3:$A$143,$B63,Journal!$E$3:$E$143,I$3)=0,"",SUMIFS(Journal!$D$3:$D$143,Journal!$A$3:$A$143,$B63,Journal!$E$3:$E$143,I$3))</f>
        <v/>
      </c>
      <c r="J63" s="86" t="str">
        <f>IF(SUMIFS(Journal!$D$3:$D$143,Journal!$A$3:$A$143,$B63,Journal!$F$3:$F$143,I$3)=0,"",SUMIFS(Journal!$D$3:$D$143,Journal!$A$3:$A$143,$B63,Journal!$F$3:$F$143,I$3))</f>
        <v/>
      </c>
      <c r="K63" s="86" t="str">
        <f>IF(SUMIFS(Journal!$D$3:$D$143,Journal!$A$3:$A$143,$B63,Journal!$E$3:$E$143,K$3)=0,"",SUMIFS(Journal!$D$3:$D$143,Journal!$A$3:$A$143,$B63,Journal!$E$3:$E$143,K$3))</f>
        <v/>
      </c>
      <c r="L63" s="86" t="str">
        <f>IF(SUMIFS(Journal!$D$3:$D$143,Journal!$A$3:$A$143,$B63,Journal!$F$3:$F$143,K$3)=0,"",SUMIFS(Journal!$D$3:$D$143,Journal!$A$3:$A$143,$B63,Journal!$F$3:$F$143,K$3))</f>
        <v/>
      </c>
      <c r="M63" s="86" t="str">
        <f>IF(SUMIFS(Journal!$D$3:$D$143,Journal!$A$3:$A$143,$B63,Journal!$E$3:$E$143,M$3)=0,"",SUMIFS(Journal!$D$3:$D$143,Journal!$A$3:$A$143,$B63,Journal!$E$3:$E$143,M$3))</f>
        <v/>
      </c>
      <c r="N63" s="86" t="str">
        <f>IF(SUMIFS(Journal!$D$3:$D$143,Journal!$A$3:$A$143,$B63,Journal!$F$3:$F$143,M$3)=0,"",SUMIFS(Journal!$D$3:$D$143,Journal!$A$3:$A$143,$B63,Journal!$F$3:$F$143,M$3))</f>
        <v/>
      </c>
      <c r="O63" s="86" t="str">
        <f>IF(SUMIFS(Journal!$D$3:$D$143,Journal!$A$3:$A$143,$B63,Journal!$E$3:$E$143,O$3)=0,"",SUMIFS(Journal!$D$3:$D$143,Journal!$A$3:$A$143,$B63,Journal!$E$3:$E$143,O$3))</f>
        <v/>
      </c>
      <c r="P63" s="86" t="str">
        <f>IF(SUMIFS(Journal!$D$3:$D$143,Journal!$A$3:$A$143,$B63,Journal!$F$3:$F$143,O$3)=0,"",SUMIFS(Journal!$D$3:$D$143,Journal!$A$3:$A$143,$B63,Journal!$F$3:$F$143,O$3))</f>
        <v/>
      </c>
      <c r="Q63" s="86" t="str">
        <f>IF(SUMIFS(Journal!$D$3:$D$143,Journal!$A$3:$A$143,$B63,Journal!$E$3:$E$143,Q$3)=0,"",SUMIFS(Journal!$D$3:$D$143,Journal!$A$3:$A$143,$B63,Journal!$E$3:$E$143,Q$3))</f>
        <v/>
      </c>
      <c r="R63" s="86" t="str">
        <f>IF(SUMIFS(Journal!$D$3:$D$143,Journal!$A$3:$A$143,$B63,Journal!$F$3:$F$143,Q$3)=0,"",SUMIFS(Journal!$D$3:$D$143,Journal!$A$3:$A$143,$B63,Journal!$F$3:$F$143,Q$3))</f>
        <v/>
      </c>
      <c r="S63" s="86" t="str">
        <f>IF(SUMIFS(Journal!$D$3:$D$143,Journal!$A$3:$A$143,$B63,Journal!$E$3:$E$143,S$3)=0,"",SUMIFS(Journal!$D$3:$D$143,Journal!$A$3:$A$143,$B63,Journal!$E$3:$E$143,S$3))</f>
        <v/>
      </c>
      <c r="T63" s="86" t="str">
        <f>IF(SUMIFS(Journal!$D$3:$D$143,Journal!$A$3:$A$143,$B63,Journal!$F$3:$F$143,S$3)=0,"",SUMIFS(Journal!$D$3:$D$143,Journal!$A$3:$A$143,$B63,Journal!$F$3:$F$143,S$3))</f>
        <v/>
      </c>
      <c r="U63" s="86" t="str">
        <f>IF(SUMIFS(Journal!$D$3:$D$143,Journal!$A$3:$A$143,$B63,Journal!$E$3:$E$143,U$3)=0,"",SUMIFS(Journal!$D$3:$D$143,Journal!$A$3:$A$143,$B63,Journal!$E$3:$E$143,U$3))</f>
        <v/>
      </c>
      <c r="V63" s="86" t="str">
        <f>IF(SUMIFS(Journal!$D$3:$D$143,Journal!$A$3:$A$143,$B63,Journal!$F$3:$F$143,U$3)=0,"",SUMIFS(Journal!$D$3:$D$143,Journal!$A$3:$A$143,$B63,Journal!$F$3:$F$143,U$3))</f>
        <v/>
      </c>
      <c r="W63" s="86" t="str">
        <f>IF(SUMIFS(Journal!$D$3:$D$143,Journal!$A$3:$A$143,$B63,Journal!$E$3:$E$143,W$3)=0,"",SUMIFS(Journal!$D$3:$D$143,Journal!$A$3:$A$143,$B63,Journal!$E$3:$E$143,W$3))</f>
        <v/>
      </c>
      <c r="X63" s="86" t="str">
        <f>IF(SUMIFS(Journal!$D$3:$D$143,Journal!$A$3:$A$143,$B63,Journal!$F$3:$F$143,W$3)=0,"",SUMIFS(Journal!$D$3:$D$143,Journal!$A$3:$A$143,$B63,Journal!$F$3:$F$143,W$3))</f>
        <v/>
      </c>
      <c r="Y63" s="86" t="str">
        <f>IF(SUMIFS(Journal!$D$3:$D$143,Journal!$A$3:$A$143,$B63,Journal!$E$3:$E$143,Y$3)=0,"",SUMIFS(Journal!$D$3:$D$143,Journal!$A$3:$A$143,$B63,Journal!$E$3:$E$143,Y$3))</f>
        <v/>
      </c>
      <c r="Z63" s="86" t="str">
        <f>IF(SUMIFS(Journal!$D$3:$D$143,Journal!$A$3:$A$143,$B63,Journal!$F$3:$F$143,Y$3)=0,"",SUMIFS(Journal!$D$3:$D$143,Journal!$A$3:$A$143,$B63,Journal!$F$3:$F$143,Y$3))</f>
        <v/>
      </c>
      <c r="AA63" s="86" t="str">
        <f>IF(SUMIFS(Journal!$D$3:$D$143,Journal!$A$3:$A$143,$B63,Journal!$E$3:$E$143,AA$3)=0,"",SUMIFS(Journal!$D$3:$D$143,Journal!$A$3:$A$143,$B63,Journal!$E$3:$E$143,AA$3))</f>
        <v/>
      </c>
      <c r="AB63" s="86" t="str">
        <f>IF(SUMIFS(Journal!$D$3:$D$143,Journal!$A$3:$A$143,$B63,Journal!$F$3:$F$143,AA$3)=0,"",SUMIFS(Journal!$D$3:$D$143,Journal!$A$3:$A$143,$B63,Journal!$F$3:$F$143,AA$3))</f>
        <v/>
      </c>
      <c r="AC63" s="86" t="str">
        <f>IF(SUMIFS(Journal!$D$3:$D$143,Journal!$A$3:$A$143,$B63,Journal!$E$3:$E$143,AC$3)=0,"",SUMIFS(Journal!$D$3:$D$143,Journal!$A$3:$A$143,$B63,Journal!$E$3:$E$143,AC$3))</f>
        <v/>
      </c>
      <c r="AD63" s="86" t="str">
        <f>IF(SUMIFS(Journal!$D$3:$D$143,Journal!$A$3:$A$143,$B63,Journal!$F$3:$F$143,AC$3)=0,"",SUMIFS(Journal!$D$3:$D$143,Journal!$A$3:$A$143,$B63,Journal!$F$3:$F$143,AC$3))</f>
        <v/>
      </c>
      <c r="AE63" s="86" t="str">
        <f>IF(SUMIFS(Journal!$D$3:$D$143,Journal!$A$3:$A$143,$B63,Journal!$E$3:$E$143,AE$3)=0,"",SUMIFS(Journal!$D$3:$D$143,Journal!$A$3:$A$143,$B63,Journal!$E$3:$E$143,AE$3))</f>
        <v/>
      </c>
      <c r="AF63" s="86" t="str">
        <f>IF(SUMIFS(Journal!$D$3:$D$143,Journal!$A$3:$A$143,$B63,Journal!$F$3:$F$143,AE$3)=0,"",SUMIFS(Journal!$D$3:$D$143,Journal!$A$3:$A$143,$B63,Journal!$F$3:$F$143,AE$3))</f>
        <v/>
      </c>
      <c r="AG63" s="86" t="str">
        <f>IF(SUMIFS(Journal!$D$3:$D$143,Journal!$A$3:$A$143,$B63,Journal!$E$3:$E$143,AG$3)=0,"",SUMIFS(Journal!$D$3:$D$143,Journal!$A$3:$A$143,$B63,Journal!$E$3:$E$143,AG$3))</f>
        <v/>
      </c>
      <c r="AH63" s="86" t="str">
        <f>IF(SUMIFS(Journal!$D$3:$D$143,Journal!$A$3:$A$143,$B63,Journal!$F$3:$F$143,AG$3)=0,"",SUMIFS(Journal!$D$3:$D$143,Journal!$A$3:$A$143,$B63,Journal!$F$3:$F$143,AG$3))</f>
        <v/>
      </c>
      <c r="AI63" s="86" t="str">
        <f>IF(SUMIFS(Journal!$D$3:$D$143,Journal!$A$3:$A$143,$B63,Journal!$E$3:$E$143,AI$3)=0,"",SUMIFS(Journal!$D$3:$D$143,Journal!$A$3:$A$143,$B63,Journal!$E$3:$E$143,AI$3))</f>
        <v/>
      </c>
      <c r="AJ63" s="86" t="str">
        <f>IF(SUMIFS(Journal!$D$3:$D$143,Journal!$A$3:$A$143,$B63,Journal!$F$3:$F$143,AI$3)=0,"",SUMIFS(Journal!$D$3:$D$143,Journal!$A$3:$A$143,$B63,Journal!$F$3:$F$143,AI$3))</f>
        <v/>
      </c>
      <c r="AK63" s="86" t="str">
        <f>IF(SUMIFS(Journal!$D$3:$D$143,Journal!$A$3:$A$143,$B63,Journal!$E$3:$E$143,AK$3)=0,"",SUMIFS(Journal!$D$3:$D$143,Journal!$A$3:$A$143,$B63,Journal!$E$3:$E$143,AK$3))</f>
        <v/>
      </c>
      <c r="AL63" s="86" t="str">
        <f>IF(SUMIFS(Journal!$D$3:$D$143,Journal!$A$3:$A$143,$B63,Journal!$F$3:$F$143,AK$3)=0,"",SUMIFS(Journal!$D$3:$D$143,Journal!$A$3:$A$143,$B63,Journal!$F$3:$F$143,AK$3))</f>
        <v/>
      </c>
      <c r="AM63" s="86" t="str">
        <f>IF(SUMIFS(Journal!$D$3:$D$143,Journal!$A$3:$A$143,$B63,Journal!$E$3:$E$143,AM$3)=0,"",SUMIFS(Journal!$D$3:$D$143,Journal!$A$3:$A$143,$B63,Journal!$E$3:$E$143,AM$3))</f>
        <v/>
      </c>
      <c r="AN63" s="86" t="str">
        <f>IF(SUMIFS(Journal!$D$3:$D$143,Journal!$A$3:$A$143,$B63,Journal!$F$3:$F$143,AM$3)=0,"",SUMIFS(Journal!$D$3:$D$143,Journal!$A$3:$A$143,$B63,Journal!$F$3:$F$143,AM$3))</f>
        <v/>
      </c>
      <c r="AO63" s="86" t="str">
        <f>IF(SUMIFS(Journal!$D$3:$D$143,Journal!$A$3:$A$143,$B63,Journal!$E$3:$E$143,AO$3)=0,"",SUMIFS(Journal!$D$3:$D$143,Journal!$A$3:$A$143,$B63,Journal!$E$3:$E$143,AO$3))</f>
        <v/>
      </c>
      <c r="AP63" s="86" t="str">
        <f>IF(SUMIFS(Journal!$D$3:$D$143,Journal!$A$3:$A$143,$B63,Journal!$F$3:$F$143,AO$3)=0,"",SUMIFS(Journal!$D$3:$D$143,Journal!$A$3:$A$143,$B63,Journal!$F$3:$F$143,AO$3))</f>
        <v/>
      </c>
      <c r="AQ63" s="86" t="str">
        <f>IF(SUMIFS(Journal!$D$3:$D$143,Journal!$A$3:$A$143,$B63,Journal!$E$3:$E$143,AQ$3)=0,"",SUMIFS(Journal!$D$3:$D$143,Journal!$A$3:$A$143,$B63,Journal!$E$3:$E$143,AQ$3))</f>
        <v/>
      </c>
      <c r="AR63" s="86" t="str">
        <f>IF(SUMIFS(Journal!$D$3:$D$143,Journal!$A$3:$A$143,$B63,Journal!$F$3:$F$143,AQ$3)=0,"",SUMIFS(Journal!$D$3:$D$143,Journal!$A$3:$A$143,$B63,Journal!$F$3:$F$143,AQ$3))</f>
        <v/>
      </c>
      <c r="AS63" s="86" t="str">
        <f>IF(SUMIFS(Journal!$D$3:$D$143,Journal!$A$3:$A$143,$B63,Journal!$E$3:$E$143,AS$3)=0,"",SUMIFS(Journal!$D$3:$D$143,Journal!$A$3:$A$143,$B63,Journal!$E$3:$E$143,AS$3))</f>
        <v/>
      </c>
      <c r="AT63" s="86" t="str">
        <f>IF(SUMIFS(Journal!$D$3:$D$143,Journal!$A$3:$A$143,$B63,Journal!$F$3:$F$143,AS$3)=0,"",SUMIFS(Journal!$D$3:$D$143,Journal!$A$3:$A$143,$B63,Journal!$F$3:$F$143,AS$3))</f>
        <v/>
      </c>
      <c r="AU63" s="86" t="str">
        <f>IF(SUMIFS(Journal!$D$3:$D$143,Journal!$A$3:$A$143,$B63,Journal!$E$3:$E$143,AU$3)=0,"",SUMIFS(Journal!$D$3:$D$143,Journal!$A$3:$A$143,$B63,Journal!$E$3:$E$143,AU$3))</f>
        <v/>
      </c>
      <c r="AV63" s="86" t="str">
        <f>IF(SUMIFS(Journal!$D$3:$D$143,Journal!$A$3:$A$143,$B63,Journal!$F$3:$F$143,AU$3)=0,"",SUMIFS(Journal!$D$3:$D$143,Journal!$A$3:$A$143,$B63,Journal!$F$3:$F$143,AU$3))</f>
        <v/>
      </c>
      <c r="AW63" s="86" t="str">
        <f>IF(SUMIFS(Journal!$D$3:$D$143,Journal!$A$3:$A$143,$B63,Journal!$E$3:$E$143,AW$3)=0,"",SUMIFS(Journal!$D$3:$D$143,Journal!$A$3:$A$143,$B63,Journal!$E$3:$E$143,AW$3))</f>
        <v/>
      </c>
      <c r="AX63" s="86" t="str">
        <f>IF(SUMIFS(Journal!$D$3:$D$143,Journal!$A$3:$A$143,$B63,Journal!$F$3:$F$143,AW$3)=0,"",SUMIFS(Journal!$D$3:$D$143,Journal!$A$3:$A$143,$B63,Journal!$F$3:$F$143,AW$3))</f>
        <v/>
      </c>
      <c r="AY63" s="86" t="str">
        <f>IF(SUMIFS(Journal!$D$3:$D$143,Journal!$A$3:$A$143,$B63,Journal!$E$3:$E$143,AY$3)=0,"",SUMIFS(Journal!$D$3:$D$143,Journal!$A$3:$A$143,$B63,Journal!$E$3:$E$143,AY$3))</f>
        <v/>
      </c>
      <c r="AZ63" s="86" t="str">
        <f>IF(SUMIFS(Journal!$D$3:$D$143,Journal!$A$3:$A$143,$B63,Journal!$F$3:$F$143,AY$3)=0,"",SUMIFS(Journal!$D$3:$D$143,Journal!$A$3:$A$143,$B63,Journal!$F$3:$F$143,AY$3))</f>
        <v/>
      </c>
      <c r="BA63" s="86" t="str">
        <f>IF(SUMIFS(Journal!$D$3:$D$143,Journal!$A$3:$A$143,$B63,Journal!$E$3:$E$143,BA$3)=0,"",SUMIFS(Journal!$D$3:$D$143,Journal!$A$3:$A$143,$B63,Journal!$E$3:$E$143,BA$3))</f>
        <v/>
      </c>
      <c r="BB63" s="86" t="str">
        <f>IF(SUMIFS(Journal!$D$3:$D$143,Journal!$A$3:$A$143,$B63,Journal!$F$3:$F$143,BA$3)=0,"",SUMIFS(Journal!$D$3:$D$143,Journal!$A$3:$A$143,$B63,Journal!$F$3:$F$143,BA$3))</f>
        <v/>
      </c>
    </row>
    <row r="64">
      <c r="A64" s="84">
        <f>VLOOKUP(B64,Journal!$A$3:$C$143,2,FALSE)</f>
        <v>45449</v>
      </c>
      <c r="B64" s="85" t="s">
        <v>437</v>
      </c>
      <c r="C64" s="86" t="str">
        <f>VLOOKUP(B64,Journal!$A$3:$C$143,3,FALSE)</f>
        <v>Monthly business insurance premium</v>
      </c>
      <c r="D64" s="86">
        <f>SUMIF(Journal!$A$3:$A$143,B64,Journal!$D$3:$D$143)</f>
        <v>600</v>
      </c>
      <c r="E64" s="86" t="str">
        <f>IF(SUMIFS(Journal!$D$3:$D$143,Journal!$A$3:$A$143,$B64,Journal!$E$3:$E$143,E$3)=0,"",SUMIFS(Journal!$D$3:$D$143,Journal!$A$3:$A$143,$B64,Journal!$E$3:$E$143,E$3))</f>
        <v/>
      </c>
      <c r="F64" s="86">
        <f>IF(SUMIFS(Journal!$D$3:$D$143,Journal!$A$3:$A$143,$B64,Journal!$F$3:$F$143,E$3)=0,"",SUMIFS(Journal!$D$3:$D$143,Journal!$A$3:$A$143,$B64,Journal!$F$3:$F$143,E$3))</f>
        <v>600</v>
      </c>
      <c r="G64" s="86" t="str">
        <f>IF(SUMIFS(Journal!$D$3:$D$143,Journal!$A$3:$A$143,$B64,Journal!$E$3:$E$143,G$3)=0,"",SUMIFS(Journal!$D$3:$D$143,Journal!$A$3:$A$143,$B64,Journal!$E$3:$E$143,G$3))</f>
        <v/>
      </c>
      <c r="H64" s="86" t="str">
        <f>IF(SUMIFS(Journal!$D$3:$D$143,Journal!$A$3:$A$143,$B64,Journal!$F$3:$F$143,G$3)=0,"",SUMIFS(Journal!$D$3:$D$143,Journal!$A$3:$A$143,$B64,Journal!$F$3:$F$143,G$3))</f>
        <v/>
      </c>
      <c r="I64" s="86" t="str">
        <f>IF(SUMIFS(Journal!$D$3:$D$143,Journal!$A$3:$A$143,$B64,Journal!$E$3:$E$143,I$3)=0,"",SUMIFS(Journal!$D$3:$D$143,Journal!$A$3:$A$143,$B64,Journal!$E$3:$E$143,I$3))</f>
        <v/>
      </c>
      <c r="J64" s="86" t="str">
        <f>IF(SUMIFS(Journal!$D$3:$D$143,Journal!$A$3:$A$143,$B64,Journal!$F$3:$F$143,I$3)=0,"",SUMIFS(Journal!$D$3:$D$143,Journal!$A$3:$A$143,$B64,Journal!$F$3:$F$143,I$3))</f>
        <v/>
      </c>
      <c r="K64" s="86" t="str">
        <f>IF(SUMIFS(Journal!$D$3:$D$143,Journal!$A$3:$A$143,$B64,Journal!$E$3:$E$143,K$3)=0,"",SUMIFS(Journal!$D$3:$D$143,Journal!$A$3:$A$143,$B64,Journal!$E$3:$E$143,K$3))</f>
        <v/>
      </c>
      <c r="L64" s="86" t="str">
        <f>IF(SUMIFS(Journal!$D$3:$D$143,Journal!$A$3:$A$143,$B64,Journal!$F$3:$F$143,K$3)=0,"",SUMIFS(Journal!$D$3:$D$143,Journal!$A$3:$A$143,$B64,Journal!$F$3:$F$143,K$3))</f>
        <v/>
      </c>
      <c r="M64" s="86" t="str">
        <f>IF(SUMIFS(Journal!$D$3:$D$143,Journal!$A$3:$A$143,$B64,Journal!$E$3:$E$143,M$3)=0,"",SUMIFS(Journal!$D$3:$D$143,Journal!$A$3:$A$143,$B64,Journal!$E$3:$E$143,M$3))</f>
        <v/>
      </c>
      <c r="N64" s="86" t="str">
        <f>IF(SUMIFS(Journal!$D$3:$D$143,Journal!$A$3:$A$143,$B64,Journal!$F$3:$F$143,M$3)=0,"",SUMIFS(Journal!$D$3:$D$143,Journal!$A$3:$A$143,$B64,Journal!$F$3:$F$143,M$3))</f>
        <v/>
      </c>
      <c r="O64" s="86" t="str">
        <f>IF(SUMIFS(Journal!$D$3:$D$143,Journal!$A$3:$A$143,$B64,Journal!$E$3:$E$143,O$3)=0,"",SUMIFS(Journal!$D$3:$D$143,Journal!$A$3:$A$143,$B64,Journal!$E$3:$E$143,O$3))</f>
        <v/>
      </c>
      <c r="P64" s="86" t="str">
        <f>IF(SUMIFS(Journal!$D$3:$D$143,Journal!$A$3:$A$143,$B64,Journal!$F$3:$F$143,O$3)=0,"",SUMIFS(Journal!$D$3:$D$143,Journal!$A$3:$A$143,$B64,Journal!$F$3:$F$143,O$3))</f>
        <v/>
      </c>
      <c r="Q64" s="86" t="str">
        <f>IF(SUMIFS(Journal!$D$3:$D$143,Journal!$A$3:$A$143,$B64,Journal!$E$3:$E$143,Q$3)=0,"",SUMIFS(Journal!$D$3:$D$143,Journal!$A$3:$A$143,$B64,Journal!$E$3:$E$143,Q$3))</f>
        <v/>
      </c>
      <c r="R64" s="86" t="str">
        <f>IF(SUMIFS(Journal!$D$3:$D$143,Journal!$A$3:$A$143,$B64,Journal!$F$3:$F$143,Q$3)=0,"",SUMIFS(Journal!$D$3:$D$143,Journal!$A$3:$A$143,$B64,Journal!$F$3:$F$143,Q$3))</f>
        <v/>
      </c>
      <c r="S64" s="86" t="str">
        <f>IF(SUMIFS(Journal!$D$3:$D$143,Journal!$A$3:$A$143,$B64,Journal!$E$3:$E$143,S$3)=0,"",SUMIFS(Journal!$D$3:$D$143,Journal!$A$3:$A$143,$B64,Journal!$E$3:$E$143,S$3))</f>
        <v/>
      </c>
      <c r="T64" s="86" t="str">
        <f>IF(SUMIFS(Journal!$D$3:$D$143,Journal!$A$3:$A$143,$B64,Journal!$F$3:$F$143,S$3)=0,"",SUMIFS(Journal!$D$3:$D$143,Journal!$A$3:$A$143,$B64,Journal!$F$3:$F$143,S$3))</f>
        <v/>
      </c>
      <c r="U64" s="86" t="str">
        <f>IF(SUMIFS(Journal!$D$3:$D$143,Journal!$A$3:$A$143,$B64,Journal!$E$3:$E$143,U$3)=0,"",SUMIFS(Journal!$D$3:$D$143,Journal!$A$3:$A$143,$B64,Journal!$E$3:$E$143,U$3))</f>
        <v/>
      </c>
      <c r="V64" s="86" t="str">
        <f>IF(SUMIFS(Journal!$D$3:$D$143,Journal!$A$3:$A$143,$B64,Journal!$F$3:$F$143,U$3)=0,"",SUMIFS(Journal!$D$3:$D$143,Journal!$A$3:$A$143,$B64,Journal!$F$3:$F$143,U$3))</f>
        <v/>
      </c>
      <c r="W64" s="86" t="str">
        <f>IF(SUMIFS(Journal!$D$3:$D$143,Journal!$A$3:$A$143,$B64,Journal!$E$3:$E$143,W$3)=0,"",SUMIFS(Journal!$D$3:$D$143,Journal!$A$3:$A$143,$B64,Journal!$E$3:$E$143,W$3))</f>
        <v/>
      </c>
      <c r="X64" s="86" t="str">
        <f>IF(SUMIFS(Journal!$D$3:$D$143,Journal!$A$3:$A$143,$B64,Journal!$F$3:$F$143,W$3)=0,"",SUMIFS(Journal!$D$3:$D$143,Journal!$A$3:$A$143,$B64,Journal!$F$3:$F$143,W$3))</f>
        <v/>
      </c>
      <c r="Y64" s="86" t="str">
        <f>IF(SUMIFS(Journal!$D$3:$D$143,Journal!$A$3:$A$143,$B64,Journal!$E$3:$E$143,Y$3)=0,"",SUMIFS(Journal!$D$3:$D$143,Journal!$A$3:$A$143,$B64,Journal!$E$3:$E$143,Y$3))</f>
        <v/>
      </c>
      <c r="Z64" s="86" t="str">
        <f>IF(SUMIFS(Journal!$D$3:$D$143,Journal!$A$3:$A$143,$B64,Journal!$F$3:$F$143,Y$3)=0,"",SUMIFS(Journal!$D$3:$D$143,Journal!$A$3:$A$143,$B64,Journal!$F$3:$F$143,Y$3))</f>
        <v/>
      </c>
      <c r="AA64" s="86" t="str">
        <f>IF(SUMIFS(Journal!$D$3:$D$143,Journal!$A$3:$A$143,$B64,Journal!$E$3:$E$143,AA$3)=0,"",SUMIFS(Journal!$D$3:$D$143,Journal!$A$3:$A$143,$B64,Journal!$E$3:$E$143,AA$3))</f>
        <v/>
      </c>
      <c r="AB64" s="86" t="str">
        <f>IF(SUMIFS(Journal!$D$3:$D$143,Journal!$A$3:$A$143,$B64,Journal!$F$3:$F$143,AA$3)=0,"",SUMIFS(Journal!$D$3:$D$143,Journal!$A$3:$A$143,$B64,Journal!$F$3:$F$143,AA$3))</f>
        <v/>
      </c>
      <c r="AC64" s="86" t="str">
        <f>IF(SUMIFS(Journal!$D$3:$D$143,Journal!$A$3:$A$143,$B64,Journal!$E$3:$E$143,AC$3)=0,"",SUMIFS(Journal!$D$3:$D$143,Journal!$A$3:$A$143,$B64,Journal!$E$3:$E$143,AC$3))</f>
        <v/>
      </c>
      <c r="AD64" s="86" t="str">
        <f>IF(SUMIFS(Journal!$D$3:$D$143,Journal!$A$3:$A$143,$B64,Journal!$F$3:$F$143,AC$3)=0,"",SUMIFS(Journal!$D$3:$D$143,Journal!$A$3:$A$143,$B64,Journal!$F$3:$F$143,AC$3))</f>
        <v/>
      </c>
      <c r="AE64" s="86" t="str">
        <f>IF(SUMIFS(Journal!$D$3:$D$143,Journal!$A$3:$A$143,$B64,Journal!$E$3:$E$143,AE$3)=0,"",SUMIFS(Journal!$D$3:$D$143,Journal!$A$3:$A$143,$B64,Journal!$E$3:$E$143,AE$3))</f>
        <v/>
      </c>
      <c r="AF64" s="86" t="str">
        <f>IF(SUMIFS(Journal!$D$3:$D$143,Journal!$A$3:$A$143,$B64,Journal!$F$3:$F$143,AE$3)=0,"",SUMIFS(Journal!$D$3:$D$143,Journal!$A$3:$A$143,$B64,Journal!$F$3:$F$143,AE$3))</f>
        <v/>
      </c>
      <c r="AG64" s="86" t="str">
        <f>IF(SUMIFS(Journal!$D$3:$D$143,Journal!$A$3:$A$143,$B64,Journal!$E$3:$E$143,AG$3)=0,"",SUMIFS(Journal!$D$3:$D$143,Journal!$A$3:$A$143,$B64,Journal!$E$3:$E$143,AG$3))</f>
        <v/>
      </c>
      <c r="AH64" s="86" t="str">
        <f>IF(SUMIFS(Journal!$D$3:$D$143,Journal!$A$3:$A$143,$B64,Journal!$F$3:$F$143,AG$3)=0,"",SUMIFS(Journal!$D$3:$D$143,Journal!$A$3:$A$143,$B64,Journal!$F$3:$F$143,AG$3))</f>
        <v/>
      </c>
      <c r="AI64" s="86" t="str">
        <f>IF(SUMIFS(Journal!$D$3:$D$143,Journal!$A$3:$A$143,$B64,Journal!$E$3:$E$143,AI$3)=0,"",SUMIFS(Journal!$D$3:$D$143,Journal!$A$3:$A$143,$B64,Journal!$E$3:$E$143,AI$3))</f>
        <v/>
      </c>
      <c r="AJ64" s="86" t="str">
        <f>IF(SUMIFS(Journal!$D$3:$D$143,Journal!$A$3:$A$143,$B64,Journal!$F$3:$F$143,AI$3)=0,"",SUMIFS(Journal!$D$3:$D$143,Journal!$A$3:$A$143,$B64,Journal!$F$3:$F$143,AI$3))</f>
        <v/>
      </c>
      <c r="AK64" s="86">
        <f>IF(SUMIFS(Journal!$D$3:$D$143,Journal!$A$3:$A$143,$B64,Journal!$E$3:$E$143,AK$3)=0,"",SUMIFS(Journal!$D$3:$D$143,Journal!$A$3:$A$143,$B64,Journal!$E$3:$E$143,AK$3))</f>
        <v>600</v>
      </c>
      <c r="AL64" s="86" t="str">
        <f>IF(SUMIFS(Journal!$D$3:$D$143,Journal!$A$3:$A$143,$B64,Journal!$F$3:$F$143,AK$3)=0,"",SUMIFS(Journal!$D$3:$D$143,Journal!$A$3:$A$143,$B64,Journal!$F$3:$F$143,AK$3))</f>
        <v/>
      </c>
      <c r="AM64" s="86" t="str">
        <f>IF(SUMIFS(Journal!$D$3:$D$143,Journal!$A$3:$A$143,$B64,Journal!$E$3:$E$143,AM$3)=0,"",SUMIFS(Journal!$D$3:$D$143,Journal!$A$3:$A$143,$B64,Journal!$E$3:$E$143,AM$3))</f>
        <v/>
      </c>
      <c r="AN64" s="86" t="str">
        <f>IF(SUMIFS(Journal!$D$3:$D$143,Journal!$A$3:$A$143,$B64,Journal!$F$3:$F$143,AM$3)=0,"",SUMIFS(Journal!$D$3:$D$143,Journal!$A$3:$A$143,$B64,Journal!$F$3:$F$143,AM$3))</f>
        <v/>
      </c>
      <c r="AO64" s="86" t="str">
        <f>IF(SUMIFS(Journal!$D$3:$D$143,Journal!$A$3:$A$143,$B64,Journal!$E$3:$E$143,AO$3)=0,"",SUMIFS(Journal!$D$3:$D$143,Journal!$A$3:$A$143,$B64,Journal!$E$3:$E$143,AO$3))</f>
        <v/>
      </c>
      <c r="AP64" s="86" t="str">
        <f>IF(SUMIFS(Journal!$D$3:$D$143,Journal!$A$3:$A$143,$B64,Journal!$F$3:$F$143,AO$3)=0,"",SUMIFS(Journal!$D$3:$D$143,Journal!$A$3:$A$143,$B64,Journal!$F$3:$F$143,AO$3))</f>
        <v/>
      </c>
      <c r="AQ64" s="86" t="str">
        <f>IF(SUMIFS(Journal!$D$3:$D$143,Journal!$A$3:$A$143,$B64,Journal!$E$3:$E$143,AQ$3)=0,"",SUMIFS(Journal!$D$3:$D$143,Journal!$A$3:$A$143,$B64,Journal!$E$3:$E$143,AQ$3))</f>
        <v/>
      </c>
      <c r="AR64" s="86" t="str">
        <f>IF(SUMIFS(Journal!$D$3:$D$143,Journal!$A$3:$A$143,$B64,Journal!$F$3:$F$143,AQ$3)=0,"",SUMIFS(Journal!$D$3:$D$143,Journal!$A$3:$A$143,$B64,Journal!$F$3:$F$143,AQ$3))</f>
        <v/>
      </c>
      <c r="AS64" s="86" t="str">
        <f>IF(SUMIFS(Journal!$D$3:$D$143,Journal!$A$3:$A$143,$B64,Journal!$E$3:$E$143,AS$3)=0,"",SUMIFS(Journal!$D$3:$D$143,Journal!$A$3:$A$143,$B64,Journal!$E$3:$E$143,AS$3))</f>
        <v/>
      </c>
      <c r="AT64" s="86" t="str">
        <f>IF(SUMIFS(Journal!$D$3:$D$143,Journal!$A$3:$A$143,$B64,Journal!$F$3:$F$143,AS$3)=0,"",SUMIFS(Journal!$D$3:$D$143,Journal!$A$3:$A$143,$B64,Journal!$F$3:$F$143,AS$3))</f>
        <v/>
      </c>
      <c r="AU64" s="86" t="str">
        <f>IF(SUMIFS(Journal!$D$3:$D$143,Journal!$A$3:$A$143,$B64,Journal!$E$3:$E$143,AU$3)=0,"",SUMIFS(Journal!$D$3:$D$143,Journal!$A$3:$A$143,$B64,Journal!$E$3:$E$143,AU$3))</f>
        <v/>
      </c>
      <c r="AV64" s="86" t="str">
        <f>IF(SUMIFS(Journal!$D$3:$D$143,Journal!$A$3:$A$143,$B64,Journal!$F$3:$F$143,AU$3)=0,"",SUMIFS(Journal!$D$3:$D$143,Journal!$A$3:$A$143,$B64,Journal!$F$3:$F$143,AU$3))</f>
        <v/>
      </c>
      <c r="AW64" s="86" t="str">
        <f>IF(SUMIFS(Journal!$D$3:$D$143,Journal!$A$3:$A$143,$B64,Journal!$E$3:$E$143,AW$3)=0,"",SUMIFS(Journal!$D$3:$D$143,Journal!$A$3:$A$143,$B64,Journal!$E$3:$E$143,AW$3))</f>
        <v/>
      </c>
      <c r="AX64" s="86" t="str">
        <f>IF(SUMIFS(Journal!$D$3:$D$143,Journal!$A$3:$A$143,$B64,Journal!$F$3:$F$143,AW$3)=0,"",SUMIFS(Journal!$D$3:$D$143,Journal!$A$3:$A$143,$B64,Journal!$F$3:$F$143,AW$3))</f>
        <v/>
      </c>
      <c r="AY64" s="86" t="str">
        <f>IF(SUMIFS(Journal!$D$3:$D$143,Journal!$A$3:$A$143,$B64,Journal!$E$3:$E$143,AY$3)=0,"",SUMIFS(Journal!$D$3:$D$143,Journal!$A$3:$A$143,$B64,Journal!$E$3:$E$143,AY$3))</f>
        <v/>
      </c>
      <c r="AZ64" s="86" t="str">
        <f>IF(SUMIFS(Journal!$D$3:$D$143,Journal!$A$3:$A$143,$B64,Journal!$F$3:$F$143,AY$3)=0,"",SUMIFS(Journal!$D$3:$D$143,Journal!$A$3:$A$143,$B64,Journal!$F$3:$F$143,AY$3))</f>
        <v/>
      </c>
      <c r="BA64" s="86" t="str">
        <f>IF(SUMIFS(Journal!$D$3:$D$143,Journal!$A$3:$A$143,$B64,Journal!$E$3:$E$143,BA$3)=0,"",SUMIFS(Journal!$D$3:$D$143,Journal!$A$3:$A$143,$B64,Journal!$E$3:$E$143,BA$3))</f>
        <v/>
      </c>
      <c r="BB64" s="86" t="str">
        <f>IF(SUMIFS(Journal!$D$3:$D$143,Journal!$A$3:$A$143,$B64,Journal!$F$3:$F$143,BA$3)=0,"",SUMIFS(Journal!$D$3:$D$143,Journal!$A$3:$A$143,$B64,Journal!$F$3:$F$143,BA$3))</f>
        <v/>
      </c>
    </row>
    <row r="65">
      <c r="A65" s="84">
        <f>VLOOKUP(B65,Journal!$A$3:$C$143,2,FALSE)</f>
        <v>45449</v>
      </c>
      <c r="B65" s="85" t="s">
        <v>441</v>
      </c>
      <c r="C65" s="86" t="str">
        <f>VLOOKUP(B65,Journal!$A$3:$C$143,3,FALSE)</f>
        <v>Partial payment to inventory supplier</v>
      </c>
      <c r="D65" s="86">
        <f>SUMIF(Journal!$A$3:$A$143,B65,Journal!$D$3:$D$143)</f>
        <v>3000</v>
      </c>
      <c r="E65" s="86" t="str">
        <f>IF(SUMIFS(Journal!$D$3:$D$143,Journal!$A$3:$A$143,$B65,Journal!$E$3:$E$143,E$3)=0,"",SUMIFS(Journal!$D$3:$D$143,Journal!$A$3:$A$143,$B65,Journal!$E$3:$E$143,E$3))</f>
        <v/>
      </c>
      <c r="F65" s="86">
        <f>IF(SUMIFS(Journal!$D$3:$D$143,Journal!$A$3:$A$143,$B65,Journal!$F$3:$F$143,E$3)=0,"",SUMIFS(Journal!$D$3:$D$143,Journal!$A$3:$A$143,$B65,Journal!$F$3:$F$143,E$3))</f>
        <v>3000</v>
      </c>
      <c r="G65" s="86" t="str">
        <f>IF(SUMIFS(Journal!$D$3:$D$143,Journal!$A$3:$A$143,$B65,Journal!$E$3:$E$143,G$3)=0,"",SUMIFS(Journal!$D$3:$D$143,Journal!$A$3:$A$143,$B65,Journal!$E$3:$E$143,G$3))</f>
        <v/>
      </c>
      <c r="H65" s="86" t="str">
        <f>IF(SUMIFS(Journal!$D$3:$D$143,Journal!$A$3:$A$143,$B65,Journal!$F$3:$F$143,G$3)=0,"",SUMIFS(Journal!$D$3:$D$143,Journal!$A$3:$A$143,$B65,Journal!$F$3:$F$143,G$3))</f>
        <v/>
      </c>
      <c r="I65" s="86" t="str">
        <f>IF(SUMIFS(Journal!$D$3:$D$143,Journal!$A$3:$A$143,$B65,Journal!$E$3:$E$143,I$3)=0,"",SUMIFS(Journal!$D$3:$D$143,Journal!$A$3:$A$143,$B65,Journal!$E$3:$E$143,I$3))</f>
        <v/>
      </c>
      <c r="J65" s="86" t="str">
        <f>IF(SUMIFS(Journal!$D$3:$D$143,Journal!$A$3:$A$143,$B65,Journal!$F$3:$F$143,I$3)=0,"",SUMIFS(Journal!$D$3:$D$143,Journal!$A$3:$A$143,$B65,Journal!$F$3:$F$143,I$3))</f>
        <v/>
      </c>
      <c r="K65" s="86" t="str">
        <f>IF(SUMIFS(Journal!$D$3:$D$143,Journal!$A$3:$A$143,$B65,Journal!$E$3:$E$143,K$3)=0,"",SUMIFS(Journal!$D$3:$D$143,Journal!$A$3:$A$143,$B65,Journal!$E$3:$E$143,K$3))</f>
        <v/>
      </c>
      <c r="L65" s="86" t="str">
        <f>IF(SUMIFS(Journal!$D$3:$D$143,Journal!$A$3:$A$143,$B65,Journal!$F$3:$F$143,K$3)=0,"",SUMIFS(Journal!$D$3:$D$143,Journal!$A$3:$A$143,$B65,Journal!$F$3:$F$143,K$3))</f>
        <v/>
      </c>
      <c r="M65" s="86" t="str">
        <f>IF(SUMIFS(Journal!$D$3:$D$143,Journal!$A$3:$A$143,$B65,Journal!$E$3:$E$143,M$3)=0,"",SUMIFS(Journal!$D$3:$D$143,Journal!$A$3:$A$143,$B65,Journal!$E$3:$E$143,M$3))</f>
        <v/>
      </c>
      <c r="N65" s="86" t="str">
        <f>IF(SUMIFS(Journal!$D$3:$D$143,Journal!$A$3:$A$143,$B65,Journal!$F$3:$F$143,M$3)=0,"",SUMIFS(Journal!$D$3:$D$143,Journal!$A$3:$A$143,$B65,Journal!$F$3:$F$143,M$3))</f>
        <v/>
      </c>
      <c r="O65" s="86">
        <f>IF(SUMIFS(Journal!$D$3:$D$143,Journal!$A$3:$A$143,$B65,Journal!$E$3:$E$143,O$3)=0,"",SUMIFS(Journal!$D$3:$D$143,Journal!$A$3:$A$143,$B65,Journal!$E$3:$E$143,O$3))</f>
        <v>3000</v>
      </c>
      <c r="P65" s="86" t="str">
        <f>IF(SUMIFS(Journal!$D$3:$D$143,Journal!$A$3:$A$143,$B65,Journal!$F$3:$F$143,O$3)=0,"",SUMIFS(Journal!$D$3:$D$143,Journal!$A$3:$A$143,$B65,Journal!$F$3:$F$143,O$3))</f>
        <v/>
      </c>
      <c r="Q65" s="86" t="str">
        <f>IF(SUMIFS(Journal!$D$3:$D$143,Journal!$A$3:$A$143,$B65,Journal!$E$3:$E$143,Q$3)=0,"",SUMIFS(Journal!$D$3:$D$143,Journal!$A$3:$A$143,$B65,Journal!$E$3:$E$143,Q$3))</f>
        <v/>
      </c>
      <c r="R65" s="86" t="str">
        <f>IF(SUMIFS(Journal!$D$3:$D$143,Journal!$A$3:$A$143,$B65,Journal!$F$3:$F$143,Q$3)=0,"",SUMIFS(Journal!$D$3:$D$143,Journal!$A$3:$A$143,$B65,Journal!$F$3:$F$143,Q$3))</f>
        <v/>
      </c>
      <c r="S65" s="86" t="str">
        <f>IF(SUMIFS(Journal!$D$3:$D$143,Journal!$A$3:$A$143,$B65,Journal!$E$3:$E$143,S$3)=0,"",SUMIFS(Journal!$D$3:$D$143,Journal!$A$3:$A$143,$B65,Journal!$E$3:$E$143,S$3))</f>
        <v/>
      </c>
      <c r="T65" s="86" t="str">
        <f>IF(SUMIFS(Journal!$D$3:$D$143,Journal!$A$3:$A$143,$B65,Journal!$F$3:$F$143,S$3)=0,"",SUMIFS(Journal!$D$3:$D$143,Journal!$A$3:$A$143,$B65,Journal!$F$3:$F$143,S$3))</f>
        <v/>
      </c>
      <c r="U65" s="86" t="str">
        <f>IF(SUMIFS(Journal!$D$3:$D$143,Journal!$A$3:$A$143,$B65,Journal!$E$3:$E$143,U$3)=0,"",SUMIFS(Journal!$D$3:$D$143,Journal!$A$3:$A$143,$B65,Journal!$E$3:$E$143,U$3))</f>
        <v/>
      </c>
      <c r="V65" s="86" t="str">
        <f>IF(SUMIFS(Journal!$D$3:$D$143,Journal!$A$3:$A$143,$B65,Journal!$F$3:$F$143,U$3)=0,"",SUMIFS(Journal!$D$3:$D$143,Journal!$A$3:$A$143,$B65,Journal!$F$3:$F$143,U$3))</f>
        <v/>
      </c>
      <c r="W65" s="86" t="str">
        <f>IF(SUMIFS(Journal!$D$3:$D$143,Journal!$A$3:$A$143,$B65,Journal!$E$3:$E$143,W$3)=0,"",SUMIFS(Journal!$D$3:$D$143,Journal!$A$3:$A$143,$B65,Journal!$E$3:$E$143,W$3))</f>
        <v/>
      </c>
      <c r="X65" s="86" t="str">
        <f>IF(SUMIFS(Journal!$D$3:$D$143,Journal!$A$3:$A$143,$B65,Journal!$F$3:$F$143,W$3)=0,"",SUMIFS(Journal!$D$3:$D$143,Journal!$A$3:$A$143,$B65,Journal!$F$3:$F$143,W$3))</f>
        <v/>
      </c>
      <c r="Y65" s="86" t="str">
        <f>IF(SUMIFS(Journal!$D$3:$D$143,Journal!$A$3:$A$143,$B65,Journal!$E$3:$E$143,Y$3)=0,"",SUMIFS(Journal!$D$3:$D$143,Journal!$A$3:$A$143,$B65,Journal!$E$3:$E$143,Y$3))</f>
        <v/>
      </c>
      <c r="Z65" s="86" t="str">
        <f>IF(SUMIFS(Journal!$D$3:$D$143,Journal!$A$3:$A$143,$B65,Journal!$F$3:$F$143,Y$3)=0,"",SUMIFS(Journal!$D$3:$D$143,Journal!$A$3:$A$143,$B65,Journal!$F$3:$F$143,Y$3))</f>
        <v/>
      </c>
      <c r="AA65" s="86" t="str">
        <f>IF(SUMIFS(Journal!$D$3:$D$143,Journal!$A$3:$A$143,$B65,Journal!$E$3:$E$143,AA$3)=0,"",SUMIFS(Journal!$D$3:$D$143,Journal!$A$3:$A$143,$B65,Journal!$E$3:$E$143,AA$3))</f>
        <v/>
      </c>
      <c r="AB65" s="86" t="str">
        <f>IF(SUMIFS(Journal!$D$3:$D$143,Journal!$A$3:$A$143,$B65,Journal!$F$3:$F$143,AA$3)=0,"",SUMIFS(Journal!$D$3:$D$143,Journal!$A$3:$A$143,$B65,Journal!$F$3:$F$143,AA$3))</f>
        <v/>
      </c>
      <c r="AC65" s="86" t="str">
        <f>IF(SUMIFS(Journal!$D$3:$D$143,Journal!$A$3:$A$143,$B65,Journal!$E$3:$E$143,AC$3)=0,"",SUMIFS(Journal!$D$3:$D$143,Journal!$A$3:$A$143,$B65,Journal!$E$3:$E$143,AC$3))</f>
        <v/>
      </c>
      <c r="AD65" s="86" t="str">
        <f>IF(SUMIFS(Journal!$D$3:$D$143,Journal!$A$3:$A$143,$B65,Journal!$F$3:$F$143,AC$3)=0,"",SUMIFS(Journal!$D$3:$D$143,Journal!$A$3:$A$143,$B65,Journal!$F$3:$F$143,AC$3))</f>
        <v/>
      </c>
      <c r="AE65" s="86" t="str">
        <f>IF(SUMIFS(Journal!$D$3:$D$143,Journal!$A$3:$A$143,$B65,Journal!$E$3:$E$143,AE$3)=0,"",SUMIFS(Journal!$D$3:$D$143,Journal!$A$3:$A$143,$B65,Journal!$E$3:$E$143,AE$3))</f>
        <v/>
      </c>
      <c r="AF65" s="86" t="str">
        <f>IF(SUMIFS(Journal!$D$3:$D$143,Journal!$A$3:$A$143,$B65,Journal!$F$3:$F$143,AE$3)=0,"",SUMIFS(Journal!$D$3:$D$143,Journal!$A$3:$A$143,$B65,Journal!$F$3:$F$143,AE$3))</f>
        <v/>
      </c>
      <c r="AG65" s="86" t="str">
        <f>IF(SUMIFS(Journal!$D$3:$D$143,Journal!$A$3:$A$143,$B65,Journal!$E$3:$E$143,AG$3)=0,"",SUMIFS(Journal!$D$3:$D$143,Journal!$A$3:$A$143,$B65,Journal!$E$3:$E$143,AG$3))</f>
        <v/>
      </c>
      <c r="AH65" s="86" t="str">
        <f>IF(SUMIFS(Journal!$D$3:$D$143,Journal!$A$3:$A$143,$B65,Journal!$F$3:$F$143,AG$3)=0,"",SUMIFS(Journal!$D$3:$D$143,Journal!$A$3:$A$143,$B65,Journal!$F$3:$F$143,AG$3))</f>
        <v/>
      </c>
      <c r="AI65" s="86" t="str">
        <f>IF(SUMIFS(Journal!$D$3:$D$143,Journal!$A$3:$A$143,$B65,Journal!$E$3:$E$143,AI$3)=0,"",SUMIFS(Journal!$D$3:$D$143,Journal!$A$3:$A$143,$B65,Journal!$E$3:$E$143,AI$3))</f>
        <v/>
      </c>
      <c r="AJ65" s="86" t="str">
        <f>IF(SUMIFS(Journal!$D$3:$D$143,Journal!$A$3:$A$143,$B65,Journal!$F$3:$F$143,AI$3)=0,"",SUMIFS(Journal!$D$3:$D$143,Journal!$A$3:$A$143,$B65,Journal!$F$3:$F$143,AI$3))</f>
        <v/>
      </c>
      <c r="AK65" s="86" t="str">
        <f>IF(SUMIFS(Journal!$D$3:$D$143,Journal!$A$3:$A$143,$B65,Journal!$E$3:$E$143,AK$3)=0,"",SUMIFS(Journal!$D$3:$D$143,Journal!$A$3:$A$143,$B65,Journal!$E$3:$E$143,AK$3))</f>
        <v/>
      </c>
      <c r="AL65" s="86" t="str">
        <f>IF(SUMIFS(Journal!$D$3:$D$143,Journal!$A$3:$A$143,$B65,Journal!$F$3:$F$143,AK$3)=0,"",SUMIFS(Journal!$D$3:$D$143,Journal!$A$3:$A$143,$B65,Journal!$F$3:$F$143,AK$3))</f>
        <v/>
      </c>
      <c r="AM65" s="86" t="str">
        <f>IF(SUMIFS(Journal!$D$3:$D$143,Journal!$A$3:$A$143,$B65,Journal!$E$3:$E$143,AM$3)=0,"",SUMIFS(Journal!$D$3:$D$143,Journal!$A$3:$A$143,$B65,Journal!$E$3:$E$143,AM$3))</f>
        <v/>
      </c>
      <c r="AN65" s="86" t="str">
        <f>IF(SUMIFS(Journal!$D$3:$D$143,Journal!$A$3:$A$143,$B65,Journal!$F$3:$F$143,AM$3)=0,"",SUMIFS(Journal!$D$3:$D$143,Journal!$A$3:$A$143,$B65,Journal!$F$3:$F$143,AM$3))</f>
        <v/>
      </c>
      <c r="AO65" s="86" t="str">
        <f>IF(SUMIFS(Journal!$D$3:$D$143,Journal!$A$3:$A$143,$B65,Journal!$E$3:$E$143,AO$3)=0,"",SUMIFS(Journal!$D$3:$D$143,Journal!$A$3:$A$143,$B65,Journal!$E$3:$E$143,AO$3))</f>
        <v/>
      </c>
      <c r="AP65" s="86" t="str">
        <f>IF(SUMIFS(Journal!$D$3:$D$143,Journal!$A$3:$A$143,$B65,Journal!$F$3:$F$143,AO$3)=0,"",SUMIFS(Journal!$D$3:$D$143,Journal!$A$3:$A$143,$B65,Journal!$F$3:$F$143,AO$3))</f>
        <v/>
      </c>
      <c r="AQ65" s="86" t="str">
        <f>IF(SUMIFS(Journal!$D$3:$D$143,Journal!$A$3:$A$143,$B65,Journal!$E$3:$E$143,AQ$3)=0,"",SUMIFS(Journal!$D$3:$D$143,Journal!$A$3:$A$143,$B65,Journal!$E$3:$E$143,AQ$3))</f>
        <v/>
      </c>
      <c r="AR65" s="86" t="str">
        <f>IF(SUMIFS(Journal!$D$3:$D$143,Journal!$A$3:$A$143,$B65,Journal!$F$3:$F$143,AQ$3)=0,"",SUMIFS(Journal!$D$3:$D$143,Journal!$A$3:$A$143,$B65,Journal!$F$3:$F$143,AQ$3))</f>
        <v/>
      </c>
      <c r="AS65" s="86" t="str">
        <f>IF(SUMIFS(Journal!$D$3:$D$143,Journal!$A$3:$A$143,$B65,Journal!$E$3:$E$143,AS$3)=0,"",SUMIFS(Journal!$D$3:$D$143,Journal!$A$3:$A$143,$B65,Journal!$E$3:$E$143,AS$3))</f>
        <v/>
      </c>
      <c r="AT65" s="86" t="str">
        <f>IF(SUMIFS(Journal!$D$3:$D$143,Journal!$A$3:$A$143,$B65,Journal!$F$3:$F$143,AS$3)=0,"",SUMIFS(Journal!$D$3:$D$143,Journal!$A$3:$A$143,$B65,Journal!$F$3:$F$143,AS$3))</f>
        <v/>
      </c>
      <c r="AU65" s="86" t="str">
        <f>IF(SUMIFS(Journal!$D$3:$D$143,Journal!$A$3:$A$143,$B65,Journal!$E$3:$E$143,AU$3)=0,"",SUMIFS(Journal!$D$3:$D$143,Journal!$A$3:$A$143,$B65,Journal!$E$3:$E$143,AU$3))</f>
        <v/>
      </c>
      <c r="AV65" s="86" t="str">
        <f>IF(SUMIFS(Journal!$D$3:$D$143,Journal!$A$3:$A$143,$B65,Journal!$F$3:$F$143,AU$3)=0,"",SUMIFS(Journal!$D$3:$D$143,Journal!$A$3:$A$143,$B65,Journal!$F$3:$F$143,AU$3))</f>
        <v/>
      </c>
      <c r="AW65" s="86" t="str">
        <f>IF(SUMIFS(Journal!$D$3:$D$143,Journal!$A$3:$A$143,$B65,Journal!$E$3:$E$143,AW$3)=0,"",SUMIFS(Journal!$D$3:$D$143,Journal!$A$3:$A$143,$B65,Journal!$E$3:$E$143,AW$3))</f>
        <v/>
      </c>
      <c r="AX65" s="86" t="str">
        <f>IF(SUMIFS(Journal!$D$3:$D$143,Journal!$A$3:$A$143,$B65,Journal!$F$3:$F$143,AW$3)=0,"",SUMIFS(Journal!$D$3:$D$143,Journal!$A$3:$A$143,$B65,Journal!$F$3:$F$143,AW$3))</f>
        <v/>
      </c>
      <c r="AY65" s="86" t="str">
        <f>IF(SUMIFS(Journal!$D$3:$D$143,Journal!$A$3:$A$143,$B65,Journal!$E$3:$E$143,AY$3)=0,"",SUMIFS(Journal!$D$3:$D$143,Journal!$A$3:$A$143,$B65,Journal!$E$3:$E$143,AY$3))</f>
        <v/>
      </c>
      <c r="AZ65" s="86" t="str">
        <f>IF(SUMIFS(Journal!$D$3:$D$143,Journal!$A$3:$A$143,$B65,Journal!$F$3:$F$143,AY$3)=0,"",SUMIFS(Journal!$D$3:$D$143,Journal!$A$3:$A$143,$B65,Journal!$F$3:$F$143,AY$3))</f>
        <v/>
      </c>
      <c r="BA65" s="86" t="str">
        <f>IF(SUMIFS(Journal!$D$3:$D$143,Journal!$A$3:$A$143,$B65,Journal!$E$3:$E$143,BA$3)=0,"",SUMIFS(Journal!$D$3:$D$143,Journal!$A$3:$A$143,$B65,Journal!$E$3:$E$143,BA$3))</f>
        <v/>
      </c>
      <c r="BB65" s="86" t="str">
        <f>IF(SUMIFS(Journal!$D$3:$D$143,Journal!$A$3:$A$143,$B65,Journal!$F$3:$F$143,BA$3)=0,"",SUMIFS(Journal!$D$3:$D$143,Journal!$A$3:$A$143,$B65,Journal!$F$3:$F$143,BA$3))</f>
        <v/>
      </c>
    </row>
    <row r="66">
      <c r="A66" s="84">
        <f>VLOOKUP(B66,Journal!$A$3:$C$143,2,FALSE)</f>
        <v>45455</v>
      </c>
      <c r="B66" s="85" t="s">
        <v>445</v>
      </c>
      <c r="C66" s="86" t="str">
        <f>VLOOKUP(B66,Journal!$A$3:$C$143,3,FALSE)</f>
        <v>Equipment rental receipts batch</v>
      </c>
      <c r="D66" s="86">
        <f>SUMIF(Journal!$A$3:$A$143,B66,Journal!$D$3:$D$143)</f>
        <v>16000</v>
      </c>
      <c r="E66" s="86">
        <f>IF(SUMIFS(Journal!$D$3:$D$143,Journal!$A$3:$A$143,$B66,Journal!$E$3:$E$143,E$3)=0,"",SUMIFS(Journal!$D$3:$D$143,Journal!$A$3:$A$143,$B66,Journal!$E$3:$E$143,E$3))</f>
        <v>16000</v>
      </c>
      <c r="F66" s="86" t="str">
        <f>IF(SUMIFS(Journal!$D$3:$D$143,Journal!$A$3:$A$143,$B66,Journal!$F$3:$F$143,E$3)=0,"",SUMIFS(Journal!$D$3:$D$143,Journal!$A$3:$A$143,$B66,Journal!$F$3:$F$143,E$3))</f>
        <v/>
      </c>
      <c r="G66" s="86" t="str">
        <f>IF(SUMIFS(Journal!$D$3:$D$143,Journal!$A$3:$A$143,$B66,Journal!$E$3:$E$143,G$3)=0,"",SUMIFS(Journal!$D$3:$D$143,Journal!$A$3:$A$143,$B66,Journal!$E$3:$E$143,G$3))</f>
        <v/>
      </c>
      <c r="H66" s="86" t="str">
        <f>IF(SUMIFS(Journal!$D$3:$D$143,Journal!$A$3:$A$143,$B66,Journal!$F$3:$F$143,G$3)=0,"",SUMIFS(Journal!$D$3:$D$143,Journal!$A$3:$A$143,$B66,Journal!$F$3:$F$143,G$3))</f>
        <v/>
      </c>
      <c r="I66" s="86" t="str">
        <f>IF(SUMIFS(Journal!$D$3:$D$143,Journal!$A$3:$A$143,$B66,Journal!$E$3:$E$143,I$3)=0,"",SUMIFS(Journal!$D$3:$D$143,Journal!$A$3:$A$143,$B66,Journal!$E$3:$E$143,I$3))</f>
        <v/>
      </c>
      <c r="J66" s="86" t="str">
        <f>IF(SUMIFS(Journal!$D$3:$D$143,Journal!$A$3:$A$143,$B66,Journal!$F$3:$F$143,I$3)=0,"",SUMIFS(Journal!$D$3:$D$143,Journal!$A$3:$A$143,$B66,Journal!$F$3:$F$143,I$3))</f>
        <v/>
      </c>
      <c r="K66" s="86" t="str">
        <f>IF(SUMIFS(Journal!$D$3:$D$143,Journal!$A$3:$A$143,$B66,Journal!$E$3:$E$143,K$3)=0,"",SUMIFS(Journal!$D$3:$D$143,Journal!$A$3:$A$143,$B66,Journal!$E$3:$E$143,K$3))</f>
        <v/>
      </c>
      <c r="L66" s="86" t="str">
        <f>IF(SUMIFS(Journal!$D$3:$D$143,Journal!$A$3:$A$143,$B66,Journal!$F$3:$F$143,K$3)=0,"",SUMIFS(Journal!$D$3:$D$143,Journal!$A$3:$A$143,$B66,Journal!$F$3:$F$143,K$3))</f>
        <v/>
      </c>
      <c r="M66" s="86" t="str">
        <f>IF(SUMIFS(Journal!$D$3:$D$143,Journal!$A$3:$A$143,$B66,Journal!$E$3:$E$143,M$3)=0,"",SUMIFS(Journal!$D$3:$D$143,Journal!$A$3:$A$143,$B66,Journal!$E$3:$E$143,M$3))</f>
        <v/>
      </c>
      <c r="N66" s="86" t="str">
        <f>IF(SUMIFS(Journal!$D$3:$D$143,Journal!$A$3:$A$143,$B66,Journal!$F$3:$F$143,M$3)=0,"",SUMIFS(Journal!$D$3:$D$143,Journal!$A$3:$A$143,$B66,Journal!$F$3:$F$143,M$3))</f>
        <v/>
      </c>
      <c r="O66" s="86" t="str">
        <f>IF(SUMIFS(Journal!$D$3:$D$143,Journal!$A$3:$A$143,$B66,Journal!$E$3:$E$143,O$3)=0,"",SUMIFS(Journal!$D$3:$D$143,Journal!$A$3:$A$143,$B66,Journal!$E$3:$E$143,O$3))</f>
        <v/>
      </c>
      <c r="P66" s="86" t="str">
        <f>IF(SUMIFS(Journal!$D$3:$D$143,Journal!$A$3:$A$143,$B66,Journal!$F$3:$F$143,O$3)=0,"",SUMIFS(Journal!$D$3:$D$143,Journal!$A$3:$A$143,$B66,Journal!$F$3:$F$143,O$3))</f>
        <v/>
      </c>
      <c r="Q66" s="86" t="str">
        <f>IF(SUMIFS(Journal!$D$3:$D$143,Journal!$A$3:$A$143,$B66,Journal!$E$3:$E$143,Q$3)=0,"",SUMIFS(Journal!$D$3:$D$143,Journal!$A$3:$A$143,$B66,Journal!$E$3:$E$143,Q$3))</f>
        <v/>
      </c>
      <c r="R66" s="86" t="str">
        <f>IF(SUMIFS(Journal!$D$3:$D$143,Journal!$A$3:$A$143,$B66,Journal!$F$3:$F$143,Q$3)=0,"",SUMIFS(Journal!$D$3:$D$143,Journal!$A$3:$A$143,$B66,Journal!$F$3:$F$143,Q$3))</f>
        <v/>
      </c>
      <c r="S66" s="86" t="str">
        <f>IF(SUMIFS(Journal!$D$3:$D$143,Journal!$A$3:$A$143,$B66,Journal!$E$3:$E$143,S$3)=0,"",SUMIFS(Journal!$D$3:$D$143,Journal!$A$3:$A$143,$B66,Journal!$E$3:$E$143,S$3))</f>
        <v/>
      </c>
      <c r="T66" s="86" t="str">
        <f>IF(SUMIFS(Journal!$D$3:$D$143,Journal!$A$3:$A$143,$B66,Journal!$F$3:$F$143,S$3)=0,"",SUMIFS(Journal!$D$3:$D$143,Journal!$A$3:$A$143,$B66,Journal!$F$3:$F$143,S$3))</f>
        <v/>
      </c>
      <c r="U66" s="86" t="str">
        <f>IF(SUMIFS(Journal!$D$3:$D$143,Journal!$A$3:$A$143,$B66,Journal!$E$3:$E$143,U$3)=0,"",SUMIFS(Journal!$D$3:$D$143,Journal!$A$3:$A$143,$B66,Journal!$E$3:$E$143,U$3))</f>
        <v/>
      </c>
      <c r="V66" s="86" t="str">
        <f>IF(SUMIFS(Journal!$D$3:$D$143,Journal!$A$3:$A$143,$B66,Journal!$F$3:$F$143,U$3)=0,"",SUMIFS(Journal!$D$3:$D$143,Journal!$A$3:$A$143,$B66,Journal!$F$3:$F$143,U$3))</f>
        <v/>
      </c>
      <c r="W66" s="86" t="str">
        <f>IF(SUMIFS(Journal!$D$3:$D$143,Journal!$A$3:$A$143,$B66,Journal!$E$3:$E$143,W$3)=0,"",SUMIFS(Journal!$D$3:$D$143,Journal!$A$3:$A$143,$B66,Journal!$E$3:$E$143,W$3))</f>
        <v/>
      </c>
      <c r="X66" s="86">
        <f>IF(SUMIFS(Journal!$D$3:$D$143,Journal!$A$3:$A$143,$B66,Journal!$F$3:$F$143,W$3)=0,"",SUMIFS(Journal!$D$3:$D$143,Journal!$A$3:$A$143,$B66,Journal!$F$3:$F$143,W$3))</f>
        <v>16000</v>
      </c>
      <c r="Y66" s="86" t="str">
        <f>IF(SUMIFS(Journal!$D$3:$D$143,Journal!$A$3:$A$143,$B66,Journal!$E$3:$E$143,Y$3)=0,"",SUMIFS(Journal!$D$3:$D$143,Journal!$A$3:$A$143,$B66,Journal!$E$3:$E$143,Y$3))</f>
        <v/>
      </c>
      <c r="Z66" s="86" t="str">
        <f>IF(SUMIFS(Journal!$D$3:$D$143,Journal!$A$3:$A$143,$B66,Journal!$F$3:$F$143,Y$3)=0,"",SUMIFS(Journal!$D$3:$D$143,Journal!$A$3:$A$143,$B66,Journal!$F$3:$F$143,Y$3))</f>
        <v/>
      </c>
      <c r="AA66" s="86" t="str">
        <f>IF(SUMIFS(Journal!$D$3:$D$143,Journal!$A$3:$A$143,$B66,Journal!$E$3:$E$143,AA$3)=0,"",SUMIFS(Journal!$D$3:$D$143,Journal!$A$3:$A$143,$B66,Journal!$E$3:$E$143,AA$3))</f>
        <v/>
      </c>
      <c r="AB66" s="86" t="str">
        <f>IF(SUMIFS(Journal!$D$3:$D$143,Journal!$A$3:$A$143,$B66,Journal!$F$3:$F$143,AA$3)=0,"",SUMIFS(Journal!$D$3:$D$143,Journal!$A$3:$A$143,$B66,Journal!$F$3:$F$143,AA$3))</f>
        <v/>
      </c>
      <c r="AC66" s="86" t="str">
        <f>IF(SUMIFS(Journal!$D$3:$D$143,Journal!$A$3:$A$143,$B66,Journal!$E$3:$E$143,AC$3)=0,"",SUMIFS(Journal!$D$3:$D$143,Journal!$A$3:$A$143,$B66,Journal!$E$3:$E$143,AC$3))</f>
        <v/>
      </c>
      <c r="AD66" s="86" t="str">
        <f>IF(SUMIFS(Journal!$D$3:$D$143,Journal!$A$3:$A$143,$B66,Journal!$F$3:$F$143,AC$3)=0,"",SUMIFS(Journal!$D$3:$D$143,Journal!$A$3:$A$143,$B66,Journal!$F$3:$F$143,AC$3))</f>
        <v/>
      </c>
      <c r="AE66" s="86" t="str">
        <f>IF(SUMIFS(Journal!$D$3:$D$143,Journal!$A$3:$A$143,$B66,Journal!$E$3:$E$143,AE$3)=0,"",SUMIFS(Journal!$D$3:$D$143,Journal!$A$3:$A$143,$B66,Journal!$E$3:$E$143,AE$3))</f>
        <v/>
      </c>
      <c r="AF66" s="86" t="str">
        <f>IF(SUMIFS(Journal!$D$3:$D$143,Journal!$A$3:$A$143,$B66,Journal!$F$3:$F$143,AE$3)=0,"",SUMIFS(Journal!$D$3:$D$143,Journal!$A$3:$A$143,$B66,Journal!$F$3:$F$143,AE$3))</f>
        <v/>
      </c>
      <c r="AG66" s="86" t="str">
        <f>IF(SUMIFS(Journal!$D$3:$D$143,Journal!$A$3:$A$143,$B66,Journal!$E$3:$E$143,AG$3)=0,"",SUMIFS(Journal!$D$3:$D$143,Journal!$A$3:$A$143,$B66,Journal!$E$3:$E$143,AG$3))</f>
        <v/>
      </c>
      <c r="AH66" s="86" t="str">
        <f>IF(SUMIFS(Journal!$D$3:$D$143,Journal!$A$3:$A$143,$B66,Journal!$F$3:$F$143,AG$3)=0,"",SUMIFS(Journal!$D$3:$D$143,Journal!$A$3:$A$143,$B66,Journal!$F$3:$F$143,AG$3))</f>
        <v/>
      </c>
      <c r="AI66" s="86" t="str">
        <f>IF(SUMIFS(Journal!$D$3:$D$143,Journal!$A$3:$A$143,$B66,Journal!$E$3:$E$143,AI$3)=0,"",SUMIFS(Journal!$D$3:$D$143,Journal!$A$3:$A$143,$B66,Journal!$E$3:$E$143,AI$3))</f>
        <v/>
      </c>
      <c r="AJ66" s="86" t="str">
        <f>IF(SUMIFS(Journal!$D$3:$D$143,Journal!$A$3:$A$143,$B66,Journal!$F$3:$F$143,AI$3)=0,"",SUMIFS(Journal!$D$3:$D$143,Journal!$A$3:$A$143,$B66,Journal!$F$3:$F$143,AI$3))</f>
        <v/>
      </c>
      <c r="AK66" s="86" t="str">
        <f>IF(SUMIFS(Journal!$D$3:$D$143,Journal!$A$3:$A$143,$B66,Journal!$E$3:$E$143,AK$3)=0,"",SUMIFS(Journal!$D$3:$D$143,Journal!$A$3:$A$143,$B66,Journal!$E$3:$E$143,AK$3))</f>
        <v/>
      </c>
      <c r="AL66" s="86" t="str">
        <f>IF(SUMIFS(Journal!$D$3:$D$143,Journal!$A$3:$A$143,$B66,Journal!$F$3:$F$143,AK$3)=0,"",SUMIFS(Journal!$D$3:$D$143,Journal!$A$3:$A$143,$B66,Journal!$F$3:$F$143,AK$3))</f>
        <v/>
      </c>
      <c r="AM66" s="86" t="str">
        <f>IF(SUMIFS(Journal!$D$3:$D$143,Journal!$A$3:$A$143,$B66,Journal!$E$3:$E$143,AM$3)=0,"",SUMIFS(Journal!$D$3:$D$143,Journal!$A$3:$A$143,$B66,Journal!$E$3:$E$143,AM$3))</f>
        <v/>
      </c>
      <c r="AN66" s="86" t="str">
        <f>IF(SUMIFS(Journal!$D$3:$D$143,Journal!$A$3:$A$143,$B66,Journal!$F$3:$F$143,AM$3)=0,"",SUMIFS(Journal!$D$3:$D$143,Journal!$A$3:$A$143,$B66,Journal!$F$3:$F$143,AM$3))</f>
        <v/>
      </c>
      <c r="AO66" s="86" t="str">
        <f>IF(SUMIFS(Journal!$D$3:$D$143,Journal!$A$3:$A$143,$B66,Journal!$E$3:$E$143,AO$3)=0,"",SUMIFS(Journal!$D$3:$D$143,Journal!$A$3:$A$143,$B66,Journal!$E$3:$E$143,AO$3))</f>
        <v/>
      </c>
      <c r="AP66" s="86" t="str">
        <f>IF(SUMIFS(Journal!$D$3:$D$143,Journal!$A$3:$A$143,$B66,Journal!$F$3:$F$143,AO$3)=0,"",SUMIFS(Journal!$D$3:$D$143,Journal!$A$3:$A$143,$B66,Journal!$F$3:$F$143,AO$3))</f>
        <v/>
      </c>
      <c r="AQ66" s="86" t="str">
        <f>IF(SUMIFS(Journal!$D$3:$D$143,Journal!$A$3:$A$143,$B66,Journal!$E$3:$E$143,AQ$3)=0,"",SUMIFS(Journal!$D$3:$D$143,Journal!$A$3:$A$143,$B66,Journal!$E$3:$E$143,AQ$3))</f>
        <v/>
      </c>
      <c r="AR66" s="86" t="str">
        <f>IF(SUMIFS(Journal!$D$3:$D$143,Journal!$A$3:$A$143,$B66,Journal!$F$3:$F$143,AQ$3)=0,"",SUMIFS(Journal!$D$3:$D$143,Journal!$A$3:$A$143,$B66,Journal!$F$3:$F$143,AQ$3))</f>
        <v/>
      </c>
      <c r="AS66" s="86" t="str">
        <f>IF(SUMIFS(Journal!$D$3:$D$143,Journal!$A$3:$A$143,$B66,Journal!$E$3:$E$143,AS$3)=0,"",SUMIFS(Journal!$D$3:$D$143,Journal!$A$3:$A$143,$B66,Journal!$E$3:$E$143,AS$3))</f>
        <v/>
      </c>
      <c r="AT66" s="86" t="str">
        <f>IF(SUMIFS(Journal!$D$3:$D$143,Journal!$A$3:$A$143,$B66,Journal!$F$3:$F$143,AS$3)=0,"",SUMIFS(Journal!$D$3:$D$143,Journal!$A$3:$A$143,$B66,Journal!$F$3:$F$143,AS$3))</f>
        <v/>
      </c>
      <c r="AU66" s="86" t="str">
        <f>IF(SUMIFS(Journal!$D$3:$D$143,Journal!$A$3:$A$143,$B66,Journal!$E$3:$E$143,AU$3)=0,"",SUMIFS(Journal!$D$3:$D$143,Journal!$A$3:$A$143,$B66,Journal!$E$3:$E$143,AU$3))</f>
        <v/>
      </c>
      <c r="AV66" s="86" t="str">
        <f>IF(SUMIFS(Journal!$D$3:$D$143,Journal!$A$3:$A$143,$B66,Journal!$F$3:$F$143,AU$3)=0,"",SUMIFS(Journal!$D$3:$D$143,Journal!$A$3:$A$143,$B66,Journal!$F$3:$F$143,AU$3))</f>
        <v/>
      </c>
      <c r="AW66" s="86" t="str">
        <f>IF(SUMIFS(Journal!$D$3:$D$143,Journal!$A$3:$A$143,$B66,Journal!$E$3:$E$143,AW$3)=0,"",SUMIFS(Journal!$D$3:$D$143,Journal!$A$3:$A$143,$B66,Journal!$E$3:$E$143,AW$3))</f>
        <v/>
      </c>
      <c r="AX66" s="86" t="str">
        <f>IF(SUMIFS(Journal!$D$3:$D$143,Journal!$A$3:$A$143,$B66,Journal!$F$3:$F$143,AW$3)=0,"",SUMIFS(Journal!$D$3:$D$143,Journal!$A$3:$A$143,$B66,Journal!$F$3:$F$143,AW$3))</f>
        <v/>
      </c>
      <c r="AY66" s="86" t="str">
        <f>IF(SUMIFS(Journal!$D$3:$D$143,Journal!$A$3:$A$143,$B66,Journal!$E$3:$E$143,AY$3)=0,"",SUMIFS(Journal!$D$3:$D$143,Journal!$A$3:$A$143,$B66,Journal!$E$3:$E$143,AY$3))</f>
        <v/>
      </c>
      <c r="AZ66" s="86" t="str">
        <f>IF(SUMIFS(Journal!$D$3:$D$143,Journal!$A$3:$A$143,$B66,Journal!$F$3:$F$143,AY$3)=0,"",SUMIFS(Journal!$D$3:$D$143,Journal!$A$3:$A$143,$B66,Journal!$F$3:$F$143,AY$3))</f>
        <v/>
      </c>
      <c r="BA66" s="86" t="str">
        <f>IF(SUMIFS(Journal!$D$3:$D$143,Journal!$A$3:$A$143,$B66,Journal!$E$3:$E$143,BA$3)=0,"",SUMIFS(Journal!$D$3:$D$143,Journal!$A$3:$A$143,$B66,Journal!$E$3:$E$143,BA$3))</f>
        <v/>
      </c>
      <c r="BB66" s="86" t="str">
        <f>IF(SUMIFS(Journal!$D$3:$D$143,Journal!$A$3:$A$143,$B66,Journal!$F$3:$F$143,BA$3)=0,"",SUMIFS(Journal!$D$3:$D$143,Journal!$A$3:$A$143,$B66,Journal!$F$3:$F$143,BA$3))</f>
        <v/>
      </c>
    </row>
    <row r="67">
      <c r="A67" s="84">
        <f>VLOOKUP(B67,Journal!$A$3:$C$143,2,FALSE)</f>
        <v>45460</v>
      </c>
      <c r="B67" s="85" t="s">
        <v>448</v>
      </c>
      <c r="C67" s="86" t="str">
        <f>VLOOKUP(B67,Journal!$A$3:$C$143,3,FALSE)</f>
        <v>Fleet service and dispatch</v>
      </c>
      <c r="D67" s="86">
        <f>SUMIF(Journal!$A$3:$A$143,B67,Journal!$D$3:$D$143)</f>
        <v>3920</v>
      </c>
      <c r="E67" s="86" t="str">
        <f>IF(SUMIFS(Journal!$D$3:$D$143,Journal!$A$3:$A$143,$B67,Journal!$E$3:$E$143,E$3)=0,"",SUMIFS(Journal!$D$3:$D$143,Journal!$A$3:$A$143,$B67,Journal!$E$3:$E$143,E$3))</f>
        <v/>
      </c>
      <c r="F67" s="86">
        <f>IF(SUMIFS(Journal!$D$3:$D$143,Journal!$A$3:$A$143,$B67,Journal!$F$3:$F$143,E$3)=0,"",SUMIFS(Journal!$D$3:$D$143,Journal!$A$3:$A$143,$B67,Journal!$F$3:$F$143,E$3))</f>
        <v>3920</v>
      </c>
      <c r="G67" s="86" t="str">
        <f>IF(SUMIFS(Journal!$D$3:$D$143,Journal!$A$3:$A$143,$B67,Journal!$E$3:$E$143,G$3)=0,"",SUMIFS(Journal!$D$3:$D$143,Journal!$A$3:$A$143,$B67,Journal!$E$3:$E$143,G$3))</f>
        <v/>
      </c>
      <c r="H67" s="86" t="str">
        <f>IF(SUMIFS(Journal!$D$3:$D$143,Journal!$A$3:$A$143,$B67,Journal!$F$3:$F$143,G$3)=0,"",SUMIFS(Journal!$D$3:$D$143,Journal!$A$3:$A$143,$B67,Journal!$F$3:$F$143,G$3))</f>
        <v/>
      </c>
      <c r="I67" s="86" t="str">
        <f>IF(SUMIFS(Journal!$D$3:$D$143,Journal!$A$3:$A$143,$B67,Journal!$E$3:$E$143,I$3)=0,"",SUMIFS(Journal!$D$3:$D$143,Journal!$A$3:$A$143,$B67,Journal!$E$3:$E$143,I$3))</f>
        <v/>
      </c>
      <c r="J67" s="86" t="str">
        <f>IF(SUMIFS(Journal!$D$3:$D$143,Journal!$A$3:$A$143,$B67,Journal!$F$3:$F$143,I$3)=0,"",SUMIFS(Journal!$D$3:$D$143,Journal!$A$3:$A$143,$B67,Journal!$F$3:$F$143,I$3))</f>
        <v/>
      </c>
      <c r="K67" s="86" t="str">
        <f>IF(SUMIFS(Journal!$D$3:$D$143,Journal!$A$3:$A$143,$B67,Journal!$E$3:$E$143,K$3)=0,"",SUMIFS(Journal!$D$3:$D$143,Journal!$A$3:$A$143,$B67,Journal!$E$3:$E$143,K$3))</f>
        <v/>
      </c>
      <c r="L67" s="86" t="str">
        <f>IF(SUMIFS(Journal!$D$3:$D$143,Journal!$A$3:$A$143,$B67,Journal!$F$3:$F$143,K$3)=0,"",SUMIFS(Journal!$D$3:$D$143,Journal!$A$3:$A$143,$B67,Journal!$F$3:$F$143,K$3))</f>
        <v/>
      </c>
      <c r="M67" s="86" t="str">
        <f>IF(SUMIFS(Journal!$D$3:$D$143,Journal!$A$3:$A$143,$B67,Journal!$E$3:$E$143,M$3)=0,"",SUMIFS(Journal!$D$3:$D$143,Journal!$A$3:$A$143,$B67,Journal!$E$3:$E$143,M$3))</f>
        <v/>
      </c>
      <c r="N67" s="86" t="str">
        <f>IF(SUMIFS(Journal!$D$3:$D$143,Journal!$A$3:$A$143,$B67,Journal!$F$3:$F$143,M$3)=0,"",SUMIFS(Journal!$D$3:$D$143,Journal!$A$3:$A$143,$B67,Journal!$F$3:$F$143,M$3))</f>
        <v/>
      </c>
      <c r="O67" s="86" t="str">
        <f>IF(SUMIFS(Journal!$D$3:$D$143,Journal!$A$3:$A$143,$B67,Journal!$E$3:$E$143,O$3)=0,"",SUMIFS(Journal!$D$3:$D$143,Journal!$A$3:$A$143,$B67,Journal!$E$3:$E$143,O$3))</f>
        <v/>
      </c>
      <c r="P67" s="86" t="str">
        <f>IF(SUMIFS(Journal!$D$3:$D$143,Journal!$A$3:$A$143,$B67,Journal!$F$3:$F$143,O$3)=0,"",SUMIFS(Journal!$D$3:$D$143,Journal!$A$3:$A$143,$B67,Journal!$F$3:$F$143,O$3))</f>
        <v/>
      </c>
      <c r="Q67" s="86" t="str">
        <f>IF(SUMIFS(Journal!$D$3:$D$143,Journal!$A$3:$A$143,$B67,Journal!$E$3:$E$143,Q$3)=0,"",SUMIFS(Journal!$D$3:$D$143,Journal!$A$3:$A$143,$B67,Journal!$E$3:$E$143,Q$3))</f>
        <v/>
      </c>
      <c r="R67" s="86" t="str">
        <f>IF(SUMIFS(Journal!$D$3:$D$143,Journal!$A$3:$A$143,$B67,Journal!$F$3:$F$143,Q$3)=0,"",SUMIFS(Journal!$D$3:$D$143,Journal!$A$3:$A$143,$B67,Journal!$F$3:$F$143,Q$3))</f>
        <v/>
      </c>
      <c r="S67" s="86" t="str">
        <f>IF(SUMIFS(Journal!$D$3:$D$143,Journal!$A$3:$A$143,$B67,Journal!$E$3:$E$143,S$3)=0,"",SUMIFS(Journal!$D$3:$D$143,Journal!$A$3:$A$143,$B67,Journal!$E$3:$E$143,S$3))</f>
        <v/>
      </c>
      <c r="T67" s="86" t="str">
        <f>IF(SUMIFS(Journal!$D$3:$D$143,Journal!$A$3:$A$143,$B67,Journal!$F$3:$F$143,S$3)=0,"",SUMIFS(Journal!$D$3:$D$143,Journal!$A$3:$A$143,$B67,Journal!$F$3:$F$143,S$3))</f>
        <v/>
      </c>
      <c r="U67" s="86" t="str">
        <f>IF(SUMIFS(Journal!$D$3:$D$143,Journal!$A$3:$A$143,$B67,Journal!$E$3:$E$143,U$3)=0,"",SUMIFS(Journal!$D$3:$D$143,Journal!$A$3:$A$143,$B67,Journal!$E$3:$E$143,U$3))</f>
        <v/>
      </c>
      <c r="V67" s="86" t="str">
        <f>IF(SUMIFS(Journal!$D$3:$D$143,Journal!$A$3:$A$143,$B67,Journal!$F$3:$F$143,U$3)=0,"",SUMIFS(Journal!$D$3:$D$143,Journal!$A$3:$A$143,$B67,Journal!$F$3:$F$143,U$3))</f>
        <v/>
      </c>
      <c r="W67" s="86" t="str">
        <f>IF(SUMIFS(Journal!$D$3:$D$143,Journal!$A$3:$A$143,$B67,Journal!$E$3:$E$143,W$3)=0,"",SUMIFS(Journal!$D$3:$D$143,Journal!$A$3:$A$143,$B67,Journal!$E$3:$E$143,W$3))</f>
        <v/>
      </c>
      <c r="X67" s="86" t="str">
        <f>IF(SUMIFS(Journal!$D$3:$D$143,Journal!$A$3:$A$143,$B67,Journal!$F$3:$F$143,W$3)=0,"",SUMIFS(Journal!$D$3:$D$143,Journal!$A$3:$A$143,$B67,Journal!$F$3:$F$143,W$3))</f>
        <v/>
      </c>
      <c r="Y67" s="86" t="str">
        <f>IF(SUMIFS(Journal!$D$3:$D$143,Journal!$A$3:$A$143,$B67,Journal!$E$3:$E$143,Y$3)=0,"",SUMIFS(Journal!$D$3:$D$143,Journal!$A$3:$A$143,$B67,Journal!$E$3:$E$143,Y$3))</f>
        <v/>
      </c>
      <c r="Z67" s="86" t="str">
        <f>IF(SUMIFS(Journal!$D$3:$D$143,Journal!$A$3:$A$143,$B67,Journal!$F$3:$F$143,Y$3)=0,"",SUMIFS(Journal!$D$3:$D$143,Journal!$A$3:$A$143,$B67,Journal!$F$3:$F$143,Y$3))</f>
        <v/>
      </c>
      <c r="AA67" s="86" t="str">
        <f>IF(SUMIFS(Journal!$D$3:$D$143,Journal!$A$3:$A$143,$B67,Journal!$E$3:$E$143,AA$3)=0,"",SUMIFS(Journal!$D$3:$D$143,Journal!$A$3:$A$143,$B67,Journal!$E$3:$E$143,AA$3))</f>
        <v/>
      </c>
      <c r="AB67" s="86" t="str">
        <f>IF(SUMIFS(Journal!$D$3:$D$143,Journal!$A$3:$A$143,$B67,Journal!$F$3:$F$143,AA$3)=0,"",SUMIFS(Journal!$D$3:$D$143,Journal!$A$3:$A$143,$B67,Journal!$F$3:$F$143,AA$3))</f>
        <v/>
      </c>
      <c r="AC67" s="86" t="str">
        <f>IF(SUMIFS(Journal!$D$3:$D$143,Journal!$A$3:$A$143,$B67,Journal!$E$3:$E$143,AC$3)=0,"",SUMIFS(Journal!$D$3:$D$143,Journal!$A$3:$A$143,$B67,Journal!$E$3:$E$143,AC$3))</f>
        <v/>
      </c>
      <c r="AD67" s="86" t="str">
        <f>IF(SUMIFS(Journal!$D$3:$D$143,Journal!$A$3:$A$143,$B67,Journal!$F$3:$F$143,AC$3)=0,"",SUMIFS(Journal!$D$3:$D$143,Journal!$A$3:$A$143,$B67,Journal!$F$3:$F$143,AC$3))</f>
        <v/>
      </c>
      <c r="AE67" s="86" t="str">
        <f>IF(SUMIFS(Journal!$D$3:$D$143,Journal!$A$3:$A$143,$B67,Journal!$E$3:$E$143,AE$3)=0,"",SUMIFS(Journal!$D$3:$D$143,Journal!$A$3:$A$143,$B67,Journal!$E$3:$E$143,AE$3))</f>
        <v/>
      </c>
      <c r="AF67" s="86" t="str">
        <f>IF(SUMIFS(Journal!$D$3:$D$143,Journal!$A$3:$A$143,$B67,Journal!$F$3:$F$143,AE$3)=0,"",SUMIFS(Journal!$D$3:$D$143,Journal!$A$3:$A$143,$B67,Journal!$F$3:$F$143,AE$3))</f>
        <v/>
      </c>
      <c r="AG67" s="86" t="str">
        <f>IF(SUMIFS(Journal!$D$3:$D$143,Journal!$A$3:$A$143,$B67,Journal!$E$3:$E$143,AG$3)=0,"",SUMIFS(Journal!$D$3:$D$143,Journal!$A$3:$A$143,$B67,Journal!$E$3:$E$143,AG$3))</f>
        <v/>
      </c>
      <c r="AH67" s="86" t="str">
        <f>IF(SUMIFS(Journal!$D$3:$D$143,Journal!$A$3:$A$143,$B67,Journal!$F$3:$F$143,AG$3)=0,"",SUMIFS(Journal!$D$3:$D$143,Journal!$A$3:$A$143,$B67,Journal!$F$3:$F$143,AG$3))</f>
        <v/>
      </c>
      <c r="AI67" s="86" t="str">
        <f>IF(SUMIFS(Journal!$D$3:$D$143,Journal!$A$3:$A$143,$B67,Journal!$E$3:$E$143,AI$3)=0,"",SUMIFS(Journal!$D$3:$D$143,Journal!$A$3:$A$143,$B67,Journal!$E$3:$E$143,AI$3))</f>
        <v/>
      </c>
      <c r="AJ67" s="86" t="str">
        <f>IF(SUMIFS(Journal!$D$3:$D$143,Journal!$A$3:$A$143,$B67,Journal!$F$3:$F$143,AI$3)=0,"",SUMIFS(Journal!$D$3:$D$143,Journal!$A$3:$A$143,$B67,Journal!$F$3:$F$143,AI$3))</f>
        <v/>
      </c>
      <c r="AK67" s="86" t="str">
        <f>IF(SUMIFS(Journal!$D$3:$D$143,Journal!$A$3:$A$143,$B67,Journal!$E$3:$E$143,AK$3)=0,"",SUMIFS(Journal!$D$3:$D$143,Journal!$A$3:$A$143,$B67,Journal!$E$3:$E$143,AK$3))</f>
        <v/>
      </c>
      <c r="AL67" s="86" t="str">
        <f>IF(SUMIFS(Journal!$D$3:$D$143,Journal!$A$3:$A$143,$B67,Journal!$F$3:$F$143,AK$3)=0,"",SUMIFS(Journal!$D$3:$D$143,Journal!$A$3:$A$143,$B67,Journal!$F$3:$F$143,AK$3))</f>
        <v/>
      </c>
      <c r="AM67" s="86" t="str">
        <f>IF(SUMIFS(Journal!$D$3:$D$143,Journal!$A$3:$A$143,$B67,Journal!$E$3:$E$143,AM$3)=0,"",SUMIFS(Journal!$D$3:$D$143,Journal!$A$3:$A$143,$B67,Journal!$E$3:$E$143,AM$3))</f>
        <v/>
      </c>
      <c r="AN67" s="86" t="str">
        <f>IF(SUMIFS(Journal!$D$3:$D$143,Journal!$A$3:$A$143,$B67,Journal!$F$3:$F$143,AM$3)=0,"",SUMIFS(Journal!$D$3:$D$143,Journal!$A$3:$A$143,$B67,Journal!$F$3:$F$143,AM$3))</f>
        <v/>
      </c>
      <c r="AO67" s="86" t="str">
        <f>IF(SUMIFS(Journal!$D$3:$D$143,Journal!$A$3:$A$143,$B67,Journal!$E$3:$E$143,AO$3)=0,"",SUMIFS(Journal!$D$3:$D$143,Journal!$A$3:$A$143,$B67,Journal!$E$3:$E$143,AO$3))</f>
        <v/>
      </c>
      <c r="AP67" s="86" t="str">
        <f>IF(SUMIFS(Journal!$D$3:$D$143,Journal!$A$3:$A$143,$B67,Journal!$F$3:$F$143,AO$3)=0,"",SUMIFS(Journal!$D$3:$D$143,Journal!$A$3:$A$143,$B67,Journal!$F$3:$F$143,AO$3))</f>
        <v/>
      </c>
      <c r="AQ67" s="86" t="str">
        <f>IF(SUMIFS(Journal!$D$3:$D$143,Journal!$A$3:$A$143,$B67,Journal!$E$3:$E$143,AQ$3)=0,"",SUMIFS(Journal!$D$3:$D$143,Journal!$A$3:$A$143,$B67,Journal!$E$3:$E$143,AQ$3))</f>
        <v/>
      </c>
      <c r="AR67" s="86" t="str">
        <f>IF(SUMIFS(Journal!$D$3:$D$143,Journal!$A$3:$A$143,$B67,Journal!$F$3:$F$143,AQ$3)=0,"",SUMIFS(Journal!$D$3:$D$143,Journal!$A$3:$A$143,$B67,Journal!$F$3:$F$143,AQ$3))</f>
        <v/>
      </c>
      <c r="AS67" s="86" t="str">
        <f>IF(SUMIFS(Journal!$D$3:$D$143,Journal!$A$3:$A$143,$B67,Journal!$E$3:$E$143,AS$3)=0,"",SUMIFS(Journal!$D$3:$D$143,Journal!$A$3:$A$143,$B67,Journal!$E$3:$E$143,AS$3))</f>
        <v/>
      </c>
      <c r="AT67" s="86" t="str">
        <f>IF(SUMIFS(Journal!$D$3:$D$143,Journal!$A$3:$A$143,$B67,Journal!$F$3:$F$143,AS$3)=0,"",SUMIFS(Journal!$D$3:$D$143,Journal!$A$3:$A$143,$B67,Journal!$F$3:$F$143,AS$3))</f>
        <v/>
      </c>
      <c r="AU67" s="86">
        <f>IF(SUMIFS(Journal!$D$3:$D$143,Journal!$A$3:$A$143,$B67,Journal!$E$3:$E$143,AU$3)=0,"",SUMIFS(Journal!$D$3:$D$143,Journal!$A$3:$A$143,$B67,Journal!$E$3:$E$143,AU$3))</f>
        <v>3200</v>
      </c>
      <c r="AV67" s="86" t="str">
        <f>IF(SUMIFS(Journal!$D$3:$D$143,Journal!$A$3:$A$143,$B67,Journal!$F$3:$F$143,AU$3)=0,"",SUMIFS(Journal!$D$3:$D$143,Journal!$A$3:$A$143,$B67,Journal!$F$3:$F$143,AU$3))</f>
        <v/>
      </c>
      <c r="AW67" s="86">
        <f>IF(SUMIFS(Journal!$D$3:$D$143,Journal!$A$3:$A$143,$B67,Journal!$E$3:$E$143,AW$3)=0,"",SUMIFS(Journal!$D$3:$D$143,Journal!$A$3:$A$143,$B67,Journal!$E$3:$E$143,AW$3))</f>
        <v>720</v>
      </c>
      <c r="AX67" s="86" t="str">
        <f>IF(SUMIFS(Journal!$D$3:$D$143,Journal!$A$3:$A$143,$B67,Journal!$F$3:$F$143,AW$3)=0,"",SUMIFS(Journal!$D$3:$D$143,Journal!$A$3:$A$143,$B67,Journal!$F$3:$F$143,AW$3))</f>
        <v/>
      </c>
      <c r="AY67" s="86" t="str">
        <f>IF(SUMIFS(Journal!$D$3:$D$143,Journal!$A$3:$A$143,$B67,Journal!$E$3:$E$143,AY$3)=0,"",SUMIFS(Journal!$D$3:$D$143,Journal!$A$3:$A$143,$B67,Journal!$E$3:$E$143,AY$3))</f>
        <v/>
      </c>
      <c r="AZ67" s="86" t="str">
        <f>IF(SUMIFS(Journal!$D$3:$D$143,Journal!$A$3:$A$143,$B67,Journal!$F$3:$F$143,AY$3)=0,"",SUMIFS(Journal!$D$3:$D$143,Journal!$A$3:$A$143,$B67,Journal!$F$3:$F$143,AY$3))</f>
        <v/>
      </c>
      <c r="BA67" s="86" t="str">
        <f>IF(SUMIFS(Journal!$D$3:$D$143,Journal!$A$3:$A$143,$B67,Journal!$E$3:$E$143,BA$3)=0,"",SUMIFS(Journal!$D$3:$D$143,Journal!$A$3:$A$143,$B67,Journal!$E$3:$E$143,BA$3))</f>
        <v/>
      </c>
      <c r="BB67" s="86" t="str">
        <f>IF(SUMIFS(Journal!$D$3:$D$143,Journal!$A$3:$A$143,$B67,Journal!$F$3:$F$143,BA$3)=0,"",SUMIFS(Journal!$D$3:$D$143,Journal!$A$3:$A$143,$B67,Journal!$F$3:$F$143,BA$3))</f>
        <v/>
      </c>
    </row>
    <row r="68">
      <c r="A68" s="84">
        <f>VLOOKUP(B68,Journal!$A$3:$C$143,2,FALSE)</f>
        <v>45460</v>
      </c>
      <c r="B68" s="85" t="s">
        <v>452</v>
      </c>
      <c r="C68" s="86" t="str">
        <f>VLOOKUP(B68,Journal!$A$3:$C$143,3,FALSE)</f>
        <v>Fleet service and dispatch</v>
      </c>
      <c r="D68" s="86">
        <f>SUMIF(Journal!$A$3:$A$143,B68,Journal!$D$3:$D$143)</f>
        <v>2880</v>
      </c>
      <c r="E68" s="86" t="str">
        <f>IF(SUMIFS(Journal!$D$3:$D$143,Journal!$A$3:$A$143,$B68,Journal!$E$3:$E$143,E$3)=0,"",SUMIFS(Journal!$D$3:$D$143,Journal!$A$3:$A$143,$B68,Journal!$E$3:$E$143,E$3))</f>
        <v/>
      </c>
      <c r="F68" s="86">
        <f>IF(SUMIFS(Journal!$D$3:$D$143,Journal!$A$3:$A$143,$B68,Journal!$F$3:$F$143,E$3)=0,"",SUMIFS(Journal!$D$3:$D$143,Journal!$A$3:$A$143,$B68,Journal!$F$3:$F$143,E$3))</f>
        <v>2880</v>
      </c>
      <c r="G68" s="86" t="str">
        <f>IF(SUMIFS(Journal!$D$3:$D$143,Journal!$A$3:$A$143,$B68,Journal!$E$3:$E$143,G$3)=0,"",SUMIFS(Journal!$D$3:$D$143,Journal!$A$3:$A$143,$B68,Journal!$E$3:$E$143,G$3))</f>
        <v/>
      </c>
      <c r="H68" s="86" t="str">
        <f>IF(SUMIFS(Journal!$D$3:$D$143,Journal!$A$3:$A$143,$B68,Journal!$F$3:$F$143,G$3)=0,"",SUMIFS(Journal!$D$3:$D$143,Journal!$A$3:$A$143,$B68,Journal!$F$3:$F$143,G$3))</f>
        <v/>
      </c>
      <c r="I68" s="86" t="str">
        <f>IF(SUMIFS(Journal!$D$3:$D$143,Journal!$A$3:$A$143,$B68,Journal!$E$3:$E$143,I$3)=0,"",SUMIFS(Journal!$D$3:$D$143,Journal!$A$3:$A$143,$B68,Journal!$E$3:$E$143,I$3))</f>
        <v/>
      </c>
      <c r="J68" s="86" t="str">
        <f>IF(SUMIFS(Journal!$D$3:$D$143,Journal!$A$3:$A$143,$B68,Journal!$F$3:$F$143,I$3)=0,"",SUMIFS(Journal!$D$3:$D$143,Journal!$A$3:$A$143,$B68,Journal!$F$3:$F$143,I$3))</f>
        <v/>
      </c>
      <c r="K68" s="86" t="str">
        <f>IF(SUMIFS(Journal!$D$3:$D$143,Journal!$A$3:$A$143,$B68,Journal!$E$3:$E$143,K$3)=0,"",SUMIFS(Journal!$D$3:$D$143,Journal!$A$3:$A$143,$B68,Journal!$E$3:$E$143,K$3))</f>
        <v/>
      </c>
      <c r="L68" s="86" t="str">
        <f>IF(SUMIFS(Journal!$D$3:$D$143,Journal!$A$3:$A$143,$B68,Journal!$F$3:$F$143,K$3)=0,"",SUMIFS(Journal!$D$3:$D$143,Journal!$A$3:$A$143,$B68,Journal!$F$3:$F$143,K$3))</f>
        <v/>
      </c>
      <c r="M68" s="86" t="str">
        <f>IF(SUMIFS(Journal!$D$3:$D$143,Journal!$A$3:$A$143,$B68,Journal!$E$3:$E$143,M$3)=0,"",SUMIFS(Journal!$D$3:$D$143,Journal!$A$3:$A$143,$B68,Journal!$E$3:$E$143,M$3))</f>
        <v/>
      </c>
      <c r="N68" s="86" t="str">
        <f>IF(SUMIFS(Journal!$D$3:$D$143,Journal!$A$3:$A$143,$B68,Journal!$F$3:$F$143,M$3)=0,"",SUMIFS(Journal!$D$3:$D$143,Journal!$A$3:$A$143,$B68,Journal!$F$3:$F$143,M$3))</f>
        <v/>
      </c>
      <c r="O68" s="86" t="str">
        <f>IF(SUMIFS(Journal!$D$3:$D$143,Journal!$A$3:$A$143,$B68,Journal!$E$3:$E$143,O$3)=0,"",SUMIFS(Journal!$D$3:$D$143,Journal!$A$3:$A$143,$B68,Journal!$E$3:$E$143,O$3))</f>
        <v/>
      </c>
      <c r="P68" s="86" t="str">
        <f>IF(SUMIFS(Journal!$D$3:$D$143,Journal!$A$3:$A$143,$B68,Journal!$F$3:$F$143,O$3)=0,"",SUMIFS(Journal!$D$3:$D$143,Journal!$A$3:$A$143,$B68,Journal!$F$3:$F$143,O$3))</f>
        <v/>
      </c>
      <c r="Q68" s="86" t="str">
        <f>IF(SUMIFS(Journal!$D$3:$D$143,Journal!$A$3:$A$143,$B68,Journal!$E$3:$E$143,Q$3)=0,"",SUMIFS(Journal!$D$3:$D$143,Journal!$A$3:$A$143,$B68,Journal!$E$3:$E$143,Q$3))</f>
        <v/>
      </c>
      <c r="R68" s="86" t="str">
        <f>IF(SUMIFS(Journal!$D$3:$D$143,Journal!$A$3:$A$143,$B68,Journal!$F$3:$F$143,Q$3)=0,"",SUMIFS(Journal!$D$3:$D$143,Journal!$A$3:$A$143,$B68,Journal!$F$3:$F$143,Q$3))</f>
        <v/>
      </c>
      <c r="S68" s="86" t="str">
        <f>IF(SUMIFS(Journal!$D$3:$D$143,Journal!$A$3:$A$143,$B68,Journal!$E$3:$E$143,S$3)=0,"",SUMIFS(Journal!$D$3:$D$143,Journal!$A$3:$A$143,$B68,Journal!$E$3:$E$143,S$3))</f>
        <v/>
      </c>
      <c r="T68" s="86" t="str">
        <f>IF(SUMIFS(Journal!$D$3:$D$143,Journal!$A$3:$A$143,$B68,Journal!$F$3:$F$143,S$3)=0,"",SUMIFS(Journal!$D$3:$D$143,Journal!$A$3:$A$143,$B68,Journal!$F$3:$F$143,S$3))</f>
        <v/>
      </c>
      <c r="U68" s="86" t="str">
        <f>IF(SUMIFS(Journal!$D$3:$D$143,Journal!$A$3:$A$143,$B68,Journal!$E$3:$E$143,U$3)=0,"",SUMIFS(Journal!$D$3:$D$143,Journal!$A$3:$A$143,$B68,Journal!$E$3:$E$143,U$3))</f>
        <v/>
      </c>
      <c r="V68" s="86" t="str">
        <f>IF(SUMIFS(Journal!$D$3:$D$143,Journal!$A$3:$A$143,$B68,Journal!$F$3:$F$143,U$3)=0,"",SUMIFS(Journal!$D$3:$D$143,Journal!$A$3:$A$143,$B68,Journal!$F$3:$F$143,U$3))</f>
        <v/>
      </c>
      <c r="W68" s="86" t="str">
        <f>IF(SUMIFS(Journal!$D$3:$D$143,Journal!$A$3:$A$143,$B68,Journal!$E$3:$E$143,W$3)=0,"",SUMIFS(Journal!$D$3:$D$143,Journal!$A$3:$A$143,$B68,Journal!$E$3:$E$143,W$3))</f>
        <v/>
      </c>
      <c r="X68" s="86" t="str">
        <f>IF(SUMIFS(Journal!$D$3:$D$143,Journal!$A$3:$A$143,$B68,Journal!$F$3:$F$143,W$3)=0,"",SUMIFS(Journal!$D$3:$D$143,Journal!$A$3:$A$143,$B68,Journal!$F$3:$F$143,W$3))</f>
        <v/>
      </c>
      <c r="Y68" s="86" t="str">
        <f>IF(SUMIFS(Journal!$D$3:$D$143,Journal!$A$3:$A$143,$B68,Journal!$E$3:$E$143,Y$3)=0,"",SUMIFS(Journal!$D$3:$D$143,Journal!$A$3:$A$143,$B68,Journal!$E$3:$E$143,Y$3))</f>
        <v/>
      </c>
      <c r="Z68" s="86" t="str">
        <f>IF(SUMIFS(Journal!$D$3:$D$143,Journal!$A$3:$A$143,$B68,Journal!$F$3:$F$143,Y$3)=0,"",SUMIFS(Journal!$D$3:$D$143,Journal!$A$3:$A$143,$B68,Journal!$F$3:$F$143,Y$3))</f>
        <v/>
      </c>
      <c r="AA68" s="86" t="str">
        <f>IF(SUMIFS(Journal!$D$3:$D$143,Journal!$A$3:$A$143,$B68,Journal!$E$3:$E$143,AA$3)=0,"",SUMIFS(Journal!$D$3:$D$143,Journal!$A$3:$A$143,$B68,Journal!$E$3:$E$143,AA$3))</f>
        <v/>
      </c>
      <c r="AB68" s="86" t="str">
        <f>IF(SUMIFS(Journal!$D$3:$D$143,Journal!$A$3:$A$143,$B68,Journal!$F$3:$F$143,AA$3)=0,"",SUMIFS(Journal!$D$3:$D$143,Journal!$A$3:$A$143,$B68,Journal!$F$3:$F$143,AA$3))</f>
        <v/>
      </c>
      <c r="AC68" s="86" t="str">
        <f>IF(SUMIFS(Journal!$D$3:$D$143,Journal!$A$3:$A$143,$B68,Journal!$E$3:$E$143,AC$3)=0,"",SUMIFS(Journal!$D$3:$D$143,Journal!$A$3:$A$143,$B68,Journal!$E$3:$E$143,AC$3))</f>
        <v/>
      </c>
      <c r="AD68" s="86" t="str">
        <f>IF(SUMIFS(Journal!$D$3:$D$143,Journal!$A$3:$A$143,$B68,Journal!$F$3:$F$143,AC$3)=0,"",SUMIFS(Journal!$D$3:$D$143,Journal!$A$3:$A$143,$B68,Journal!$F$3:$F$143,AC$3))</f>
        <v/>
      </c>
      <c r="AE68" s="86" t="str">
        <f>IF(SUMIFS(Journal!$D$3:$D$143,Journal!$A$3:$A$143,$B68,Journal!$E$3:$E$143,AE$3)=0,"",SUMIFS(Journal!$D$3:$D$143,Journal!$A$3:$A$143,$B68,Journal!$E$3:$E$143,AE$3))</f>
        <v/>
      </c>
      <c r="AF68" s="86" t="str">
        <f>IF(SUMIFS(Journal!$D$3:$D$143,Journal!$A$3:$A$143,$B68,Journal!$F$3:$F$143,AE$3)=0,"",SUMIFS(Journal!$D$3:$D$143,Journal!$A$3:$A$143,$B68,Journal!$F$3:$F$143,AE$3))</f>
        <v/>
      </c>
      <c r="AG68" s="86" t="str">
        <f>IF(SUMIFS(Journal!$D$3:$D$143,Journal!$A$3:$A$143,$B68,Journal!$E$3:$E$143,AG$3)=0,"",SUMIFS(Journal!$D$3:$D$143,Journal!$A$3:$A$143,$B68,Journal!$E$3:$E$143,AG$3))</f>
        <v/>
      </c>
      <c r="AH68" s="86" t="str">
        <f>IF(SUMIFS(Journal!$D$3:$D$143,Journal!$A$3:$A$143,$B68,Journal!$F$3:$F$143,AG$3)=0,"",SUMIFS(Journal!$D$3:$D$143,Journal!$A$3:$A$143,$B68,Journal!$F$3:$F$143,AG$3))</f>
        <v/>
      </c>
      <c r="AI68" s="86" t="str">
        <f>IF(SUMIFS(Journal!$D$3:$D$143,Journal!$A$3:$A$143,$B68,Journal!$E$3:$E$143,AI$3)=0,"",SUMIFS(Journal!$D$3:$D$143,Journal!$A$3:$A$143,$B68,Journal!$E$3:$E$143,AI$3))</f>
        <v/>
      </c>
      <c r="AJ68" s="86" t="str">
        <f>IF(SUMIFS(Journal!$D$3:$D$143,Journal!$A$3:$A$143,$B68,Journal!$F$3:$F$143,AI$3)=0,"",SUMIFS(Journal!$D$3:$D$143,Journal!$A$3:$A$143,$B68,Journal!$F$3:$F$143,AI$3))</f>
        <v/>
      </c>
      <c r="AK68" s="86" t="str">
        <f>IF(SUMIFS(Journal!$D$3:$D$143,Journal!$A$3:$A$143,$B68,Journal!$E$3:$E$143,AK$3)=0,"",SUMIFS(Journal!$D$3:$D$143,Journal!$A$3:$A$143,$B68,Journal!$E$3:$E$143,AK$3))</f>
        <v/>
      </c>
      <c r="AL68" s="86" t="str">
        <f>IF(SUMIFS(Journal!$D$3:$D$143,Journal!$A$3:$A$143,$B68,Journal!$F$3:$F$143,AK$3)=0,"",SUMIFS(Journal!$D$3:$D$143,Journal!$A$3:$A$143,$B68,Journal!$F$3:$F$143,AK$3))</f>
        <v/>
      </c>
      <c r="AM68" s="86" t="str">
        <f>IF(SUMIFS(Journal!$D$3:$D$143,Journal!$A$3:$A$143,$B68,Journal!$E$3:$E$143,AM$3)=0,"",SUMIFS(Journal!$D$3:$D$143,Journal!$A$3:$A$143,$B68,Journal!$E$3:$E$143,AM$3))</f>
        <v/>
      </c>
      <c r="AN68" s="86" t="str">
        <f>IF(SUMIFS(Journal!$D$3:$D$143,Journal!$A$3:$A$143,$B68,Journal!$F$3:$F$143,AM$3)=0,"",SUMIFS(Journal!$D$3:$D$143,Journal!$A$3:$A$143,$B68,Journal!$F$3:$F$143,AM$3))</f>
        <v/>
      </c>
      <c r="AO68" s="86" t="str">
        <f>IF(SUMIFS(Journal!$D$3:$D$143,Journal!$A$3:$A$143,$B68,Journal!$E$3:$E$143,AO$3)=0,"",SUMIFS(Journal!$D$3:$D$143,Journal!$A$3:$A$143,$B68,Journal!$E$3:$E$143,AO$3))</f>
        <v/>
      </c>
      <c r="AP68" s="86" t="str">
        <f>IF(SUMIFS(Journal!$D$3:$D$143,Journal!$A$3:$A$143,$B68,Journal!$F$3:$F$143,AO$3)=0,"",SUMIFS(Journal!$D$3:$D$143,Journal!$A$3:$A$143,$B68,Journal!$F$3:$F$143,AO$3))</f>
        <v/>
      </c>
      <c r="AQ68" s="86" t="str">
        <f>IF(SUMIFS(Journal!$D$3:$D$143,Journal!$A$3:$A$143,$B68,Journal!$E$3:$E$143,AQ$3)=0,"",SUMIFS(Journal!$D$3:$D$143,Journal!$A$3:$A$143,$B68,Journal!$E$3:$E$143,AQ$3))</f>
        <v/>
      </c>
      <c r="AR68" s="86" t="str">
        <f>IF(SUMIFS(Journal!$D$3:$D$143,Journal!$A$3:$A$143,$B68,Journal!$F$3:$F$143,AQ$3)=0,"",SUMIFS(Journal!$D$3:$D$143,Journal!$A$3:$A$143,$B68,Journal!$F$3:$F$143,AQ$3))</f>
        <v/>
      </c>
      <c r="AS68" s="86" t="str">
        <f>IF(SUMIFS(Journal!$D$3:$D$143,Journal!$A$3:$A$143,$B68,Journal!$E$3:$E$143,AS$3)=0,"",SUMIFS(Journal!$D$3:$D$143,Journal!$A$3:$A$143,$B68,Journal!$E$3:$E$143,AS$3))</f>
        <v/>
      </c>
      <c r="AT68" s="86" t="str">
        <f>IF(SUMIFS(Journal!$D$3:$D$143,Journal!$A$3:$A$143,$B68,Journal!$F$3:$F$143,AS$3)=0,"",SUMIFS(Journal!$D$3:$D$143,Journal!$A$3:$A$143,$B68,Journal!$F$3:$F$143,AS$3))</f>
        <v/>
      </c>
      <c r="AU68" s="86">
        <f>IF(SUMIFS(Journal!$D$3:$D$143,Journal!$A$3:$A$143,$B68,Journal!$E$3:$E$143,AU$3)=0,"",SUMIFS(Journal!$D$3:$D$143,Journal!$A$3:$A$143,$B68,Journal!$E$3:$E$143,AU$3))</f>
        <v>2200</v>
      </c>
      <c r="AV68" s="86" t="str">
        <f>IF(SUMIFS(Journal!$D$3:$D$143,Journal!$A$3:$A$143,$B68,Journal!$F$3:$F$143,AU$3)=0,"",SUMIFS(Journal!$D$3:$D$143,Journal!$A$3:$A$143,$B68,Journal!$F$3:$F$143,AU$3))</f>
        <v/>
      </c>
      <c r="AW68" s="86">
        <f>IF(SUMIFS(Journal!$D$3:$D$143,Journal!$A$3:$A$143,$B68,Journal!$E$3:$E$143,AW$3)=0,"",SUMIFS(Journal!$D$3:$D$143,Journal!$A$3:$A$143,$B68,Journal!$E$3:$E$143,AW$3))</f>
        <v>680</v>
      </c>
      <c r="AX68" s="86" t="str">
        <f>IF(SUMIFS(Journal!$D$3:$D$143,Journal!$A$3:$A$143,$B68,Journal!$F$3:$F$143,AW$3)=0,"",SUMIFS(Journal!$D$3:$D$143,Journal!$A$3:$A$143,$B68,Journal!$F$3:$F$143,AW$3))</f>
        <v/>
      </c>
      <c r="AY68" s="86" t="str">
        <f>IF(SUMIFS(Journal!$D$3:$D$143,Journal!$A$3:$A$143,$B68,Journal!$E$3:$E$143,AY$3)=0,"",SUMIFS(Journal!$D$3:$D$143,Journal!$A$3:$A$143,$B68,Journal!$E$3:$E$143,AY$3))</f>
        <v/>
      </c>
      <c r="AZ68" s="86" t="str">
        <f>IF(SUMIFS(Journal!$D$3:$D$143,Journal!$A$3:$A$143,$B68,Journal!$F$3:$F$143,AY$3)=0,"",SUMIFS(Journal!$D$3:$D$143,Journal!$A$3:$A$143,$B68,Journal!$F$3:$F$143,AY$3))</f>
        <v/>
      </c>
      <c r="BA68" s="86" t="str">
        <f>IF(SUMIFS(Journal!$D$3:$D$143,Journal!$A$3:$A$143,$B68,Journal!$E$3:$E$143,BA$3)=0,"",SUMIFS(Journal!$D$3:$D$143,Journal!$A$3:$A$143,$B68,Journal!$E$3:$E$143,BA$3))</f>
        <v/>
      </c>
      <c r="BB68" s="86" t="str">
        <f>IF(SUMIFS(Journal!$D$3:$D$143,Journal!$A$3:$A$143,$B68,Journal!$F$3:$F$143,BA$3)=0,"",SUMIFS(Journal!$D$3:$D$143,Journal!$A$3:$A$143,$B68,Journal!$F$3:$F$143,BA$3))</f>
        <v/>
      </c>
    </row>
    <row r="69">
      <c r="A69" s="84">
        <f>VLOOKUP(B69,Journal!$A$3:$C$143,2,FALSE)</f>
        <v>45461</v>
      </c>
      <c r="B69" s="85" t="s">
        <v>456</v>
      </c>
      <c r="C69" s="86" t="str">
        <f>VLOOKUP(B69,Journal!$A$3:$C$143,3,FALSE)</f>
        <v>Retail camping-supply sales</v>
      </c>
      <c r="D69" s="86">
        <f>SUMIF(Journal!$A$3:$A$143,B69,Journal!$D$3:$D$143)</f>
        <v>14400</v>
      </c>
      <c r="E69" s="86">
        <f>IF(SUMIFS(Journal!$D$3:$D$143,Journal!$A$3:$A$143,$B69,Journal!$E$3:$E$143,E$3)=0,"",SUMIFS(Journal!$D$3:$D$143,Journal!$A$3:$A$143,$B69,Journal!$E$3:$E$143,E$3))</f>
        <v>9000</v>
      </c>
      <c r="F69" s="86" t="str">
        <f>IF(SUMIFS(Journal!$D$3:$D$143,Journal!$A$3:$A$143,$B69,Journal!$F$3:$F$143,E$3)=0,"",SUMIFS(Journal!$D$3:$D$143,Journal!$A$3:$A$143,$B69,Journal!$F$3:$F$143,E$3))</f>
        <v/>
      </c>
      <c r="G69" s="86" t="str">
        <f>IF(SUMIFS(Journal!$D$3:$D$143,Journal!$A$3:$A$143,$B69,Journal!$E$3:$E$143,G$3)=0,"",SUMIFS(Journal!$D$3:$D$143,Journal!$A$3:$A$143,$B69,Journal!$E$3:$E$143,G$3))</f>
        <v/>
      </c>
      <c r="H69" s="86" t="str">
        <f>IF(SUMIFS(Journal!$D$3:$D$143,Journal!$A$3:$A$143,$B69,Journal!$F$3:$F$143,G$3)=0,"",SUMIFS(Journal!$D$3:$D$143,Journal!$A$3:$A$143,$B69,Journal!$F$3:$F$143,G$3))</f>
        <v/>
      </c>
      <c r="I69" s="86" t="str">
        <f>IF(SUMIFS(Journal!$D$3:$D$143,Journal!$A$3:$A$143,$B69,Journal!$E$3:$E$143,I$3)=0,"",SUMIFS(Journal!$D$3:$D$143,Journal!$A$3:$A$143,$B69,Journal!$E$3:$E$143,I$3))</f>
        <v/>
      </c>
      <c r="J69" s="86">
        <f>IF(SUMIFS(Journal!$D$3:$D$143,Journal!$A$3:$A$143,$B69,Journal!$F$3:$F$143,I$3)=0,"",SUMIFS(Journal!$D$3:$D$143,Journal!$A$3:$A$143,$B69,Journal!$F$3:$F$143,I$3))</f>
        <v>5400</v>
      </c>
      <c r="K69" s="86" t="str">
        <f>IF(SUMIFS(Journal!$D$3:$D$143,Journal!$A$3:$A$143,$B69,Journal!$E$3:$E$143,K$3)=0,"",SUMIFS(Journal!$D$3:$D$143,Journal!$A$3:$A$143,$B69,Journal!$E$3:$E$143,K$3))</f>
        <v/>
      </c>
      <c r="L69" s="86" t="str">
        <f>IF(SUMIFS(Journal!$D$3:$D$143,Journal!$A$3:$A$143,$B69,Journal!$F$3:$F$143,K$3)=0,"",SUMIFS(Journal!$D$3:$D$143,Journal!$A$3:$A$143,$B69,Journal!$F$3:$F$143,K$3))</f>
        <v/>
      </c>
      <c r="M69" s="86" t="str">
        <f>IF(SUMIFS(Journal!$D$3:$D$143,Journal!$A$3:$A$143,$B69,Journal!$E$3:$E$143,M$3)=0,"",SUMIFS(Journal!$D$3:$D$143,Journal!$A$3:$A$143,$B69,Journal!$E$3:$E$143,M$3))</f>
        <v/>
      </c>
      <c r="N69" s="86" t="str">
        <f>IF(SUMIFS(Journal!$D$3:$D$143,Journal!$A$3:$A$143,$B69,Journal!$F$3:$F$143,M$3)=0,"",SUMIFS(Journal!$D$3:$D$143,Journal!$A$3:$A$143,$B69,Journal!$F$3:$F$143,M$3))</f>
        <v/>
      </c>
      <c r="O69" s="86" t="str">
        <f>IF(SUMIFS(Journal!$D$3:$D$143,Journal!$A$3:$A$143,$B69,Journal!$E$3:$E$143,O$3)=0,"",SUMIFS(Journal!$D$3:$D$143,Journal!$A$3:$A$143,$B69,Journal!$E$3:$E$143,O$3))</f>
        <v/>
      </c>
      <c r="P69" s="86" t="str">
        <f>IF(SUMIFS(Journal!$D$3:$D$143,Journal!$A$3:$A$143,$B69,Journal!$F$3:$F$143,O$3)=0,"",SUMIFS(Journal!$D$3:$D$143,Journal!$A$3:$A$143,$B69,Journal!$F$3:$F$143,O$3))</f>
        <v/>
      </c>
      <c r="Q69" s="86" t="str">
        <f>IF(SUMIFS(Journal!$D$3:$D$143,Journal!$A$3:$A$143,$B69,Journal!$E$3:$E$143,Q$3)=0,"",SUMIFS(Journal!$D$3:$D$143,Journal!$A$3:$A$143,$B69,Journal!$E$3:$E$143,Q$3))</f>
        <v/>
      </c>
      <c r="R69" s="86" t="str">
        <f>IF(SUMIFS(Journal!$D$3:$D$143,Journal!$A$3:$A$143,$B69,Journal!$F$3:$F$143,Q$3)=0,"",SUMIFS(Journal!$D$3:$D$143,Journal!$A$3:$A$143,$B69,Journal!$F$3:$F$143,Q$3))</f>
        <v/>
      </c>
      <c r="S69" s="86" t="str">
        <f>IF(SUMIFS(Journal!$D$3:$D$143,Journal!$A$3:$A$143,$B69,Journal!$E$3:$E$143,S$3)=0,"",SUMIFS(Journal!$D$3:$D$143,Journal!$A$3:$A$143,$B69,Journal!$E$3:$E$143,S$3))</f>
        <v/>
      </c>
      <c r="T69" s="86" t="str">
        <f>IF(SUMIFS(Journal!$D$3:$D$143,Journal!$A$3:$A$143,$B69,Journal!$F$3:$F$143,S$3)=0,"",SUMIFS(Journal!$D$3:$D$143,Journal!$A$3:$A$143,$B69,Journal!$F$3:$F$143,S$3))</f>
        <v/>
      </c>
      <c r="U69" s="86" t="str">
        <f>IF(SUMIFS(Journal!$D$3:$D$143,Journal!$A$3:$A$143,$B69,Journal!$E$3:$E$143,U$3)=0,"",SUMIFS(Journal!$D$3:$D$143,Journal!$A$3:$A$143,$B69,Journal!$E$3:$E$143,U$3))</f>
        <v/>
      </c>
      <c r="V69" s="86" t="str">
        <f>IF(SUMIFS(Journal!$D$3:$D$143,Journal!$A$3:$A$143,$B69,Journal!$F$3:$F$143,U$3)=0,"",SUMIFS(Journal!$D$3:$D$143,Journal!$A$3:$A$143,$B69,Journal!$F$3:$F$143,U$3))</f>
        <v/>
      </c>
      <c r="W69" s="86" t="str">
        <f>IF(SUMIFS(Journal!$D$3:$D$143,Journal!$A$3:$A$143,$B69,Journal!$E$3:$E$143,W$3)=0,"",SUMIFS(Journal!$D$3:$D$143,Journal!$A$3:$A$143,$B69,Journal!$E$3:$E$143,W$3))</f>
        <v/>
      </c>
      <c r="X69" s="86" t="str">
        <f>IF(SUMIFS(Journal!$D$3:$D$143,Journal!$A$3:$A$143,$B69,Journal!$F$3:$F$143,W$3)=0,"",SUMIFS(Journal!$D$3:$D$143,Journal!$A$3:$A$143,$B69,Journal!$F$3:$F$143,W$3))</f>
        <v/>
      </c>
      <c r="Y69" s="86" t="str">
        <f>IF(SUMIFS(Journal!$D$3:$D$143,Journal!$A$3:$A$143,$B69,Journal!$E$3:$E$143,Y$3)=0,"",SUMIFS(Journal!$D$3:$D$143,Journal!$A$3:$A$143,$B69,Journal!$E$3:$E$143,Y$3))</f>
        <v/>
      </c>
      <c r="Z69" s="86" t="str">
        <f>IF(SUMIFS(Journal!$D$3:$D$143,Journal!$A$3:$A$143,$B69,Journal!$F$3:$F$143,Y$3)=0,"",SUMIFS(Journal!$D$3:$D$143,Journal!$A$3:$A$143,$B69,Journal!$F$3:$F$143,Y$3))</f>
        <v/>
      </c>
      <c r="AA69" s="86" t="str">
        <f>IF(SUMIFS(Journal!$D$3:$D$143,Journal!$A$3:$A$143,$B69,Journal!$E$3:$E$143,AA$3)=0,"",SUMIFS(Journal!$D$3:$D$143,Journal!$A$3:$A$143,$B69,Journal!$E$3:$E$143,AA$3))</f>
        <v/>
      </c>
      <c r="AB69" s="86">
        <f>IF(SUMIFS(Journal!$D$3:$D$143,Journal!$A$3:$A$143,$B69,Journal!$F$3:$F$143,AA$3)=0,"",SUMIFS(Journal!$D$3:$D$143,Journal!$A$3:$A$143,$B69,Journal!$F$3:$F$143,AA$3))</f>
        <v>9000</v>
      </c>
      <c r="AC69" s="86" t="str">
        <f>IF(SUMIFS(Journal!$D$3:$D$143,Journal!$A$3:$A$143,$B69,Journal!$E$3:$E$143,AC$3)=0,"",SUMIFS(Journal!$D$3:$D$143,Journal!$A$3:$A$143,$B69,Journal!$E$3:$E$143,AC$3))</f>
        <v/>
      </c>
      <c r="AD69" s="86" t="str">
        <f>IF(SUMIFS(Journal!$D$3:$D$143,Journal!$A$3:$A$143,$B69,Journal!$F$3:$F$143,AC$3)=0,"",SUMIFS(Journal!$D$3:$D$143,Journal!$A$3:$A$143,$B69,Journal!$F$3:$F$143,AC$3))</f>
        <v/>
      </c>
      <c r="AE69" s="86">
        <f>IF(SUMIFS(Journal!$D$3:$D$143,Journal!$A$3:$A$143,$B69,Journal!$E$3:$E$143,AE$3)=0,"",SUMIFS(Journal!$D$3:$D$143,Journal!$A$3:$A$143,$B69,Journal!$E$3:$E$143,AE$3))</f>
        <v>5400</v>
      </c>
      <c r="AF69" s="86" t="str">
        <f>IF(SUMIFS(Journal!$D$3:$D$143,Journal!$A$3:$A$143,$B69,Journal!$F$3:$F$143,AE$3)=0,"",SUMIFS(Journal!$D$3:$D$143,Journal!$A$3:$A$143,$B69,Journal!$F$3:$F$143,AE$3))</f>
        <v/>
      </c>
      <c r="AG69" s="86" t="str">
        <f>IF(SUMIFS(Journal!$D$3:$D$143,Journal!$A$3:$A$143,$B69,Journal!$E$3:$E$143,AG$3)=0,"",SUMIFS(Journal!$D$3:$D$143,Journal!$A$3:$A$143,$B69,Journal!$E$3:$E$143,AG$3))</f>
        <v/>
      </c>
      <c r="AH69" s="86" t="str">
        <f>IF(SUMIFS(Journal!$D$3:$D$143,Journal!$A$3:$A$143,$B69,Journal!$F$3:$F$143,AG$3)=0,"",SUMIFS(Journal!$D$3:$D$143,Journal!$A$3:$A$143,$B69,Journal!$F$3:$F$143,AG$3))</f>
        <v/>
      </c>
      <c r="AI69" s="86" t="str">
        <f>IF(SUMIFS(Journal!$D$3:$D$143,Journal!$A$3:$A$143,$B69,Journal!$E$3:$E$143,AI$3)=0,"",SUMIFS(Journal!$D$3:$D$143,Journal!$A$3:$A$143,$B69,Journal!$E$3:$E$143,AI$3))</f>
        <v/>
      </c>
      <c r="AJ69" s="86" t="str">
        <f>IF(SUMIFS(Journal!$D$3:$D$143,Journal!$A$3:$A$143,$B69,Journal!$F$3:$F$143,AI$3)=0,"",SUMIFS(Journal!$D$3:$D$143,Journal!$A$3:$A$143,$B69,Journal!$F$3:$F$143,AI$3))</f>
        <v/>
      </c>
      <c r="AK69" s="86" t="str">
        <f>IF(SUMIFS(Journal!$D$3:$D$143,Journal!$A$3:$A$143,$B69,Journal!$E$3:$E$143,AK$3)=0,"",SUMIFS(Journal!$D$3:$D$143,Journal!$A$3:$A$143,$B69,Journal!$E$3:$E$143,AK$3))</f>
        <v/>
      </c>
      <c r="AL69" s="86" t="str">
        <f>IF(SUMIFS(Journal!$D$3:$D$143,Journal!$A$3:$A$143,$B69,Journal!$F$3:$F$143,AK$3)=0,"",SUMIFS(Journal!$D$3:$D$143,Journal!$A$3:$A$143,$B69,Journal!$F$3:$F$143,AK$3))</f>
        <v/>
      </c>
      <c r="AM69" s="86" t="str">
        <f>IF(SUMIFS(Journal!$D$3:$D$143,Journal!$A$3:$A$143,$B69,Journal!$E$3:$E$143,AM$3)=0,"",SUMIFS(Journal!$D$3:$D$143,Journal!$A$3:$A$143,$B69,Journal!$E$3:$E$143,AM$3))</f>
        <v/>
      </c>
      <c r="AN69" s="86" t="str">
        <f>IF(SUMIFS(Journal!$D$3:$D$143,Journal!$A$3:$A$143,$B69,Journal!$F$3:$F$143,AM$3)=0,"",SUMIFS(Journal!$D$3:$D$143,Journal!$A$3:$A$143,$B69,Journal!$F$3:$F$143,AM$3))</f>
        <v/>
      </c>
      <c r="AO69" s="86" t="str">
        <f>IF(SUMIFS(Journal!$D$3:$D$143,Journal!$A$3:$A$143,$B69,Journal!$E$3:$E$143,AO$3)=0,"",SUMIFS(Journal!$D$3:$D$143,Journal!$A$3:$A$143,$B69,Journal!$E$3:$E$143,AO$3))</f>
        <v/>
      </c>
      <c r="AP69" s="86" t="str">
        <f>IF(SUMIFS(Journal!$D$3:$D$143,Journal!$A$3:$A$143,$B69,Journal!$F$3:$F$143,AO$3)=0,"",SUMIFS(Journal!$D$3:$D$143,Journal!$A$3:$A$143,$B69,Journal!$F$3:$F$143,AO$3))</f>
        <v/>
      </c>
      <c r="AQ69" s="86" t="str">
        <f>IF(SUMIFS(Journal!$D$3:$D$143,Journal!$A$3:$A$143,$B69,Journal!$E$3:$E$143,AQ$3)=0,"",SUMIFS(Journal!$D$3:$D$143,Journal!$A$3:$A$143,$B69,Journal!$E$3:$E$143,AQ$3))</f>
        <v/>
      </c>
      <c r="AR69" s="86" t="str">
        <f>IF(SUMIFS(Journal!$D$3:$D$143,Journal!$A$3:$A$143,$B69,Journal!$F$3:$F$143,AQ$3)=0,"",SUMIFS(Journal!$D$3:$D$143,Journal!$A$3:$A$143,$B69,Journal!$F$3:$F$143,AQ$3))</f>
        <v/>
      </c>
      <c r="AS69" s="86" t="str">
        <f>IF(SUMIFS(Journal!$D$3:$D$143,Journal!$A$3:$A$143,$B69,Journal!$E$3:$E$143,AS$3)=0,"",SUMIFS(Journal!$D$3:$D$143,Journal!$A$3:$A$143,$B69,Journal!$E$3:$E$143,AS$3))</f>
        <v/>
      </c>
      <c r="AT69" s="86" t="str">
        <f>IF(SUMIFS(Journal!$D$3:$D$143,Journal!$A$3:$A$143,$B69,Journal!$F$3:$F$143,AS$3)=0,"",SUMIFS(Journal!$D$3:$D$143,Journal!$A$3:$A$143,$B69,Journal!$F$3:$F$143,AS$3))</f>
        <v/>
      </c>
      <c r="AU69" s="86" t="str">
        <f>IF(SUMIFS(Journal!$D$3:$D$143,Journal!$A$3:$A$143,$B69,Journal!$E$3:$E$143,AU$3)=0,"",SUMIFS(Journal!$D$3:$D$143,Journal!$A$3:$A$143,$B69,Journal!$E$3:$E$143,AU$3))</f>
        <v/>
      </c>
      <c r="AV69" s="86" t="str">
        <f>IF(SUMIFS(Journal!$D$3:$D$143,Journal!$A$3:$A$143,$B69,Journal!$F$3:$F$143,AU$3)=0,"",SUMIFS(Journal!$D$3:$D$143,Journal!$A$3:$A$143,$B69,Journal!$F$3:$F$143,AU$3))</f>
        <v/>
      </c>
      <c r="AW69" s="86" t="str">
        <f>IF(SUMIFS(Journal!$D$3:$D$143,Journal!$A$3:$A$143,$B69,Journal!$E$3:$E$143,AW$3)=0,"",SUMIFS(Journal!$D$3:$D$143,Journal!$A$3:$A$143,$B69,Journal!$E$3:$E$143,AW$3))</f>
        <v/>
      </c>
      <c r="AX69" s="86" t="str">
        <f>IF(SUMIFS(Journal!$D$3:$D$143,Journal!$A$3:$A$143,$B69,Journal!$F$3:$F$143,AW$3)=0,"",SUMIFS(Journal!$D$3:$D$143,Journal!$A$3:$A$143,$B69,Journal!$F$3:$F$143,AW$3))</f>
        <v/>
      </c>
      <c r="AY69" s="86" t="str">
        <f>IF(SUMIFS(Journal!$D$3:$D$143,Journal!$A$3:$A$143,$B69,Journal!$E$3:$E$143,AY$3)=0,"",SUMIFS(Journal!$D$3:$D$143,Journal!$A$3:$A$143,$B69,Journal!$E$3:$E$143,AY$3))</f>
        <v/>
      </c>
      <c r="AZ69" s="86" t="str">
        <f>IF(SUMIFS(Journal!$D$3:$D$143,Journal!$A$3:$A$143,$B69,Journal!$F$3:$F$143,AY$3)=0,"",SUMIFS(Journal!$D$3:$D$143,Journal!$A$3:$A$143,$B69,Journal!$F$3:$F$143,AY$3))</f>
        <v/>
      </c>
      <c r="BA69" s="86" t="str">
        <f>IF(SUMIFS(Journal!$D$3:$D$143,Journal!$A$3:$A$143,$B69,Journal!$E$3:$E$143,BA$3)=0,"",SUMIFS(Journal!$D$3:$D$143,Journal!$A$3:$A$143,$B69,Journal!$E$3:$E$143,BA$3))</f>
        <v/>
      </c>
      <c r="BB69" s="86" t="str">
        <f>IF(SUMIFS(Journal!$D$3:$D$143,Journal!$A$3:$A$143,$B69,Journal!$F$3:$F$143,BA$3)=0,"",SUMIFS(Journal!$D$3:$D$143,Journal!$A$3:$A$143,$B69,Journal!$F$3:$F$143,BA$3))</f>
        <v/>
      </c>
    </row>
    <row r="70">
      <c r="A70" s="84">
        <f>VLOOKUP(B70,Journal!$A$3:$C$143,2,FALSE)</f>
        <v>45463</v>
      </c>
      <c r="B70" s="85" t="s">
        <v>461</v>
      </c>
      <c r="C70" s="86" t="str">
        <f>VLOOKUP(B70,Journal!$A$3:$C$143,3,FALSE)</f>
        <v>Guided tour revenue</v>
      </c>
      <c r="D70" s="86">
        <f>SUMIF(Journal!$A$3:$A$143,B70,Journal!$D$3:$D$143)</f>
        <v>12000</v>
      </c>
      <c r="E70" s="86">
        <f>IF(SUMIFS(Journal!$D$3:$D$143,Journal!$A$3:$A$143,$B70,Journal!$E$3:$E$143,E$3)=0,"",SUMIFS(Journal!$D$3:$D$143,Journal!$A$3:$A$143,$B70,Journal!$E$3:$E$143,E$3))</f>
        <v>12000</v>
      </c>
      <c r="F70" s="86" t="str">
        <f>IF(SUMIFS(Journal!$D$3:$D$143,Journal!$A$3:$A$143,$B70,Journal!$F$3:$F$143,E$3)=0,"",SUMIFS(Journal!$D$3:$D$143,Journal!$A$3:$A$143,$B70,Journal!$F$3:$F$143,E$3))</f>
        <v/>
      </c>
      <c r="G70" s="86" t="str">
        <f>IF(SUMIFS(Journal!$D$3:$D$143,Journal!$A$3:$A$143,$B70,Journal!$E$3:$E$143,G$3)=0,"",SUMIFS(Journal!$D$3:$D$143,Journal!$A$3:$A$143,$B70,Journal!$E$3:$E$143,G$3))</f>
        <v/>
      </c>
      <c r="H70" s="86" t="str">
        <f>IF(SUMIFS(Journal!$D$3:$D$143,Journal!$A$3:$A$143,$B70,Journal!$F$3:$F$143,G$3)=0,"",SUMIFS(Journal!$D$3:$D$143,Journal!$A$3:$A$143,$B70,Journal!$F$3:$F$143,G$3))</f>
        <v/>
      </c>
      <c r="I70" s="86" t="str">
        <f>IF(SUMIFS(Journal!$D$3:$D$143,Journal!$A$3:$A$143,$B70,Journal!$E$3:$E$143,I$3)=0,"",SUMIFS(Journal!$D$3:$D$143,Journal!$A$3:$A$143,$B70,Journal!$E$3:$E$143,I$3))</f>
        <v/>
      </c>
      <c r="J70" s="86" t="str">
        <f>IF(SUMIFS(Journal!$D$3:$D$143,Journal!$A$3:$A$143,$B70,Journal!$F$3:$F$143,I$3)=0,"",SUMIFS(Journal!$D$3:$D$143,Journal!$A$3:$A$143,$B70,Journal!$F$3:$F$143,I$3))</f>
        <v/>
      </c>
      <c r="K70" s="86" t="str">
        <f>IF(SUMIFS(Journal!$D$3:$D$143,Journal!$A$3:$A$143,$B70,Journal!$E$3:$E$143,K$3)=0,"",SUMIFS(Journal!$D$3:$D$143,Journal!$A$3:$A$143,$B70,Journal!$E$3:$E$143,K$3))</f>
        <v/>
      </c>
      <c r="L70" s="86" t="str">
        <f>IF(SUMIFS(Journal!$D$3:$D$143,Journal!$A$3:$A$143,$B70,Journal!$F$3:$F$143,K$3)=0,"",SUMIFS(Journal!$D$3:$D$143,Journal!$A$3:$A$143,$B70,Journal!$F$3:$F$143,K$3))</f>
        <v/>
      </c>
      <c r="M70" s="86" t="str">
        <f>IF(SUMIFS(Journal!$D$3:$D$143,Journal!$A$3:$A$143,$B70,Journal!$E$3:$E$143,M$3)=0,"",SUMIFS(Journal!$D$3:$D$143,Journal!$A$3:$A$143,$B70,Journal!$E$3:$E$143,M$3))</f>
        <v/>
      </c>
      <c r="N70" s="86" t="str">
        <f>IF(SUMIFS(Journal!$D$3:$D$143,Journal!$A$3:$A$143,$B70,Journal!$F$3:$F$143,M$3)=0,"",SUMIFS(Journal!$D$3:$D$143,Journal!$A$3:$A$143,$B70,Journal!$F$3:$F$143,M$3))</f>
        <v/>
      </c>
      <c r="O70" s="86" t="str">
        <f>IF(SUMIFS(Journal!$D$3:$D$143,Journal!$A$3:$A$143,$B70,Journal!$E$3:$E$143,O$3)=0,"",SUMIFS(Journal!$D$3:$D$143,Journal!$A$3:$A$143,$B70,Journal!$E$3:$E$143,O$3))</f>
        <v/>
      </c>
      <c r="P70" s="86" t="str">
        <f>IF(SUMIFS(Journal!$D$3:$D$143,Journal!$A$3:$A$143,$B70,Journal!$F$3:$F$143,O$3)=0,"",SUMIFS(Journal!$D$3:$D$143,Journal!$A$3:$A$143,$B70,Journal!$F$3:$F$143,O$3))</f>
        <v/>
      </c>
      <c r="Q70" s="86" t="str">
        <f>IF(SUMIFS(Journal!$D$3:$D$143,Journal!$A$3:$A$143,$B70,Journal!$E$3:$E$143,Q$3)=0,"",SUMIFS(Journal!$D$3:$D$143,Journal!$A$3:$A$143,$B70,Journal!$E$3:$E$143,Q$3))</f>
        <v/>
      </c>
      <c r="R70" s="86" t="str">
        <f>IF(SUMIFS(Journal!$D$3:$D$143,Journal!$A$3:$A$143,$B70,Journal!$F$3:$F$143,Q$3)=0,"",SUMIFS(Journal!$D$3:$D$143,Journal!$A$3:$A$143,$B70,Journal!$F$3:$F$143,Q$3))</f>
        <v/>
      </c>
      <c r="S70" s="86" t="str">
        <f>IF(SUMIFS(Journal!$D$3:$D$143,Journal!$A$3:$A$143,$B70,Journal!$E$3:$E$143,S$3)=0,"",SUMIFS(Journal!$D$3:$D$143,Journal!$A$3:$A$143,$B70,Journal!$E$3:$E$143,S$3))</f>
        <v/>
      </c>
      <c r="T70" s="86" t="str">
        <f>IF(SUMIFS(Journal!$D$3:$D$143,Journal!$A$3:$A$143,$B70,Journal!$F$3:$F$143,S$3)=0,"",SUMIFS(Journal!$D$3:$D$143,Journal!$A$3:$A$143,$B70,Journal!$F$3:$F$143,S$3))</f>
        <v/>
      </c>
      <c r="U70" s="86" t="str">
        <f>IF(SUMIFS(Journal!$D$3:$D$143,Journal!$A$3:$A$143,$B70,Journal!$E$3:$E$143,U$3)=0,"",SUMIFS(Journal!$D$3:$D$143,Journal!$A$3:$A$143,$B70,Journal!$E$3:$E$143,U$3))</f>
        <v/>
      </c>
      <c r="V70" s="86" t="str">
        <f>IF(SUMIFS(Journal!$D$3:$D$143,Journal!$A$3:$A$143,$B70,Journal!$F$3:$F$143,U$3)=0,"",SUMIFS(Journal!$D$3:$D$143,Journal!$A$3:$A$143,$B70,Journal!$F$3:$F$143,U$3))</f>
        <v/>
      </c>
      <c r="W70" s="86" t="str">
        <f>IF(SUMIFS(Journal!$D$3:$D$143,Journal!$A$3:$A$143,$B70,Journal!$E$3:$E$143,W$3)=0,"",SUMIFS(Journal!$D$3:$D$143,Journal!$A$3:$A$143,$B70,Journal!$E$3:$E$143,W$3))</f>
        <v/>
      </c>
      <c r="X70" s="86" t="str">
        <f>IF(SUMIFS(Journal!$D$3:$D$143,Journal!$A$3:$A$143,$B70,Journal!$F$3:$F$143,W$3)=0,"",SUMIFS(Journal!$D$3:$D$143,Journal!$A$3:$A$143,$B70,Journal!$F$3:$F$143,W$3))</f>
        <v/>
      </c>
      <c r="Y70" s="86" t="str">
        <f>IF(SUMIFS(Journal!$D$3:$D$143,Journal!$A$3:$A$143,$B70,Journal!$E$3:$E$143,Y$3)=0,"",SUMIFS(Journal!$D$3:$D$143,Journal!$A$3:$A$143,$B70,Journal!$E$3:$E$143,Y$3))</f>
        <v/>
      </c>
      <c r="Z70" s="86">
        <f>IF(SUMIFS(Journal!$D$3:$D$143,Journal!$A$3:$A$143,$B70,Journal!$F$3:$F$143,Y$3)=0,"",SUMIFS(Journal!$D$3:$D$143,Journal!$A$3:$A$143,$B70,Journal!$F$3:$F$143,Y$3))</f>
        <v>12000</v>
      </c>
      <c r="AA70" s="86" t="str">
        <f>IF(SUMIFS(Journal!$D$3:$D$143,Journal!$A$3:$A$143,$B70,Journal!$E$3:$E$143,AA$3)=0,"",SUMIFS(Journal!$D$3:$D$143,Journal!$A$3:$A$143,$B70,Journal!$E$3:$E$143,AA$3))</f>
        <v/>
      </c>
      <c r="AB70" s="86" t="str">
        <f>IF(SUMIFS(Journal!$D$3:$D$143,Journal!$A$3:$A$143,$B70,Journal!$F$3:$F$143,AA$3)=0,"",SUMIFS(Journal!$D$3:$D$143,Journal!$A$3:$A$143,$B70,Journal!$F$3:$F$143,AA$3))</f>
        <v/>
      </c>
      <c r="AC70" s="86" t="str">
        <f>IF(SUMIFS(Journal!$D$3:$D$143,Journal!$A$3:$A$143,$B70,Journal!$E$3:$E$143,AC$3)=0,"",SUMIFS(Journal!$D$3:$D$143,Journal!$A$3:$A$143,$B70,Journal!$E$3:$E$143,AC$3))</f>
        <v/>
      </c>
      <c r="AD70" s="86" t="str">
        <f>IF(SUMIFS(Journal!$D$3:$D$143,Journal!$A$3:$A$143,$B70,Journal!$F$3:$F$143,AC$3)=0,"",SUMIFS(Journal!$D$3:$D$143,Journal!$A$3:$A$143,$B70,Journal!$F$3:$F$143,AC$3))</f>
        <v/>
      </c>
      <c r="AE70" s="86" t="str">
        <f>IF(SUMIFS(Journal!$D$3:$D$143,Journal!$A$3:$A$143,$B70,Journal!$E$3:$E$143,AE$3)=0,"",SUMIFS(Journal!$D$3:$D$143,Journal!$A$3:$A$143,$B70,Journal!$E$3:$E$143,AE$3))</f>
        <v/>
      </c>
      <c r="AF70" s="86" t="str">
        <f>IF(SUMIFS(Journal!$D$3:$D$143,Journal!$A$3:$A$143,$B70,Journal!$F$3:$F$143,AE$3)=0,"",SUMIFS(Journal!$D$3:$D$143,Journal!$A$3:$A$143,$B70,Journal!$F$3:$F$143,AE$3))</f>
        <v/>
      </c>
      <c r="AG70" s="86" t="str">
        <f>IF(SUMIFS(Journal!$D$3:$D$143,Journal!$A$3:$A$143,$B70,Journal!$E$3:$E$143,AG$3)=0,"",SUMIFS(Journal!$D$3:$D$143,Journal!$A$3:$A$143,$B70,Journal!$E$3:$E$143,AG$3))</f>
        <v/>
      </c>
      <c r="AH70" s="86" t="str">
        <f>IF(SUMIFS(Journal!$D$3:$D$143,Journal!$A$3:$A$143,$B70,Journal!$F$3:$F$143,AG$3)=0,"",SUMIFS(Journal!$D$3:$D$143,Journal!$A$3:$A$143,$B70,Journal!$F$3:$F$143,AG$3))</f>
        <v/>
      </c>
      <c r="AI70" s="86" t="str">
        <f>IF(SUMIFS(Journal!$D$3:$D$143,Journal!$A$3:$A$143,$B70,Journal!$E$3:$E$143,AI$3)=0,"",SUMIFS(Journal!$D$3:$D$143,Journal!$A$3:$A$143,$B70,Journal!$E$3:$E$143,AI$3))</f>
        <v/>
      </c>
      <c r="AJ70" s="86" t="str">
        <f>IF(SUMIFS(Journal!$D$3:$D$143,Journal!$A$3:$A$143,$B70,Journal!$F$3:$F$143,AI$3)=0,"",SUMIFS(Journal!$D$3:$D$143,Journal!$A$3:$A$143,$B70,Journal!$F$3:$F$143,AI$3))</f>
        <v/>
      </c>
      <c r="AK70" s="86" t="str">
        <f>IF(SUMIFS(Journal!$D$3:$D$143,Journal!$A$3:$A$143,$B70,Journal!$E$3:$E$143,AK$3)=0,"",SUMIFS(Journal!$D$3:$D$143,Journal!$A$3:$A$143,$B70,Journal!$E$3:$E$143,AK$3))</f>
        <v/>
      </c>
      <c r="AL70" s="86" t="str">
        <f>IF(SUMIFS(Journal!$D$3:$D$143,Journal!$A$3:$A$143,$B70,Journal!$F$3:$F$143,AK$3)=0,"",SUMIFS(Journal!$D$3:$D$143,Journal!$A$3:$A$143,$B70,Journal!$F$3:$F$143,AK$3))</f>
        <v/>
      </c>
      <c r="AM70" s="86" t="str">
        <f>IF(SUMIFS(Journal!$D$3:$D$143,Journal!$A$3:$A$143,$B70,Journal!$E$3:$E$143,AM$3)=0,"",SUMIFS(Journal!$D$3:$D$143,Journal!$A$3:$A$143,$B70,Journal!$E$3:$E$143,AM$3))</f>
        <v/>
      </c>
      <c r="AN70" s="86" t="str">
        <f>IF(SUMIFS(Journal!$D$3:$D$143,Journal!$A$3:$A$143,$B70,Journal!$F$3:$F$143,AM$3)=0,"",SUMIFS(Journal!$D$3:$D$143,Journal!$A$3:$A$143,$B70,Journal!$F$3:$F$143,AM$3))</f>
        <v/>
      </c>
      <c r="AO70" s="86" t="str">
        <f>IF(SUMIFS(Journal!$D$3:$D$143,Journal!$A$3:$A$143,$B70,Journal!$E$3:$E$143,AO$3)=0,"",SUMIFS(Journal!$D$3:$D$143,Journal!$A$3:$A$143,$B70,Journal!$E$3:$E$143,AO$3))</f>
        <v/>
      </c>
      <c r="AP70" s="86" t="str">
        <f>IF(SUMIFS(Journal!$D$3:$D$143,Journal!$A$3:$A$143,$B70,Journal!$F$3:$F$143,AO$3)=0,"",SUMIFS(Journal!$D$3:$D$143,Journal!$A$3:$A$143,$B70,Journal!$F$3:$F$143,AO$3))</f>
        <v/>
      </c>
      <c r="AQ70" s="86" t="str">
        <f>IF(SUMIFS(Journal!$D$3:$D$143,Journal!$A$3:$A$143,$B70,Journal!$E$3:$E$143,AQ$3)=0,"",SUMIFS(Journal!$D$3:$D$143,Journal!$A$3:$A$143,$B70,Journal!$E$3:$E$143,AQ$3))</f>
        <v/>
      </c>
      <c r="AR70" s="86" t="str">
        <f>IF(SUMIFS(Journal!$D$3:$D$143,Journal!$A$3:$A$143,$B70,Journal!$F$3:$F$143,AQ$3)=0,"",SUMIFS(Journal!$D$3:$D$143,Journal!$A$3:$A$143,$B70,Journal!$F$3:$F$143,AQ$3))</f>
        <v/>
      </c>
      <c r="AS70" s="86" t="str">
        <f>IF(SUMIFS(Journal!$D$3:$D$143,Journal!$A$3:$A$143,$B70,Journal!$E$3:$E$143,AS$3)=0,"",SUMIFS(Journal!$D$3:$D$143,Journal!$A$3:$A$143,$B70,Journal!$E$3:$E$143,AS$3))</f>
        <v/>
      </c>
      <c r="AT70" s="86" t="str">
        <f>IF(SUMIFS(Journal!$D$3:$D$143,Journal!$A$3:$A$143,$B70,Journal!$F$3:$F$143,AS$3)=0,"",SUMIFS(Journal!$D$3:$D$143,Journal!$A$3:$A$143,$B70,Journal!$F$3:$F$143,AS$3))</f>
        <v/>
      </c>
      <c r="AU70" s="86" t="str">
        <f>IF(SUMIFS(Journal!$D$3:$D$143,Journal!$A$3:$A$143,$B70,Journal!$E$3:$E$143,AU$3)=0,"",SUMIFS(Journal!$D$3:$D$143,Journal!$A$3:$A$143,$B70,Journal!$E$3:$E$143,AU$3))</f>
        <v/>
      </c>
      <c r="AV70" s="86" t="str">
        <f>IF(SUMIFS(Journal!$D$3:$D$143,Journal!$A$3:$A$143,$B70,Journal!$F$3:$F$143,AU$3)=0,"",SUMIFS(Journal!$D$3:$D$143,Journal!$A$3:$A$143,$B70,Journal!$F$3:$F$143,AU$3))</f>
        <v/>
      </c>
      <c r="AW70" s="86" t="str">
        <f>IF(SUMIFS(Journal!$D$3:$D$143,Journal!$A$3:$A$143,$B70,Journal!$E$3:$E$143,AW$3)=0,"",SUMIFS(Journal!$D$3:$D$143,Journal!$A$3:$A$143,$B70,Journal!$E$3:$E$143,AW$3))</f>
        <v/>
      </c>
      <c r="AX70" s="86" t="str">
        <f>IF(SUMIFS(Journal!$D$3:$D$143,Journal!$A$3:$A$143,$B70,Journal!$F$3:$F$143,AW$3)=0,"",SUMIFS(Journal!$D$3:$D$143,Journal!$A$3:$A$143,$B70,Journal!$F$3:$F$143,AW$3))</f>
        <v/>
      </c>
      <c r="AY70" s="86" t="str">
        <f>IF(SUMIFS(Journal!$D$3:$D$143,Journal!$A$3:$A$143,$B70,Journal!$E$3:$E$143,AY$3)=0,"",SUMIFS(Journal!$D$3:$D$143,Journal!$A$3:$A$143,$B70,Journal!$E$3:$E$143,AY$3))</f>
        <v/>
      </c>
      <c r="AZ70" s="86" t="str">
        <f>IF(SUMIFS(Journal!$D$3:$D$143,Journal!$A$3:$A$143,$B70,Journal!$F$3:$F$143,AY$3)=0,"",SUMIFS(Journal!$D$3:$D$143,Journal!$A$3:$A$143,$B70,Journal!$F$3:$F$143,AY$3))</f>
        <v/>
      </c>
      <c r="BA70" s="86" t="str">
        <f>IF(SUMIFS(Journal!$D$3:$D$143,Journal!$A$3:$A$143,$B70,Journal!$E$3:$E$143,BA$3)=0,"",SUMIFS(Journal!$D$3:$D$143,Journal!$A$3:$A$143,$B70,Journal!$E$3:$E$143,BA$3))</f>
        <v/>
      </c>
      <c r="BB70" s="86" t="str">
        <f>IF(SUMIFS(Journal!$D$3:$D$143,Journal!$A$3:$A$143,$B70,Journal!$F$3:$F$143,BA$3)=0,"",SUMIFS(Journal!$D$3:$D$143,Journal!$A$3:$A$143,$B70,Journal!$F$3:$F$143,BA$3))</f>
        <v/>
      </c>
    </row>
    <row r="71">
      <c r="A71" s="84">
        <f>VLOOKUP(B71,Journal!$A$3:$C$143,2,FALSE)</f>
        <v>45465</v>
      </c>
      <c r="B71" s="85" t="s">
        <v>464</v>
      </c>
      <c r="C71" s="86" t="str">
        <f>VLOOKUP(B71,Journal!$A$3:$C$143,3,FALSE)</f>
        <v>Summer solstice event completed; deposit applied</v>
      </c>
      <c r="D71" s="86">
        <f>SUMIF(Journal!$A$3:$A$143,B71,Journal!$D$3:$D$143)</f>
        <v>7500</v>
      </c>
      <c r="E71" s="86">
        <f>IF(SUMIFS(Journal!$D$3:$D$143,Journal!$A$3:$A$143,$B71,Journal!$E$3:$E$143,E$3)=0,"",SUMIFS(Journal!$D$3:$D$143,Journal!$A$3:$A$143,$B71,Journal!$E$3:$E$143,E$3))</f>
        <v>4500</v>
      </c>
      <c r="F71" s="86" t="str">
        <f>IF(SUMIFS(Journal!$D$3:$D$143,Journal!$A$3:$A$143,$B71,Journal!$F$3:$F$143,E$3)=0,"",SUMIFS(Journal!$D$3:$D$143,Journal!$A$3:$A$143,$B71,Journal!$F$3:$F$143,E$3))</f>
        <v/>
      </c>
      <c r="G71" s="86" t="str">
        <f>IF(SUMIFS(Journal!$D$3:$D$143,Journal!$A$3:$A$143,$B71,Journal!$E$3:$E$143,G$3)=0,"",SUMIFS(Journal!$D$3:$D$143,Journal!$A$3:$A$143,$B71,Journal!$E$3:$E$143,G$3))</f>
        <v/>
      </c>
      <c r="H71" s="86" t="str">
        <f>IF(SUMIFS(Journal!$D$3:$D$143,Journal!$A$3:$A$143,$B71,Journal!$F$3:$F$143,G$3)=0,"",SUMIFS(Journal!$D$3:$D$143,Journal!$A$3:$A$143,$B71,Journal!$F$3:$F$143,G$3))</f>
        <v/>
      </c>
      <c r="I71" s="86" t="str">
        <f>IF(SUMIFS(Journal!$D$3:$D$143,Journal!$A$3:$A$143,$B71,Journal!$E$3:$E$143,I$3)=0,"",SUMIFS(Journal!$D$3:$D$143,Journal!$A$3:$A$143,$B71,Journal!$E$3:$E$143,I$3))</f>
        <v/>
      </c>
      <c r="J71" s="86" t="str">
        <f>IF(SUMIFS(Journal!$D$3:$D$143,Journal!$A$3:$A$143,$B71,Journal!$F$3:$F$143,I$3)=0,"",SUMIFS(Journal!$D$3:$D$143,Journal!$A$3:$A$143,$B71,Journal!$F$3:$F$143,I$3))</f>
        <v/>
      </c>
      <c r="K71" s="86" t="str">
        <f>IF(SUMIFS(Journal!$D$3:$D$143,Journal!$A$3:$A$143,$B71,Journal!$E$3:$E$143,K$3)=0,"",SUMIFS(Journal!$D$3:$D$143,Journal!$A$3:$A$143,$B71,Journal!$E$3:$E$143,K$3))</f>
        <v/>
      </c>
      <c r="L71" s="86" t="str">
        <f>IF(SUMIFS(Journal!$D$3:$D$143,Journal!$A$3:$A$143,$B71,Journal!$F$3:$F$143,K$3)=0,"",SUMIFS(Journal!$D$3:$D$143,Journal!$A$3:$A$143,$B71,Journal!$F$3:$F$143,K$3))</f>
        <v/>
      </c>
      <c r="M71" s="86" t="str">
        <f>IF(SUMIFS(Journal!$D$3:$D$143,Journal!$A$3:$A$143,$B71,Journal!$E$3:$E$143,M$3)=0,"",SUMIFS(Journal!$D$3:$D$143,Journal!$A$3:$A$143,$B71,Journal!$E$3:$E$143,M$3))</f>
        <v/>
      </c>
      <c r="N71" s="86" t="str">
        <f>IF(SUMIFS(Journal!$D$3:$D$143,Journal!$A$3:$A$143,$B71,Journal!$F$3:$F$143,M$3)=0,"",SUMIFS(Journal!$D$3:$D$143,Journal!$A$3:$A$143,$B71,Journal!$F$3:$F$143,M$3))</f>
        <v/>
      </c>
      <c r="O71" s="86" t="str">
        <f>IF(SUMIFS(Journal!$D$3:$D$143,Journal!$A$3:$A$143,$B71,Journal!$E$3:$E$143,O$3)=0,"",SUMIFS(Journal!$D$3:$D$143,Journal!$A$3:$A$143,$B71,Journal!$E$3:$E$143,O$3))</f>
        <v/>
      </c>
      <c r="P71" s="86" t="str">
        <f>IF(SUMIFS(Journal!$D$3:$D$143,Journal!$A$3:$A$143,$B71,Journal!$F$3:$F$143,O$3)=0,"",SUMIFS(Journal!$D$3:$D$143,Journal!$A$3:$A$143,$B71,Journal!$F$3:$F$143,O$3))</f>
        <v/>
      </c>
      <c r="Q71" s="86">
        <f>IF(SUMIFS(Journal!$D$3:$D$143,Journal!$A$3:$A$143,$B71,Journal!$E$3:$E$143,Q$3)=0,"",SUMIFS(Journal!$D$3:$D$143,Journal!$A$3:$A$143,$B71,Journal!$E$3:$E$143,Q$3))</f>
        <v>3000</v>
      </c>
      <c r="R71" s="86" t="str">
        <f>IF(SUMIFS(Journal!$D$3:$D$143,Journal!$A$3:$A$143,$B71,Journal!$F$3:$F$143,Q$3)=0,"",SUMIFS(Journal!$D$3:$D$143,Journal!$A$3:$A$143,$B71,Journal!$F$3:$F$143,Q$3))</f>
        <v/>
      </c>
      <c r="S71" s="86" t="str">
        <f>IF(SUMIFS(Journal!$D$3:$D$143,Journal!$A$3:$A$143,$B71,Journal!$E$3:$E$143,S$3)=0,"",SUMIFS(Journal!$D$3:$D$143,Journal!$A$3:$A$143,$B71,Journal!$E$3:$E$143,S$3))</f>
        <v/>
      </c>
      <c r="T71" s="86" t="str">
        <f>IF(SUMIFS(Journal!$D$3:$D$143,Journal!$A$3:$A$143,$B71,Journal!$F$3:$F$143,S$3)=0,"",SUMIFS(Journal!$D$3:$D$143,Journal!$A$3:$A$143,$B71,Journal!$F$3:$F$143,S$3))</f>
        <v/>
      </c>
      <c r="U71" s="86" t="str">
        <f>IF(SUMIFS(Journal!$D$3:$D$143,Journal!$A$3:$A$143,$B71,Journal!$E$3:$E$143,U$3)=0,"",SUMIFS(Journal!$D$3:$D$143,Journal!$A$3:$A$143,$B71,Journal!$E$3:$E$143,U$3))</f>
        <v/>
      </c>
      <c r="V71" s="86" t="str">
        <f>IF(SUMIFS(Journal!$D$3:$D$143,Journal!$A$3:$A$143,$B71,Journal!$F$3:$F$143,U$3)=0,"",SUMIFS(Journal!$D$3:$D$143,Journal!$A$3:$A$143,$B71,Journal!$F$3:$F$143,U$3))</f>
        <v/>
      </c>
      <c r="W71" s="86" t="str">
        <f>IF(SUMIFS(Journal!$D$3:$D$143,Journal!$A$3:$A$143,$B71,Journal!$E$3:$E$143,W$3)=0,"",SUMIFS(Journal!$D$3:$D$143,Journal!$A$3:$A$143,$B71,Journal!$E$3:$E$143,W$3))</f>
        <v/>
      </c>
      <c r="X71" s="86" t="str">
        <f>IF(SUMIFS(Journal!$D$3:$D$143,Journal!$A$3:$A$143,$B71,Journal!$F$3:$F$143,W$3)=0,"",SUMIFS(Journal!$D$3:$D$143,Journal!$A$3:$A$143,$B71,Journal!$F$3:$F$143,W$3))</f>
        <v/>
      </c>
      <c r="Y71" s="86" t="str">
        <f>IF(SUMIFS(Journal!$D$3:$D$143,Journal!$A$3:$A$143,$B71,Journal!$E$3:$E$143,Y$3)=0,"",SUMIFS(Journal!$D$3:$D$143,Journal!$A$3:$A$143,$B71,Journal!$E$3:$E$143,Y$3))</f>
        <v/>
      </c>
      <c r="Z71" s="86" t="str">
        <f>IF(SUMIFS(Journal!$D$3:$D$143,Journal!$A$3:$A$143,$B71,Journal!$F$3:$F$143,Y$3)=0,"",SUMIFS(Journal!$D$3:$D$143,Journal!$A$3:$A$143,$B71,Journal!$F$3:$F$143,Y$3))</f>
        <v/>
      </c>
      <c r="AA71" s="86" t="str">
        <f>IF(SUMIFS(Journal!$D$3:$D$143,Journal!$A$3:$A$143,$B71,Journal!$E$3:$E$143,AA$3)=0,"",SUMIFS(Journal!$D$3:$D$143,Journal!$A$3:$A$143,$B71,Journal!$E$3:$E$143,AA$3))</f>
        <v/>
      </c>
      <c r="AB71" s="86" t="str">
        <f>IF(SUMIFS(Journal!$D$3:$D$143,Journal!$A$3:$A$143,$B71,Journal!$F$3:$F$143,AA$3)=0,"",SUMIFS(Journal!$D$3:$D$143,Journal!$A$3:$A$143,$B71,Journal!$F$3:$F$143,AA$3))</f>
        <v/>
      </c>
      <c r="AC71" s="86" t="str">
        <f>IF(SUMIFS(Journal!$D$3:$D$143,Journal!$A$3:$A$143,$B71,Journal!$E$3:$E$143,AC$3)=0,"",SUMIFS(Journal!$D$3:$D$143,Journal!$A$3:$A$143,$B71,Journal!$E$3:$E$143,AC$3))</f>
        <v/>
      </c>
      <c r="AD71" s="86">
        <f>IF(SUMIFS(Journal!$D$3:$D$143,Journal!$A$3:$A$143,$B71,Journal!$F$3:$F$143,AC$3)=0,"",SUMIFS(Journal!$D$3:$D$143,Journal!$A$3:$A$143,$B71,Journal!$F$3:$F$143,AC$3))</f>
        <v>7500</v>
      </c>
      <c r="AE71" s="86" t="str">
        <f>IF(SUMIFS(Journal!$D$3:$D$143,Journal!$A$3:$A$143,$B71,Journal!$E$3:$E$143,AE$3)=0,"",SUMIFS(Journal!$D$3:$D$143,Journal!$A$3:$A$143,$B71,Journal!$E$3:$E$143,AE$3))</f>
        <v/>
      </c>
      <c r="AF71" s="86" t="str">
        <f>IF(SUMIFS(Journal!$D$3:$D$143,Journal!$A$3:$A$143,$B71,Journal!$F$3:$F$143,AE$3)=0,"",SUMIFS(Journal!$D$3:$D$143,Journal!$A$3:$A$143,$B71,Journal!$F$3:$F$143,AE$3))</f>
        <v/>
      </c>
      <c r="AG71" s="86" t="str">
        <f>IF(SUMIFS(Journal!$D$3:$D$143,Journal!$A$3:$A$143,$B71,Journal!$E$3:$E$143,AG$3)=0,"",SUMIFS(Journal!$D$3:$D$143,Journal!$A$3:$A$143,$B71,Journal!$E$3:$E$143,AG$3))</f>
        <v/>
      </c>
      <c r="AH71" s="86" t="str">
        <f>IF(SUMIFS(Journal!$D$3:$D$143,Journal!$A$3:$A$143,$B71,Journal!$F$3:$F$143,AG$3)=0,"",SUMIFS(Journal!$D$3:$D$143,Journal!$A$3:$A$143,$B71,Journal!$F$3:$F$143,AG$3))</f>
        <v/>
      </c>
      <c r="AI71" s="86" t="str">
        <f>IF(SUMIFS(Journal!$D$3:$D$143,Journal!$A$3:$A$143,$B71,Journal!$E$3:$E$143,AI$3)=0,"",SUMIFS(Journal!$D$3:$D$143,Journal!$A$3:$A$143,$B71,Journal!$E$3:$E$143,AI$3))</f>
        <v/>
      </c>
      <c r="AJ71" s="86" t="str">
        <f>IF(SUMIFS(Journal!$D$3:$D$143,Journal!$A$3:$A$143,$B71,Journal!$F$3:$F$143,AI$3)=0,"",SUMIFS(Journal!$D$3:$D$143,Journal!$A$3:$A$143,$B71,Journal!$F$3:$F$143,AI$3))</f>
        <v/>
      </c>
      <c r="AK71" s="86" t="str">
        <f>IF(SUMIFS(Journal!$D$3:$D$143,Journal!$A$3:$A$143,$B71,Journal!$E$3:$E$143,AK$3)=0,"",SUMIFS(Journal!$D$3:$D$143,Journal!$A$3:$A$143,$B71,Journal!$E$3:$E$143,AK$3))</f>
        <v/>
      </c>
      <c r="AL71" s="86" t="str">
        <f>IF(SUMIFS(Journal!$D$3:$D$143,Journal!$A$3:$A$143,$B71,Journal!$F$3:$F$143,AK$3)=0,"",SUMIFS(Journal!$D$3:$D$143,Journal!$A$3:$A$143,$B71,Journal!$F$3:$F$143,AK$3))</f>
        <v/>
      </c>
      <c r="AM71" s="86" t="str">
        <f>IF(SUMIFS(Journal!$D$3:$D$143,Journal!$A$3:$A$143,$B71,Journal!$E$3:$E$143,AM$3)=0,"",SUMIFS(Journal!$D$3:$D$143,Journal!$A$3:$A$143,$B71,Journal!$E$3:$E$143,AM$3))</f>
        <v/>
      </c>
      <c r="AN71" s="86" t="str">
        <f>IF(SUMIFS(Journal!$D$3:$D$143,Journal!$A$3:$A$143,$B71,Journal!$F$3:$F$143,AM$3)=0,"",SUMIFS(Journal!$D$3:$D$143,Journal!$A$3:$A$143,$B71,Journal!$F$3:$F$143,AM$3))</f>
        <v/>
      </c>
      <c r="AO71" s="86" t="str">
        <f>IF(SUMIFS(Journal!$D$3:$D$143,Journal!$A$3:$A$143,$B71,Journal!$E$3:$E$143,AO$3)=0,"",SUMIFS(Journal!$D$3:$D$143,Journal!$A$3:$A$143,$B71,Journal!$E$3:$E$143,AO$3))</f>
        <v/>
      </c>
      <c r="AP71" s="86" t="str">
        <f>IF(SUMIFS(Journal!$D$3:$D$143,Journal!$A$3:$A$143,$B71,Journal!$F$3:$F$143,AO$3)=0,"",SUMIFS(Journal!$D$3:$D$143,Journal!$A$3:$A$143,$B71,Journal!$F$3:$F$143,AO$3))</f>
        <v/>
      </c>
      <c r="AQ71" s="86" t="str">
        <f>IF(SUMIFS(Journal!$D$3:$D$143,Journal!$A$3:$A$143,$B71,Journal!$E$3:$E$143,AQ$3)=0,"",SUMIFS(Journal!$D$3:$D$143,Journal!$A$3:$A$143,$B71,Journal!$E$3:$E$143,AQ$3))</f>
        <v/>
      </c>
      <c r="AR71" s="86" t="str">
        <f>IF(SUMIFS(Journal!$D$3:$D$143,Journal!$A$3:$A$143,$B71,Journal!$F$3:$F$143,AQ$3)=0,"",SUMIFS(Journal!$D$3:$D$143,Journal!$A$3:$A$143,$B71,Journal!$F$3:$F$143,AQ$3))</f>
        <v/>
      </c>
      <c r="AS71" s="86" t="str">
        <f>IF(SUMIFS(Journal!$D$3:$D$143,Journal!$A$3:$A$143,$B71,Journal!$E$3:$E$143,AS$3)=0,"",SUMIFS(Journal!$D$3:$D$143,Journal!$A$3:$A$143,$B71,Journal!$E$3:$E$143,AS$3))</f>
        <v/>
      </c>
      <c r="AT71" s="86" t="str">
        <f>IF(SUMIFS(Journal!$D$3:$D$143,Journal!$A$3:$A$143,$B71,Journal!$F$3:$F$143,AS$3)=0,"",SUMIFS(Journal!$D$3:$D$143,Journal!$A$3:$A$143,$B71,Journal!$F$3:$F$143,AS$3))</f>
        <v/>
      </c>
      <c r="AU71" s="86" t="str">
        <f>IF(SUMIFS(Journal!$D$3:$D$143,Journal!$A$3:$A$143,$B71,Journal!$E$3:$E$143,AU$3)=0,"",SUMIFS(Journal!$D$3:$D$143,Journal!$A$3:$A$143,$B71,Journal!$E$3:$E$143,AU$3))</f>
        <v/>
      </c>
      <c r="AV71" s="86" t="str">
        <f>IF(SUMIFS(Journal!$D$3:$D$143,Journal!$A$3:$A$143,$B71,Journal!$F$3:$F$143,AU$3)=0,"",SUMIFS(Journal!$D$3:$D$143,Journal!$A$3:$A$143,$B71,Journal!$F$3:$F$143,AU$3))</f>
        <v/>
      </c>
      <c r="AW71" s="86" t="str">
        <f>IF(SUMIFS(Journal!$D$3:$D$143,Journal!$A$3:$A$143,$B71,Journal!$E$3:$E$143,AW$3)=0,"",SUMIFS(Journal!$D$3:$D$143,Journal!$A$3:$A$143,$B71,Journal!$E$3:$E$143,AW$3))</f>
        <v/>
      </c>
      <c r="AX71" s="86" t="str">
        <f>IF(SUMIFS(Journal!$D$3:$D$143,Journal!$A$3:$A$143,$B71,Journal!$F$3:$F$143,AW$3)=0,"",SUMIFS(Journal!$D$3:$D$143,Journal!$A$3:$A$143,$B71,Journal!$F$3:$F$143,AW$3))</f>
        <v/>
      </c>
      <c r="AY71" s="86" t="str">
        <f>IF(SUMIFS(Journal!$D$3:$D$143,Journal!$A$3:$A$143,$B71,Journal!$E$3:$E$143,AY$3)=0,"",SUMIFS(Journal!$D$3:$D$143,Journal!$A$3:$A$143,$B71,Journal!$E$3:$E$143,AY$3))</f>
        <v/>
      </c>
      <c r="AZ71" s="86" t="str">
        <f>IF(SUMIFS(Journal!$D$3:$D$143,Journal!$A$3:$A$143,$B71,Journal!$F$3:$F$143,AY$3)=0,"",SUMIFS(Journal!$D$3:$D$143,Journal!$A$3:$A$143,$B71,Journal!$F$3:$F$143,AY$3))</f>
        <v/>
      </c>
      <c r="BA71" s="86" t="str">
        <f>IF(SUMIFS(Journal!$D$3:$D$143,Journal!$A$3:$A$143,$B71,Journal!$E$3:$E$143,BA$3)=0,"",SUMIFS(Journal!$D$3:$D$143,Journal!$A$3:$A$143,$B71,Journal!$E$3:$E$143,BA$3))</f>
        <v/>
      </c>
      <c r="BB71" s="86" t="str">
        <f>IF(SUMIFS(Journal!$D$3:$D$143,Journal!$A$3:$A$143,$B71,Journal!$F$3:$F$143,BA$3)=0,"",SUMIFS(Journal!$D$3:$D$143,Journal!$A$3:$A$143,$B71,Journal!$F$3:$F$143,BA$3))</f>
        <v/>
      </c>
    </row>
    <row r="72">
      <c r="A72" s="84">
        <f>VLOOKUP(B72,Journal!$A$3:$C$143,2,FALSE)</f>
        <v>45467</v>
      </c>
      <c r="B72" s="85" t="s">
        <v>470</v>
      </c>
      <c r="C72" s="86" t="str">
        <f>VLOOKUP(B72,Journal!$A$3:$C$143,3,FALSE)</f>
        <v>Employee payroll settlement</v>
      </c>
      <c r="D72" s="86">
        <f>SUMIF(Journal!$A$3:$A$143,B72,Journal!$D$3:$D$143)</f>
        <v>12160</v>
      </c>
      <c r="E72" s="86" t="str">
        <f>IF(SUMIFS(Journal!$D$3:$D$143,Journal!$A$3:$A$143,$B72,Journal!$E$3:$E$143,E$3)=0,"",SUMIFS(Journal!$D$3:$D$143,Journal!$A$3:$A$143,$B72,Journal!$E$3:$E$143,E$3))</f>
        <v/>
      </c>
      <c r="F72" s="86">
        <f>IF(SUMIFS(Journal!$D$3:$D$143,Journal!$A$3:$A$143,$B72,Journal!$F$3:$F$143,E$3)=0,"",SUMIFS(Journal!$D$3:$D$143,Journal!$A$3:$A$143,$B72,Journal!$F$3:$F$143,E$3))</f>
        <v>12160</v>
      </c>
      <c r="G72" s="86" t="str">
        <f>IF(SUMIFS(Journal!$D$3:$D$143,Journal!$A$3:$A$143,$B72,Journal!$E$3:$E$143,G$3)=0,"",SUMIFS(Journal!$D$3:$D$143,Journal!$A$3:$A$143,$B72,Journal!$E$3:$E$143,G$3))</f>
        <v/>
      </c>
      <c r="H72" s="86" t="str">
        <f>IF(SUMIFS(Journal!$D$3:$D$143,Journal!$A$3:$A$143,$B72,Journal!$F$3:$F$143,G$3)=0,"",SUMIFS(Journal!$D$3:$D$143,Journal!$A$3:$A$143,$B72,Journal!$F$3:$F$143,G$3))</f>
        <v/>
      </c>
      <c r="I72" s="86" t="str">
        <f>IF(SUMIFS(Journal!$D$3:$D$143,Journal!$A$3:$A$143,$B72,Journal!$E$3:$E$143,I$3)=0,"",SUMIFS(Journal!$D$3:$D$143,Journal!$A$3:$A$143,$B72,Journal!$E$3:$E$143,I$3))</f>
        <v/>
      </c>
      <c r="J72" s="86" t="str">
        <f>IF(SUMIFS(Journal!$D$3:$D$143,Journal!$A$3:$A$143,$B72,Journal!$F$3:$F$143,I$3)=0,"",SUMIFS(Journal!$D$3:$D$143,Journal!$A$3:$A$143,$B72,Journal!$F$3:$F$143,I$3))</f>
        <v/>
      </c>
      <c r="K72" s="86" t="str">
        <f>IF(SUMIFS(Journal!$D$3:$D$143,Journal!$A$3:$A$143,$B72,Journal!$E$3:$E$143,K$3)=0,"",SUMIFS(Journal!$D$3:$D$143,Journal!$A$3:$A$143,$B72,Journal!$E$3:$E$143,K$3))</f>
        <v/>
      </c>
      <c r="L72" s="86" t="str">
        <f>IF(SUMIFS(Journal!$D$3:$D$143,Journal!$A$3:$A$143,$B72,Journal!$F$3:$F$143,K$3)=0,"",SUMIFS(Journal!$D$3:$D$143,Journal!$A$3:$A$143,$B72,Journal!$F$3:$F$143,K$3))</f>
        <v/>
      </c>
      <c r="M72" s="86" t="str">
        <f>IF(SUMIFS(Journal!$D$3:$D$143,Journal!$A$3:$A$143,$B72,Journal!$E$3:$E$143,M$3)=0,"",SUMIFS(Journal!$D$3:$D$143,Journal!$A$3:$A$143,$B72,Journal!$E$3:$E$143,M$3))</f>
        <v/>
      </c>
      <c r="N72" s="86" t="str">
        <f>IF(SUMIFS(Journal!$D$3:$D$143,Journal!$A$3:$A$143,$B72,Journal!$F$3:$F$143,M$3)=0,"",SUMIFS(Journal!$D$3:$D$143,Journal!$A$3:$A$143,$B72,Journal!$F$3:$F$143,M$3))</f>
        <v/>
      </c>
      <c r="O72" s="86" t="str">
        <f>IF(SUMIFS(Journal!$D$3:$D$143,Journal!$A$3:$A$143,$B72,Journal!$E$3:$E$143,O$3)=0,"",SUMIFS(Journal!$D$3:$D$143,Journal!$A$3:$A$143,$B72,Journal!$E$3:$E$143,O$3))</f>
        <v/>
      </c>
      <c r="P72" s="86" t="str">
        <f>IF(SUMIFS(Journal!$D$3:$D$143,Journal!$A$3:$A$143,$B72,Journal!$F$3:$F$143,O$3)=0,"",SUMIFS(Journal!$D$3:$D$143,Journal!$A$3:$A$143,$B72,Journal!$F$3:$F$143,O$3))</f>
        <v/>
      </c>
      <c r="Q72" s="86" t="str">
        <f>IF(SUMIFS(Journal!$D$3:$D$143,Journal!$A$3:$A$143,$B72,Journal!$E$3:$E$143,Q$3)=0,"",SUMIFS(Journal!$D$3:$D$143,Journal!$A$3:$A$143,$B72,Journal!$E$3:$E$143,Q$3))</f>
        <v/>
      </c>
      <c r="R72" s="86" t="str">
        <f>IF(SUMIFS(Journal!$D$3:$D$143,Journal!$A$3:$A$143,$B72,Journal!$F$3:$F$143,Q$3)=0,"",SUMIFS(Journal!$D$3:$D$143,Journal!$A$3:$A$143,$B72,Journal!$F$3:$F$143,Q$3))</f>
        <v/>
      </c>
      <c r="S72" s="86" t="str">
        <f>IF(SUMIFS(Journal!$D$3:$D$143,Journal!$A$3:$A$143,$B72,Journal!$E$3:$E$143,S$3)=0,"",SUMIFS(Journal!$D$3:$D$143,Journal!$A$3:$A$143,$B72,Journal!$E$3:$E$143,S$3))</f>
        <v/>
      </c>
      <c r="T72" s="86" t="str">
        <f>IF(SUMIFS(Journal!$D$3:$D$143,Journal!$A$3:$A$143,$B72,Journal!$F$3:$F$143,S$3)=0,"",SUMIFS(Journal!$D$3:$D$143,Journal!$A$3:$A$143,$B72,Journal!$F$3:$F$143,S$3))</f>
        <v/>
      </c>
      <c r="U72" s="86" t="str">
        <f>IF(SUMIFS(Journal!$D$3:$D$143,Journal!$A$3:$A$143,$B72,Journal!$E$3:$E$143,U$3)=0,"",SUMIFS(Journal!$D$3:$D$143,Journal!$A$3:$A$143,$B72,Journal!$E$3:$E$143,U$3))</f>
        <v/>
      </c>
      <c r="V72" s="86" t="str">
        <f>IF(SUMIFS(Journal!$D$3:$D$143,Journal!$A$3:$A$143,$B72,Journal!$F$3:$F$143,U$3)=0,"",SUMIFS(Journal!$D$3:$D$143,Journal!$A$3:$A$143,$B72,Journal!$F$3:$F$143,U$3))</f>
        <v/>
      </c>
      <c r="W72" s="86" t="str">
        <f>IF(SUMIFS(Journal!$D$3:$D$143,Journal!$A$3:$A$143,$B72,Journal!$E$3:$E$143,W$3)=0,"",SUMIFS(Journal!$D$3:$D$143,Journal!$A$3:$A$143,$B72,Journal!$E$3:$E$143,W$3))</f>
        <v/>
      </c>
      <c r="X72" s="86" t="str">
        <f>IF(SUMIFS(Journal!$D$3:$D$143,Journal!$A$3:$A$143,$B72,Journal!$F$3:$F$143,W$3)=0,"",SUMIFS(Journal!$D$3:$D$143,Journal!$A$3:$A$143,$B72,Journal!$F$3:$F$143,W$3))</f>
        <v/>
      </c>
      <c r="Y72" s="86" t="str">
        <f>IF(SUMIFS(Journal!$D$3:$D$143,Journal!$A$3:$A$143,$B72,Journal!$E$3:$E$143,Y$3)=0,"",SUMIFS(Journal!$D$3:$D$143,Journal!$A$3:$A$143,$B72,Journal!$E$3:$E$143,Y$3))</f>
        <v/>
      </c>
      <c r="Z72" s="86" t="str">
        <f>IF(SUMIFS(Journal!$D$3:$D$143,Journal!$A$3:$A$143,$B72,Journal!$F$3:$F$143,Y$3)=0,"",SUMIFS(Journal!$D$3:$D$143,Journal!$A$3:$A$143,$B72,Journal!$F$3:$F$143,Y$3))</f>
        <v/>
      </c>
      <c r="AA72" s="86" t="str">
        <f>IF(SUMIFS(Journal!$D$3:$D$143,Journal!$A$3:$A$143,$B72,Journal!$E$3:$E$143,AA$3)=0,"",SUMIFS(Journal!$D$3:$D$143,Journal!$A$3:$A$143,$B72,Journal!$E$3:$E$143,AA$3))</f>
        <v/>
      </c>
      <c r="AB72" s="86" t="str">
        <f>IF(SUMIFS(Journal!$D$3:$D$143,Journal!$A$3:$A$143,$B72,Journal!$F$3:$F$143,AA$3)=0,"",SUMIFS(Journal!$D$3:$D$143,Journal!$A$3:$A$143,$B72,Journal!$F$3:$F$143,AA$3))</f>
        <v/>
      </c>
      <c r="AC72" s="86" t="str">
        <f>IF(SUMIFS(Journal!$D$3:$D$143,Journal!$A$3:$A$143,$B72,Journal!$E$3:$E$143,AC$3)=0,"",SUMIFS(Journal!$D$3:$D$143,Journal!$A$3:$A$143,$B72,Journal!$E$3:$E$143,AC$3))</f>
        <v/>
      </c>
      <c r="AD72" s="86" t="str">
        <f>IF(SUMIFS(Journal!$D$3:$D$143,Journal!$A$3:$A$143,$B72,Journal!$F$3:$F$143,AC$3)=0,"",SUMIFS(Journal!$D$3:$D$143,Journal!$A$3:$A$143,$B72,Journal!$F$3:$F$143,AC$3))</f>
        <v/>
      </c>
      <c r="AE72" s="86" t="str">
        <f>IF(SUMIFS(Journal!$D$3:$D$143,Journal!$A$3:$A$143,$B72,Journal!$E$3:$E$143,AE$3)=0,"",SUMIFS(Journal!$D$3:$D$143,Journal!$A$3:$A$143,$B72,Journal!$E$3:$E$143,AE$3))</f>
        <v/>
      </c>
      <c r="AF72" s="86" t="str">
        <f>IF(SUMIFS(Journal!$D$3:$D$143,Journal!$A$3:$A$143,$B72,Journal!$F$3:$F$143,AE$3)=0,"",SUMIFS(Journal!$D$3:$D$143,Journal!$A$3:$A$143,$B72,Journal!$F$3:$F$143,AE$3))</f>
        <v/>
      </c>
      <c r="AG72" s="86">
        <f>IF(SUMIFS(Journal!$D$3:$D$143,Journal!$A$3:$A$143,$B72,Journal!$E$3:$E$143,AG$3)=0,"",SUMIFS(Journal!$D$3:$D$143,Journal!$A$3:$A$143,$B72,Journal!$E$3:$E$143,AG$3))</f>
        <v>12160</v>
      </c>
      <c r="AH72" s="86" t="str">
        <f>IF(SUMIFS(Journal!$D$3:$D$143,Journal!$A$3:$A$143,$B72,Journal!$F$3:$F$143,AG$3)=0,"",SUMIFS(Journal!$D$3:$D$143,Journal!$A$3:$A$143,$B72,Journal!$F$3:$F$143,AG$3))</f>
        <v/>
      </c>
      <c r="AI72" s="86" t="str">
        <f>IF(SUMIFS(Journal!$D$3:$D$143,Journal!$A$3:$A$143,$B72,Journal!$E$3:$E$143,AI$3)=0,"",SUMIFS(Journal!$D$3:$D$143,Journal!$A$3:$A$143,$B72,Journal!$E$3:$E$143,AI$3))</f>
        <v/>
      </c>
      <c r="AJ72" s="86" t="str">
        <f>IF(SUMIFS(Journal!$D$3:$D$143,Journal!$A$3:$A$143,$B72,Journal!$F$3:$F$143,AI$3)=0,"",SUMIFS(Journal!$D$3:$D$143,Journal!$A$3:$A$143,$B72,Journal!$F$3:$F$143,AI$3))</f>
        <v/>
      </c>
      <c r="AK72" s="86" t="str">
        <f>IF(SUMIFS(Journal!$D$3:$D$143,Journal!$A$3:$A$143,$B72,Journal!$E$3:$E$143,AK$3)=0,"",SUMIFS(Journal!$D$3:$D$143,Journal!$A$3:$A$143,$B72,Journal!$E$3:$E$143,AK$3))</f>
        <v/>
      </c>
      <c r="AL72" s="86" t="str">
        <f>IF(SUMIFS(Journal!$D$3:$D$143,Journal!$A$3:$A$143,$B72,Journal!$F$3:$F$143,AK$3)=0,"",SUMIFS(Journal!$D$3:$D$143,Journal!$A$3:$A$143,$B72,Journal!$F$3:$F$143,AK$3))</f>
        <v/>
      </c>
      <c r="AM72" s="86" t="str">
        <f>IF(SUMIFS(Journal!$D$3:$D$143,Journal!$A$3:$A$143,$B72,Journal!$E$3:$E$143,AM$3)=0,"",SUMIFS(Journal!$D$3:$D$143,Journal!$A$3:$A$143,$B72,Journal!$E$3:$E$143,AM$3))</f>
        <v/>
      </c>
      <c r="AN72" s="86" t="str">
        <f>IF(SUMIFS(Journal!$D$3:$D$143,Journal!$A$3:$A$143,$B72,Journal!$F$3:$F$143,AM$3)=0,"",SUMIFS(Journal!$D$3:$D$143,Journal!$A$3:$A$143,$B72,Journal!$F$3:$F$143,AM$3))</f>
        <v/>
      </c>
      <c r="AO72" s="86" t="str">
        <f>IF(SUMIFS(Journal!$D$3:$D$143,Journal!$A$3:$A$143,$B72,Journal!$E$3:$E$143,AO$3)=0,"",SUMIFS(Journal!$D$3:$D$143,Journal!$A$3:$A$143,$B72,Journal!$E$3:$E$143,AO$3))</f>
        <v/>
      </c>
      <c r="AP72" s="86" t="str">
        <f>IF(SUMIFS(Journal!$D$3:$D$143,Journal!$A$3:$A$143,$B72,Journal!$F$3:$F$143,AO$3)=0,"",SUMIFS(Journal!$D$3:$D$143,Journal!$A$3:$A$143,$B72,Journal!$F$3:$F$143,AO$3))</f>
        <v/>
      </c>
      <c r="AQ72" s="86" t="str">
        <f>IF(SUMIFS(Journal!$D$3:$D$143,Journal!$A$3:$A$143,$B72,Journal!$E$3:$E$143,AQ$3)=0,"",SUMIFS(Journal!$D$3:$D$143,Journal!$A$3:$A$143,$B72,Journal!$E$3:$E$143,AQ$3))</f>
        <v/>
      </c>
      <c r="AR72" s="86" t="str">
        <f>IF(SUMIFS(Journal!$D$3:$D$143,Journal!$A$3:$A$143,$B72,Journal!$F$3:$F$143,AQ$3)=0,"",SUMIFS(Journal!$D$3:$D$143,Journal!$A$3:$A$143,$B72,Journal!$F$3:$F$143,AQ$3))</f>
        <v/>
      </c>
      <c r="AS72" s="86" t="str">
        <f>IF(SUMIFS(Journal!$D$3:$D$143,Journal!$A$3:$A$143,$B72,Journal!$E$3:$E$143,AS$3)=0,"",SUMIFS(Journal!$D$3:$D$143,Journal!$A$3:$A$143,$B72,Journal!$E$3:$E$143,AS$3))</f>
        <v/>
      </c>
      <c r="AT72" s="86" t="str">
        <f>IF(SUMIFS(Journal!$D$3:$D$143,Journal!$A$3:$A$143,$B72,Journal!$F$3:$F$143,AS$3)=0,"",SUMIFS(Journal!$D$3:$D$143,Journal!$A$3:$A$143,$B72,Journal!$F$3:$F$143,AS$3))</f>
        <v/>
      </c>
      <c r="AU72" s="86" t="str">
        <f>IF(SUMIFS(Journal!$D$3:$D$143,Journal!$A$3:$A$143,$B72,Journal!$E$3:$E$143,AU$3)=0,"",SUMIFS(Journal!$D$3:$D$143,Journal!$A$3:$A$143,$B72,Journal!$E$3:$E$143,AU$3))</f>
        <v/>
      </c>
      <c r="AV72" s="86" t="str">
        <f>IF(SUMIFS(Journal!$D$3:$D$143,Journal!$A$3:$A$143,$B72,Journal!$F$3:$F$143,AU$3)=0,"",SUMIFS(Journal!$D$3:$D$143,Journal!$A$3:$A$143,$B72,Journal!$F$3:$F$143,AU$3))</f>
        <v/>
      </c>
      <c r="AW72" s="86" t="str">
        <f>IF(SUMIFS(Journal!$D$3:$D$143,Journal!$A$3:$A$143,$B72,Journal!$E$3:$E$143,AW$3)=0,"",SUMIFS(Journal!$D$3:$D$143,Journal!$A$3:$A$143,$B72,Journal!$E$3:$E$143,AW$3))</f>
        <v/>
      </c>
      <c r="AX72" s="86" t="str">
        <f>IF(SUMIFS(Journal!$D$3:$D$143,Journal!$A$3:$A$143,$B72,Journal!$F$3:$F$143,AW$3)=0,"",SUMIFS(Journal!$D$3:$D$143,Journal!$A$3:$A$143,$B72,Journal!$F$3:$F$143,AW$3))</f>
        <v/>
      </c>
      <c r="AY72" s="86" t="str">
        <f>IF(SUMIFS(Journal!$D$3:$D$143,Journal!$A$3:$A$143,$B72,Journal!$E$3:$E$143,AY$3)=0,"",SUMIFS(Journal!$D$3:$D$143,Journal!$A$3:$A$143,$B72,Journal!$E$3:$E$143,AY$3))</f>
        <v/>
      </c>
      <c r="AZ72" s="86" t="str">
        <f>IF(SUMIFS(Journal!$D$3:$D$143,Journal!$A$3:$A$143,$B72,Journal!$F$3:$F$143,AY$3)=0,"",SUMIFS(Journal!$D$3:$D$143,Journal!$A$3:$A$143,$B72,Journal!$F$3:$F$143,AY$3))</f>
        <v/>
      </c>
      <c r="BA72" s="86" t="str">
        <f>IF(SUMIFS(Journal!$D$3:$D$143,Journal!$A$3:$A$143,$B72,Journal!$E$3:$E$143,BA$3)=0,"",SUMIFS(Journal!$D$3:$D$143,Journal!$A$3:$A$143,$B72,Journal!$E$3:$E$143,BA$3))</f>
        <v/>
      </c>
      <c r="BB72" s="86" t="str">
        <f>IF(SUMIFS(Journal!$D$3:$D$143,Journal!$A$3:$A$143,$B72,Journal!$F$3:$F$143,BA$3)=0,"",SUMIFS(Journal!$D$3:$D$143,Journal!$A$3:$A$143,$B72,Journal!$F$3:$F$143,BA$3))</f>
        <v/>
      </c>
    </row>
    <row r="73">
      <c r="A73" s="84">
        <f>VLOOKUP(B73,Journal!$A$3:$C$143,2,FALSE)</f>
        <v>45468</v>
      </c>
      <c r="B73" s="85" t="s">
        <v>473</v>
      </c>
      <c r="C73" s="86" t="str">
        <f>VLOOKUP(B73,Journal!$A$3:$C$143,3,FALSE)</f>
        <v>Facility equipment installation</v>
      </c>
      <c r="D73" s="86">
        <f>SUMIF(Journal!$A$3:$A$143,B73,Journal!$D$3:$D$143)</f>
        <v>3600</v>
      </c>
      <c r="E73" s="86" t="str">
        <f>IF(SUMIFS(Journal!$D$3:$D$143,Journal!$A$3:$A$143,$B73,Journal!$E$3:$E$143,E$3)=0,"",SUMIFS(Journal!$D$3:$D$143,Journal!$A$3:$A$143,$B73,Journal!$E$3:$E$143,E$3))</f>
        <v/>
      </c>
      <c r="F73" s="86">
        <f>IF(SUMIFS(Journal!$D$3:$D$143,Journal!$A$3:$A$143,$B73,Journal!$F$3:$F$143,E$3)=0,"",SUMIFS(Journal!$D$3:$D$143,Journal!$A$3:$A$143,$B73,Journal!$F$3:$F$143,E$3))</f>
        <v>3600</v>
      </c>
      <c r="G73" s="86" t="str">
        <f>IF(SUMIFS(Journal!$D$3:$D$143,Journal!$A$3:$A$143,$B73,Journal!$E$3:$E$143,G$3)=0,"",SUMIFS(Journal!$D$3:$D$143,Journal!$A$3:$A$143,$B73,Journal!$E$3:$E$143,G$3))</f>
        <v/>
      </c>
      <c r="H73" s="86" t="str">
        <f>IF(SUMIFS(Journal!$D$3:$D$143,Journal!$A$3:$A$143,$B73,Journal!$F$3:$F$143,G$3)=0,"",SUMIFS(Journal!$D$3:$D$143,Journal!$A$3:$A$143,$B73,Journal!$F$3:$F$143,G$3))</f>
        <v/>
      </c>
      <c r="I73" s="86" t="str">
        <f>IF(SUMIFS(Journal!$D$3:$D$143,Journal!$A$3:$A$143,$B73,Journal!$E$3:$E$143,I$3)=0,"",SUMIFS(Journal!$D$3:$D$143,Journal!$A$3:$A$143,$B73,Journal!$E$3:$E$143,I$3))</f>
        <v/>
      </c>
      <c r="J73" s="86" t="str">
        <f>IF(SUMIFS(Journal!$D$3:$D$143,Journal!$A$3:$A$143,$B73,Journal!$F$3:$F$143,I$3)=0,"",SUMIFS(Journal!$D$3:$D$143,Journal!$A$3:$A$143,$B73,Journal!$F$3:$F$143,I$3))</f>
        <v/>
      </c>
      <c r="K73" s="86" t="str">
        <f>IF(SUMIFS(Journal!$D$3:$D$143,Journal!$A$3:$A$143,$B73,Journal!$E$3:$E$143,K$3)=0,"",SUMIFS(Journal!$D$3:$D$143,Journal!$A$3:$A$143,$B73,Journal!$E$3:$E$143,K$3))</f>
        <v/>
      </c>
      <c r="L73" s="86" t="str">
        <f>IF(SUMIFS(Journal!$D$3:$D$143,Journal!$A$3:$A$143,$B73,Journal!$F$3:$F$143,K$3)=0,"",SUMIFS(Journal!$D$3:$D$143,Journal!$A$3:$A$143,$B73,Journal!$F$3:$F$143,K$3))</f>
        <v/>
      </c>
      <c r="M73" s="86">
        <f>IF(SUMIFS(Journal!$D$3:$D$143,Journal!$A$3:$A$143,$B73,Journal!$E$3:$E$143,M$3)=0,"",SUMIFS(Journal!$D$3:$D$143,Journal!$A$3:$A$143,$B73,Journal!$E$3:$E$143,M$3))</f>
        <v>3600</v>
      </c>
      <c r="N73" s="86" t="str">
        <f>IF(SUMIFS(Journal!$D$3:$D$143,Journal!$A$3:$A$143,$B73,Journal!$F$3:$F$143,M$3)=0,"",SUMIFS(Journal!$D$3:$D$143,Journal!$A$3:$A$143,$B73,Journal!$F$3:$F$143,M$3))</f>
        <v/>
      </c>
      <c r="O73" s="86" t="str">
        <f>IF(SUMIFS(Journal!$D$3:$D$143,Journal!$A$3:$A$143,$B73,Journal!$E$3:$E$143,O$3)=0,"",SUMIFS(Journal!$D$3:$D$143,Journal!$A$3:$A$143,$B73,Journal!$E$3:$E$143,O$3))</f>
        <v/>
      </c>
      <c r="P73" s="86" t="str">
        <f>IF(SUMIFS(Journal!$D$3:$D$143,Journal!$A$3:$A$143,$B73,Journal!$F$3:$F$143,O$3)=0,"",SUMIFS(Journal!$D$3:$D$143,Journal!$A$3:$A$143,$B73,Journal!$F$3:$F$143,O$3))</f>
        <v/>
      </c>
      <c r="Q73" s="86" t="str">
        <f>IF(SUMIFS(Journal!$D$3:$D$143,Journal!$A$3:$A$143,$B73,Journal!$E$3:$E$143,Q$3)=0,"",SUMIFS(Journal!$D$3:$D$143,Journal!$A$3:$A$143,$B73,Journal!$E$3:$E$143,Q$3))</f>
        <v/>
      </c>
      <c r="R73" s="86" t="str">
        <f>IF(SUMIFS(Journal!$D$3:$D$143,Journal!$A$3:$A$143,$B73,Journal!$F$3:$F$143,Q$3)=0,"",SUMIFS(Journal!$D$3:$D$143,Journal!$A$3:$A$143,$B73,Journal!$F$3:$F$143,Q$3))</f>
        <v/>
      </c>
      <c r="S73" s="86" t="str">
        <f>IF(SUMIFS(Journal!$D$3:$D$143,Journal!$A$3:$A$143,$B73,Journal!$E$3:$E$143,S$3)=0,"",SUMIFS(Journal!$D$3:$D$143,Journal!$A$3:$A$143,$B73,Journal!$E$3:$E$143,S$3))</f>
        <v/>
      </c>
      <c r="T73" s="86" t="str">
        <f>IF(SUMIFS(Journal!$D$3:$D$143,Journal!$A$3:$A$143,$B73,Journal!$F$3:$F$143,S$3)=0,"",SUMIFS(Journal!$D$3:$D$143,Journal!$A$3:$A$143,$B73,Journal!$F$3:$F$143,S$3))</f>
        <v/>
      </c>
      <c r="U73" s="86" t="str">
        <f>IF(SUMIFS(Journal!$D$3:$D$143,Journal!$A$3:$A$143,$B73,Journal!$E$3:$E$143,U$3)=0,"",SUMIFS(Journal!$D$3:$D$143,Journal!$A$3:$A$143,$B73,Journal!$E$3:$E$143,U$3))</f>
        <v/>
      </c>
      <c r="V73" s="86" t="str">
        <f>IF(SUMIFS(Journal!$D$3:$D$143,Journal!$A$3:$A$143,$B73,Journal!$F$3:$F$143,U$3)=0,"",SUMIFS(Journal!$D$3:$D$143,Journal!$A$3:$A$143,$B73,Journal!$F$3:$F$143,U$3))</f>
        <v/>
      </c>
      <c r="W73" s="86" t="str">
        <f>IF(SUMIFS(Journal!$D$3:$D$143,Journal!$A$3:$A$143,$B73,Journal!$E$3:$E$143,W$3)=0,"",SUMIFS(Journal!$D$3:$D$143,Journal!$A$3:$A$143,$B73,Journal!$E$3:$E$143,W$3))</f>
        <v/>
      </c>
      <c r="X73" s="86" t="str">
        <f>IF(SUMIFS(Journal!$D$3:$D$143,Journal!$A$3:$A$143,$B73,Journal!$F$3:$F$143,W$3)=0,"",SUMIFS(Journal!$D$3:$D$143,Journal!$A$3:$A$143,$B73,Journal!$F$3:$F$143,W$3))</f>
        <v/>
      </c>
      <c r="Y73" s="86" t="str">
        <f>IF(SUMIFS(Journal!$D$3:$D$143,Journal!$A$3:$A$143,$B73,Journal!$E$3:$E$143,Y$3)=0,"",SUMIFS(Journal!$D$3:$D$143,Journal!$A$3:$A$143,$B73,Journal!$E$3:$E$143,Y$3))</f>
        <v/>
      </c>
      <c r="Z73" s="86" t="str">
        <f>IF(SUMIFS(Journal!$D$3:$D$143,Journal!$A$3:$A$143,$B73,Journal!$F$3:$F$143,Y$3)=0,"",SUMIFS(Journal!$D$3:$D$143,Journal!$A$3:$A$143,$B73,Journal!$F$3:$F$143,Y$3))</f>
        <v/>
      </c>
      <c r="AA73" s="86" t="str">
        <f>IF(SUMIFS(Journal!$D$3:$D$143,Journal!$A$3:$A$143,$B73,Journal!$E$3:$E$143,AA$3)=0,"",SUMIFS(Journal!$D$3:$D$143,Journal!$A$3:$A$143,$B73,Journal!$E$3:$E$143,AA$3))</f>
        <v/>
      </c>
      <c r="AB73" s="86" t="str">
        <f>IF(SUMIFS(Journal!$D$3:$D$143,Journal!$A$3:$A$143,$B73,Journal!$F$3:$F$143,AA$3)=0,"",SUMIFS(Journal!$D$3:$D$143,Journal!$A$3:$A$143,$B73,Journal!$F$3:$F$143,AA$3))</f>
        <v/>
      </c>
      <c r="AC73" s="86" t="str">
        <f>IF(SUMIFS(Journal!$D$3:$D$143,Journal!$A$3:$A$143,$B73,Journal!$E$3:$E$143,AC$3)=0,"",SUMIFS(Journal!$D$3:$D$143,Journal!$A$3:$A$143,$B73,Journal!$E$3:$E$143,AC$3))</f>
        <v/>
      </c>
      <c r="AD73" s="86" t="str">
        <f>IF(SUMIFS(Journal!$D$3:$D$143,Journal!$A$3:$A$143,$B73,Journal!$F$3:$F$143,AC$3)=0,"",SUMIFS(Journal!$D$3:$D$143,Journal!$A$3:$A$143,$B73,Journal!$F$3:$F$143,AC$3))</f>
        <v/>
      </c>
      <c r="AE73" s="86" t="str">
        <f>IF(SUMIFS(Journal!$D$3:$D$143,Journal!$A$3:$A$143,$B73,Journal!$E$3:$E$143,AE$3)=0,"",SUMIFS(Journal!$D$3:$D$143,Journal!$A$3:$A$143,$B73,Journal!$E$3:$E$143,AE$3))</f>
        <v/>
      </c>
      <c r="AF73" s="86" t="str">
        <f>IF(SUMIFS(Journal!$D$3:$D$143,Journal!$A$3:$A$143,$B73,Journal!$F$3:$F$143,AE$3)=0,"",SUMIFS(Journal!$D$3:$D$143,Journal!$A$3:$A$143,$B73,Journal!$F$3:$F$143,AE$3))</f>
        <v/>
      </c>
      <c r="AG73" s="86" t="str">
        <f>IF(SUMIFS(Journal!$D$3:$D$143,Journal!$A$3:$A$143,$B73,Journal!$E$3:$E$143,AG$3)=0,"",SUMIFS(Journal!$D$3:$D$143,Journal!$A$3:$A$143,$B73,Journal!$E$3:$E$143,AG$3))</f>
        <v/>
      </c>
      <c r="AH73" s="86" t="str">
        <f>IF(SUMIFS(Journal!$D$3:$D$143,Journal!$A$3:$A$143,$B73,Journal!$F$3:$F$143,AG$3)=0,"",SUMIFS(Journal!$D$3:$D$143,Journal!$A$3:$A$143,$B73,Journal!$F$3:$F$143,AG$3))</f>
        <v/>
      </c>
      <c r="AI73" s="86" t="str">
        <f>IF(SUMIFS(Journal!$D$3:$D$143,Journal!$A$3:$A$143,$B73,Journal!$E$3:$E$143,AI$3)=0,"",SUMIFS(Journal!$D$3:$D$143,Journal!$A$3:$A$143,$B73,Journal!$E$3:$E$143,AI$3))</f>
        <v/>
      </c>
      <c r="AJ73" s="86" t="str">
        <f>IF(SUMIFS(Journal!$D$3:$D$143,Journal!$A$3:$A$143,$B73,Journal!$F$3:$F$143,AI$3)=0,"",SUMIFS(Journal!$D$3:$D$143,Journal!$A$3:$A$143,$B73,Journal!$F$3:$F$143,AI$3))</f>
        <v/>
      </c>
      <c r="AK73" s="86" t="str">
        <f>IF(SUMIFS(Journal!$D$3:$D$143,Journal!$A$3:$A$143,$B73,Journal!$E$3:$E$143,AK$3)=0,"",SUMIFS(Journal!$D$3:$D$143,Journal!$A$3:$A$143,$B73,Journal!$E$3:$E$143,AK$3))</f>
        <v/>
      </c>
      <c r="AL73" s="86" t="str">
        <f>IF(SUMIFS(Journal!$D$3:$D$143,Journal!$A$3:$A$143,$B73,Journal!$F$3:$F$143,AK$3)=0,"",SUMIFS(Journal!$D$3:$D$143,Journal!$A$3:$A$143,$B73,Journal!$F$3:$F$143,AK$3))</f>
        <v/>
      </c>
      <c r="AM73" s="86" t="str">
        <f>IF(SUMIFS(Journal!$D$3:$D$143,Journal!$A$3:$A$143,$B73,Journal!$E$3:$E$143,AM$3)=0,"",SUMIFS(Journal!$D$3:$D$143,Journal!$A$3:$A$143,$B73,Journal!$E$3:$E$143,AM$3))</f>
        <v/>
      </c>
      <c r="AN73" s="86" t="str">
        <f>IF(SUMIFS(Journal!$D$3:$D$143,Journal!$A$3:$A$143,$B73,Journal!$F$3:$F$143,AM$3)=0,"",SUMIFS(Journal!$D$3:$D$143,Journal!$A$3:$A$143,$B73,Journal!$F$3:$F$143,AM$3))</f>
        <v/>
      </c>
      <c r="AO73" s="86" t="str">
        <f>IF(SUMIFS(Journal!$D$3:$D$143,Journal!$A$3:$A$143,$B73,Journal!$E$3:$E$143,AO$3)=0,"",SUMIFS(Journal!$D$3:$D$143,Journal!$A$3:$A$143,$B73,Journal!$E$3:$E$143,AO$3))</f>
        <v/>
      </c>
      <c r="AP73" s="86" t="str">
        <f>IF(SUMIFS(Journal!$D$3:$D$143,Journal!$A$3:$A$143,$B73,Journal!$F$3:$F$143,AO$3)=0,"",SUMIFS(Journal!$D$3:$D$143,Journal!$A$3:$A$143,$B73,Journal!$F$3:$F$143,AO$3))</f>
        <v/>
      </c>
      <c r="AQ73" s="86" t="str">
        <f>IF(SUMIFS(Journal!$D$3:$D$143,Journal!$A$3:$A$143,$B73,Journal!$E$3:$E$143,AQ$3)=0,"",SUMIFS(Journal!$D$3:$D$143,Journal!$A$3:$A$143,$B73,Journal!$E$3:$E$143,AQ$3))</f>
        <v/>
      </c>
      <c r="AR73" s="86" t="str">
        <f>IF(SUMIFS(Journal!$D$3:$D$143,Journal!$A$3:$A$143,$B73,Journal!$F$3:$F$143,AQ$3)=0,"",SUMIFS(Journal!$D$3:$D$143,Journal!$A$3:$A$143,$B73,Journal!$F$3:$F$143,AQ$3))</f>
        <v/>
      </c>
      <c r="AS73" s="86" t="str">
        <f>IF(SUMIFS(Journal!$D$3:$D$143,Journal!$A$3:$A$143,$B73,Journal!$E$3:$E$143,AS$3)=0,"",SUMIFS(Journal!$D$3:$D$143,Journal!$A$3:$A$143,$B73,Journal!$E$3:$E$143,AS$3))</f>
        <v/>
      </c>
      <c r="AT73" s="86" t="str">
        <f>IF(SUMIFS(Journal!$D$3:$D$143,Journal!$A$3:$A$143,$B73,Journal!$F$3:$F$143,AS$3)=0,"",SUMIFS(Journal!$D$3:$D$143,Journal!$A$3:$A$143,$B73,Journal!$F$3:$F$143,AS$3))</f>
        <v/>
      </c>
      <c r="AU73" s="86" t="str">
        <f>IF(SUMIFS(Journal!$D$3:$D$143,Journal!$A$3:$A$143,$B73,Journal!$E$3:$E$143,AU$3)=0,"",SUMIFS(Journal!$D$3:$D$143,Journal!$A$3:$A$143,$B73,Journal!$E$3:$E$143,AU$3))</f>
        <v/>
      </c>
      <c r="AV73" s="86" t="str">
        <f>IF(SUMIFS(Journal!$D$3:$D$143,Journal!$A$3:$A$143,$B73,Journal!$F$3:$F$143,AU$3)=0,"",SUMIFS(Journal!$D$3:$D$143,Journal!$A$3:$A$143,$B73,Journal!$F$3:$F$143,AU$3))</f>
        <v/>
      </c>
      <c r="AW73" s="86" t="str">
        <f>IF(SUMIFS(Journal!$D$3:$D$143,Journal!$A$3:$A$143,$B73,Journal!$E$3:$E$143,AW$3)=0,"",SUMIFS(Journal!$D$3:$D$143,Journal!$A$3:$A$143,$B73,Journal!$E$3:$E$143,AW$3))</f>
        <v/>
      </c>
      <c r="AX73" s="86" t="str">
        <f>IF(SUMIFS(Journal!$D$3:$D$143,Journal!$A$3:$A$143,$B73,Journal!$F$3:$F$143,AW$3)=0,"",SUMIFS(Journal!$D$3:$D$143,Journal!$A$3:$A$143,$B73,Journal!$F$3:$F$143,AW$3))</f>
        <v/>
      </c>
      <c r="AY73" s="86" t="str">
        <f>IF(SUMIFS(Journal!$D$3:$D$143,Journal!$A$3:$A$143,$B73,Journal!$E$3:$E$143,AY$3)=0,"",SUMIFS(Journal!$D$3:$D$143,Journal!$A$3:$A$143,$B73,Journal!$E$3:$E$143,AY$3))</f>
        <v/>
      </c>
      <c r="AZ73" s="86" t="str">
        <f>IF(SUMIFS(Journal!$D$3:$D$143,Journal!$A$3:$A$143,$B73,Journal!$F$3:$F$143,AY$3)=0,"",SUMIFS(Journal!$D$3:$D$143,Journal!$A$3:$A$143,$B73,Journal!$F$3:$F$143,AY$3))</f>
        <v/>
      </c>
      <c r="BA73" s="86" t="str">
        <f>IF(SUMIFS(Journal!$D$3:$D$143,Journal!$A$3:$A$143,$B73,Journal!$E$3:$E$143,BA$3)=0,"",SUMIFS(Journal!$D$3:$D$143,Journal!$A$3:$A$143,$B73,Journal!$E$3:$E$143,BA$3))</f>
        <v/>
      </c>
      <c r="BB73" s="86" t="str">
        <f>IF(SUMIFS(Journal!$D$3:$D$143,Journal!$A$3:$A$143,$B73,Journal!$F$3:$F$143,BA$3)=0,"",SUMIFS(Journal!$D$3:$D$143,Journal!$A$3:$A$143,$B73,Journal!$F$3:$F$143,BA$3))</f>
        <v/>
      </c>
    </row>
    <row r="74">
      <c r="A74" s="84">
        <f>VLOOKUP(B74,Journal!$A$3:$C$143,2,FALSE)</f>
        <v>45473</v>
      </c>
      <c r="B74" s="85" t="s">
        <v>479</v>
      </c>
      <c r="C74" s="86" t="str">
        <f>VLOOKUP(B74,Journal!$A$3:$C$143,3,FALSE)</f>
        <v>Monthly utility settlement</v>
      </c>
      <c r="D74" s="86">
        <f>SUMIF(Journal!$A$3:$A$143,B74,Journal!$D$3:$D$143)</f>
        <v>1173</v>
      </c>
      <c r="E74" s="86" t="str">
        <f>IF(SUMIFS(Journal!$D$3:$D$143,Journal!$A$3:$A$143,$B74,Journal!$E$3:$E$143,E$3)=0,"",SUMIFS(Journal!$D$3:$D$143,Journal!$A$3:$A$143,$B74,Journal!$E$3:$E$143,E$3))</f>
        <v/>
      </c>
      <c r="F74" s="86">
        <f>IF(SUMIFS(Journal!$D$3:$D$143,Journal!$A$3:$A$143,$B74,Journal!$F$3:$F$143,E$3)=0,"",SUMIFS(Journal!$D$3:$D$143,Journal!$A$3:$A$143,$B74,Journal!$F$3:$F$143,E$3))</f>
        <v>1173</v>
      </c>
      <c r="G74" s="86" t="str">
        <f>IF(SUMIFS(Journal!$D$3:$D$143,Journal!$A$3:$A$143,$B74,Journal!$E$3:$E$143,G$3)=0,"",SUMIFS(Journal!$D$3:$D$143,Journal!$A$3:$A$143,$B74,Journal!$E$3:$E$143,G$3))</f>
        <v/>
      </c>
      <c r="H74" s="86" t="str">
        <f>IF(SUMIFS(Journal!$D$3:$D$143,Journal!$A$3:$A$143,$B74,Journal!$F$3:$F$143,G$3)=0,"",SUMIFS(Journal!$D$3:$D$143,Journal!$A$3:$A$143,$B74,Journal!$F$3:$F$143,G$3))</f>
        <v/>
      </c>
      <c r="I74" s="86" t="str">
        <f>IF(SUMIFS(Journal!$D$3:$D$143,Journal!$A$3:$A$143,$B74,Journal!$E$3:$E$143,I$3)=0,"",SUMIFS(Journal!$D$3:$D$143,Journal!$A$3:$A$143,$B74,Journal!$E$3:$E$143,I$3))</f>
        <v/>
      </c>
      <c r="J74" s="86" t="str">
        <f>IF(SUMIFS(Journal!$D$3:$D$143,Journal!$A$3:$A$143,$B74,Journal!$F$3:$F$143,I$3)=0,"",SUMIFS(Journal!$D$3:$D$143,Journal!$A$3:$A$143,$B74,Journal!$F$3:$F$143,I$3))</f>
        <v/>
      </c>
      <c r="K74" s="86" t="str">
        <f>IF(SUMIFS(Journal!$D$3:$D$143,Journal!$A$3:$A$143,$B74,Journal!$E$3:$E$143,K$3)=0,"",SUMIFS(Journal!$D$3:$D$143,Journal!$A$3:$A$143,$B74,Journal!$E$3:$E$143,K$3))</f>
        <v/>
      </c>
      <c r="L74" s="86" t="str">
        <f>IF(SUMIFS(Journal!$D$3:$D$143,Journal!$A$3:$A$143,$B74,Journal!$F$3:$F$143,K$3)=0,"",SUMIFS(Journal!$D$3:$D$143,Journal!$A$3:$A$143,$B74,Journal!$F$3:$F$143,K$3))</f>
        <v/>
      </c>
      <c r="M74" s="86" t="str">
        <f>IF(SUMIFS(Journal!$D$3:$D$143,Journal!$A$3:$A$143,$B74,Journal!$E$3:$E$143,M$3)=0,"",SUMIFS(Journal!$D$3:$D$143,Journal!$A$3:$A$143,$B74,Journal!$E$3:$E$143,M$3))</f>
        <v/>
      </c>
      <c r="N74" s="86" t="str">
        <f>IF(SUMIFS(Journal!$D$3:$D$143,Journal!$A$3:$A$143,$B74,Journal!$F$3:$F$143,M$3)=0,"",SUMIFS(Journal!$D$3:$D$143,Journal!$A$3:$A$143,$B74,Journal!$F$3:$F$143,M$3))</f>
        <v/>
      </c>
      <c r="O74" s="86" t="str">
        <f>IF(SUMIFS(Journal!$D$3:$D$143,Journal!$A$3:$A$143,$B74,Journal!$E$3:$E$143,O$3)=0,"",SUMIFS(Journal!$D$3:$D$143,Journal!$A$3:$A$143,$B74,Journal!$E$3:$E$143,O$3))</f>
        <v/>
      </c>
      <c r="P74" s="86" t="str">
        <f>IF(SUMIFS(Journal!$D$3:$D$143,Journal!$A$3:$A$143,$B74,Journal!$F$3:$F$143,O$3)=0,"",SUMIFS(Journal!$D$3:$D$143,Journal!$A$3:$A$143,$B74,Journal!$F$3:$F$143,O$3))</f>
        <v/>
      </c>
      <c r="Q74" s="86" t="str">
        <f>IF(SUMIFS(Journal!$D$3:$D$143,Journal!$A$3:$A$143,$B74,Journal!$E$3:$E$143,Q$3)=0,"",SUMIFS(Journal!$D$3:$D$143,Journal!$A$3:$A$143,$B74,Journal!$E$3:$E$143,Q$3))</f>
        <v/>
      </c>
      <c r="R74" s="86" t="str">
        <f>IF(SUMIFS(Journal!$D$3:$D$143,Journal!$A$3:$A$143,$B74,Journal!$F$3:$F$143,Q$3)=0,"",SUMIFS(Journal!$D$3:$D$143,Journal!$A$3:$A$143,$B74,Journal!$F$3:$F$143,Q$3))</f>
        <v/>
      </c>
      <c r="S74" s="86" t="str">
        <f>IF(SUMIFS(Journal!$D$3:$D$143,Journal!$A$3:$A$143,$B74,Journal!$E$3:$E$143,S$3)=0,"",SUMIFS(Journal!$D$3:$D$143,Journal!$A$3:$A$143,$B74,Journal!$E$3:$E$143,S$3))</f>
        <v/>
      </c>
      <c r="T74" s="86" t="str">
        <f>IF(SUMIFS(Journal!$D$3:$D$143,Journal!$A$3:$A$143,$B74,Journal!$F$3:$F$143,S$3)=0,"",SUMIFS(Journal!$D$3:$D$143,Journal!$A$3:$A$143,$B74,Journal!$F$3:$F$143,S$3))</f>
        <v/>
      </c>
      <c r="U74" s="86" t="str">
        <f>IF(SUMIFS(Journal!$D$3:$D$143,Journal!$A$3:$A$143,$B74,Journal!$E$3:$E$143,U$3)=0,"",SUMIFS(Journal!$D$3:$D$143,Journal!$A$3:$A$143,$B74,Journal!$E$3:$E$143,U$3))</f>
        <v/>
      </c>
      <c r="V74" s="86" t="str">
        <f>IF(SUMIFS(Journal!$D$3:$D$143,Journal!$A$3:$A$143,$B74,Journal!$F$3:$F$143,U$3)=0,"",SUMIFS(Journal!$D$3:$D$143,Journal!$A$3:$A$143,$B74,Journal!$F$3:$F$143,U$3))</f>
        <v/>
      </c>
      <c r="W74" s="86" t="str">
        <f>IF(SUMIFS(Journal!$D$3:$D$143,Journal!$A$3:$A$143,$B74,Journal!$E$3:$E$143,W$3)=0,"",SUMIFS(Journal!$D$3:$D$143,Journal!$A$3:$A$143,$B74,Journal!$E$3:$E$143,W$3))</f>
        <v/>
      </c>
      <c r="X74" s="86" t="str">
        <f>IF(SUMIFS(Journal!$D$3:$D$143,Journal!$A$3:$A$143,$B74,Journal!$F$3:$F$143,W$3)=0,"",SUMIFS(Journal!$D$3:$D$143,Journal!$A$3:$A$143,$B74,Journal!$F$3:$F$143,W$3))</f>
        <v/>
      </c>
      <c r="Y74" s="86" t="str">
        <f>IF(SUMIFS(Journal!$D$3:$D$143,Journal!$A$3:$A$143,$B74,Journal!$E$3:$E$143,Y$3)=0,"",SUMIFS(Journal!$D$3:$D$143,Journal!$A$3:$A$143,$B74,Journal!$E$3:$E$143,Y$3))</f>
        <v/>
      </c>
      <c r="Z74" s="86" t="str">
        <f>IF(SUMIFS(Journal!$D$3:$D$143,Journal!$A$3:$A$143,$B74,Journal!$F$3:$F$143,Y$3)=0,"",SUMIFS(Journal!$D$3:$D$143,Journal!$A$3:$A$143,$B74,Journal!$F$3:$F$143,Y$3))</f>
        <v/>
      </c>
      <c r="AA74" s="86" t="str">
        <f>IF(SUMIFS(Journal!$D$3:$D$143,Journal!$A$3:$A$143,$B74,Journal!$E$3:$E$143,AA$3)=0,"",SUMIFS(Journal!$D$3:$D$143,Journal!$A$3:$A$143,$B74,Journal!$E$3:$E$143,AA$3))</f>
        <v/>
      </c>
      <c r="AB74" s="86" t="str">
        <f>IF(SUMIFS(Journal!$D$3:$D$143,Journal!$A$3:$A$143,$B74,Journal!$F$3:$F$143,AA$3)=0,"",SUMIFS(Journal!$D$3:$D$143,Journal!$A$3:$A$143,$B74,Journal!$F$3:$F$143,AA$3))</f>
        <v/>
      </c>
      <c r="AC74" s="86" t="str">
        <f>IF(SUMIFS(Journal!$D$3:$D$143,Journal!$A$3:$A$143,$B74,Journal!$E$3:$E$143,AC$3)=0,"",SUMIFS(Journal!$D$3:$D$143,Journal!$A$3:$A$143,$B74,Journal!$E$3:$E$143,AC$3))</f>
        <v/>
      </c>
      <c r="AD74" s="86" t="str">
        <f>IF(SUMIFS(Journal!$D$3:$D$143,Journal!$A$3:$A$143,$B74,Journal!$F$3:$F$143,AC$3)=0,"",SUMIFS(Journal!$D$3:$D$143,Journal!$A$3:$A$143,$B74,Journal!$F$3:$F$143,AC$3))</f>
        <v/>
      </c>
      <c r="AE74" s="86" t="str">
        <f>IF(SUMIFS(Journal!$D$3:$D$143,Journal!$A$3:$A$143,$B74,Journal!$E$3:$E$143,AE$3)=0,"",SUMIFS(Journal!$D$3:$D$143,Journal!$A$3:$A$143,$B74,Journal!$E$3:$E$143,AE$3))</f>
        <v/>
      </c>
      <c r="AF74" s="86" t="str">
        <f>IF(SUMIFS(Journal!$D$3:$D$143,Journal!$A$3:$A$143,$B74,Journal!$F$3:$F$143,AE$3)=0,"",SUMIFS(Journal!$D$3:$D$143,Journal!$A$3:$A$143,$B74,Journal!$F$3:$F$143,AE$3))</f>
        <v/>
      </c>
      <c r="AG74" s="86" t="str">
        <f>IF(SUMIFS(Journal!$D$3:$D$143,Journal!$A$3:$A$143,$B74,Journal!$E$3:$E$143,AG$3)=0,"",SUMIFS(Journal!$D$3:$D$143,Journal!$A$3:$A$143,$B74,Journal!$E$3:$E$143,AG$3))</f>
        <v/>
      </c>
      <c r="AH74" s="86" t="str">
        <f>IF(SUMIFS(Journal!$D$3:$D$143,Journal!$A$3:$A$143,$B74,Journal!$F$3:$F$143,AG$3)=0,"",SUMIFS(Journal!$D$3:$D$143,Journal!$A$3:$A$143,$B74,Journal!$F$3:$F$143,AG$3))</f>
        <v/>
      </c>
      <c r="AI74" s="86" t="str">
        <f>IF(SUMIFS(Journal!$D$3:$D$143,Journal!$A$3:$A$143,$B74,Journal!$E$3:$E$143,AI$3)=0,"",SUMIFS(Journal!$D$3:$D$143,Journal!$A$3:$A$143,$B74,Journal!$E$3:$E$143,AI$3))</f>
        <v/>
      </c>
      <c r="AJ74" s="86" t="str">
        <f>IF(SUMIFS(Journal!$D$3:$D$143,Journal!$A$3:$A$143,$B74,Journal!$F$3:$F$143,AI$3)=0,"",SUMIFS(Journal!$D$3:$D$143,Journal!$A$3:$A$143,$B74,Journal!$F$3:$F$143,AI$3))</f>
        <v/>
      </c>
      <c r="AK74" s="86" t="str">
        <f>IF(SUMIFS(Journal!$D$3:$D$143,Journal!$A$3:$A$143,$B74,Journal!$E$3:$E$143,AK$3)=0,"",SUMIFS(Journal!$D$3:$D$143,Journal!$A$3:$A$143,$B74,Journal!$E$3:$E$143,AK$3))</f>
        <v/>
      </c>
      <c r="AL74" s="86" t="str">
        <f>IF(SUMIFS(Journal!$D$3:$D$143,Journal!$A$3:$A$143,$B74,Journal!$F$3:$F$143,AK$3)=0,"",SUMIFS(Journal!$D$3:$D$143,Journal!$A$3:$A$143,$B74,Journal!$F$3:$F$143,AK$3))</f>
        <v/>
      </c>
      <c r="AM74" s="86">
        <f>IF(SUMIFS(Journal!$D$3:$D$143,Journal!$A$3:$A$143,$B74,Journal!$E$3:$E$143,AM$3)=0,"",SUMIFS(Journal!$D$3:$D$143,Journal!$A$3:$A$143,$B74,Journal!$E$3:$E$143,AM$3))</f>
        <v>1173</v>
      </c>
      <c r="AN74" s="86" t="str">
        <f>IF(SUMIFS(Journal!$D$3:$D$143,Journal!$A$3:$A$143,$B74,Journal!$F$3:$F$143,AM$3)=0,"",SUMIFS(Journal!$D$3:$D$143,Journal!$A$3:$A$143,$B74,Journal!$F$3:$F$143,AM$3))</f>
        <v/>
      </c>
      <c r="AO74" s="86" t="str">
        <f>IF(SUMIFS(Journal!$D$3:$D$143,Journal!$A$3:$A$143,$B74,Journal!$E$3:$E$143,AO$3)=0,"",SUMIFS(Journal!$D$3:$D$143,Journal!$A$3:$A$143,$B74,Journal!$E$3:$E$143,AO$3))</f>
        <v/>
      </c>
      <c r="AP74" s="86" t="str">
        <f>IF(SUMIFS(Journal!$D$3:$D$143,Journal!$A$3:$A$143,$B74,Journal!$F$3:$F$143,AO$3)=0,"",SUMIFS(Journal!$D$3:$D$143,Journal!$A$3:$A$143,$B74,Journal!$F$3:$F$143,AO$3))</f>
        <v/>
      </c>
      <c r="AQ74" s="86" t="str">
        <f>IF(SUMIFS(Journal!$D$3:$D$143,Journal!$A$3:$A$143,$B74,Journal!$E$3:$E$143,AQ$3)=0,"",SUMIFS(Journal!$D$3:$D$143,Journal!$A$3:$A$143,$B74,Journal!$E$3:$E$143,AQ$3))</f>
        <v/>
      </c>
      <c r="AR74" s="86" t="str">
        <f>IF(SUMIFS(Journal!$D$3:$D$143,Journal!$A$3:$A$143,$B74,Journal!$F$3:$F$143,AQ$3)=0,"",SUMIFS(Journal!$D$3:$D$143,Journal!$A$3:$A$143,$B74,Journal!$F$3:$F$143,AQ$3))</f>
        <v/>
      </c>
      <c r="AS74" s="86" t="str">
        <f>IF(SUMIFS(Journal!$D$3:$D$143,Journal!$A$3:$A$143,$B74,Journal!$E$3:$E$143,AS$3)=0,"",SUMIFS(Journal!$D$3:$D$143,Journal!$A$3:$A$143,$B74,Journal!$E$3:$E$143,AS$3))</f>
        <v/>
      </c>
      <c r="AT74" s="86" t="str">
        <f>IF(SUMIFS(Journal!$D$3:$D$143,Journal!$A$3:$A$143,$B74,Journal!$F$3:$F$143,AS$3)=0,"",SUMIFS(Journal!$D$3:$D$143,Journal!$A$3:$A$143,$B74,Journal!$F$3:$F$143,AS$3))</f>
        <v/>
      </c>
      <c r="AU74" s="86" t="str">
        <f>IF(SUMIFS(Journal!$D$3:$D$143,Journal!$A$3:$A$143,$B74,Journal!$E$3:$E$143,AU$3)=0,"",SUMIFS(Journal!$D$3:$D$143,Journal!$A$3:$A$143,$B74,Journal!$E$3:$E$143,AU$3))</f>
        <v/>
      </c>
      <c r="AV74" s="86" t="str">
        <f>IF(SUMIFS(Journal!$D$3:$D$143,Journal!$A$3:$A$143,$B74,Journal!$F$3:$F$143,AU$3)=0,"",SUMIFS(Journal!$D$3:$D$143,Journal!$A$3:$A$143,$B74,Journal!$F$3:$F$143,AU$3))</f>
        <v/>
      </c>
      <c r="AW74" s="86" t="str">
        <f>IF(SUMIFS(Journal!$D$3:$D$143,Journal!$A$3:$A$143,$B74,Journal!$E$3:$E$143,AW$3)=0,"",SUMIFS(Journal!$D$3:$D$143,Journal!$A$3:$A$143,$B74,Journal!$E$3:$E$143,AW$3))</f>
        <v/>
      </c>
      <c r="AX74" s="86" t="str">
        <f>IF(SUMIFS(Journal!$D$3:$D$143,Journal!$A$3:$A$143,$B74,Journal!$F$3:$F$143,AW$3)=0,"",SUMIFS(Journal!$D$3:$D$143,Journal!$A$3:$A$143,$B74,Journal!$F$3:$F$143,AW$3))</f>
        <v/>
      </c>
      <c r="AY74" s="86" t="str">
        <f>IF(SUMIFS(Journal!$D$3:$D$143,Journal!$A$3:$A$143,$B74,Journal!$E$3:$E$143,AY$3)=0,"",SUMIFS(Journal!$D$3:$D$143,Journal!$A$3:$A$143,$B74,Journal!$E$3:$E$143,AY$3))</f>
        <v/>
      </c>
      <c r="AZ74" s="86" t="str">
        <f>IF(SUMIFS(Journal!$D$3:$D$143,Journal!$A$3:$A$143,$B74,Journal!$F$3:$F$143,AY$3)=0,"",SUMIFS(Journal!$D$3:$D$143,Journal!$A$3:$A$143,$B74,Journal!$F$3:$F$143,AY$3))</f>
        <v/>
      </c>
      <c r="BA74" s="86" t="str">
        <f>IF(SUMIFS(Journal!$D$3:$D$143,Journal!$A$3:$A$143,$B74,Journal!$E$3:$E$143,BA$3)=0,"",SUMIFS(Journal!$D$3:$D$143,Journal!$A$3:$A$143,$B74,Journal!$E$3:$E$143,BA$3))</f>
        <v/>
      </c>
      <c r="BB74" s="86" t="str">
        <f>IF(SUMIFS(Journal!$D$3:$D$143,Journal!$A$3:$A$143,$B74,Journal!$F$3:$F$143,BA$3)=0,"",SUMIFS(Journal!$D$3:$D$143,Journal!$A$3:$A$143,$B74,Journal!$F$3:$F$143,BA$3))</f>
        <v/>
      </c>
    </row>
    <row r="75">
      <c r="A75" s="84">
        <f>VLOOKUP(B75,Journal!$A$3:$C$143,2,FALSE)</f>
        <v>45474</v>
      </c>
      <c r="B75" s="85" t="s">
        <v>482</v>
      </c>
      <c r="C75" s="86" t="str">
        <f>VLOOKUP(B75,Journal!$A$3:$C$143,3,FALSE)</f>
        <v>Monthly facility rent</v>
      </c>
      <c r="D75" s="86">
        <f>SUMIF(Journal!$A$3:$A$143,B75,Journal!$D$3:$D$143)</f>
        <v>5400</v>
      </c>
      <c r="E75" s="86" t="str">
        <f>IF(SUMIFS(Journal!$D$3:$D$143,Journal!$A$3:$A$143,$B75,Journal!$E$3:$E$143,E$3)=0,"",SUMIFS(Journal!$D$3:$D$143,Journal!$A$3:$A$143,$B75,Journal!$E$3:$E$143,E$3))</f>
        <v/>
      </c>
      <c r="F75" s="86">
        <f>IF(SUMIFS(Journal!$D$3:$D$143,Journal!$A$3:$A$143,$B75,Journal!$F$3:$F$143,E$3)=0,"",SUMIFS(Journal!$D$3:$D$143,Journal!$A$3:$A$143,$B75,Journal!$F$3:$F$143,E$3))</f>
        <v>5400</v>
      </c>
      <c r="G75" s="86" t="str">
        <f>IF(SUMIFS(Journal!$D$3:$D$143,Journal!$A$3:$A$143,$B75,Journal!$E$3:$E$143,G$3)=0,"",SUMIFS(Journal!$D$3:$D$143,Journal!$A$3:$A$143,$B75,Journal!$E$3:$E$143,G$3))</f>
        <v/>
      </c>
      <c r="H75" s="86" t="str">
        <f>IF(SUMIFS(Journal!$D$3:$D$143,Journal!$A$3:$A$143,$B75,Journal!$F$3:$F$143,G$3)=0,"",SUMIFS(Journal!$D$3:$D$143,Journal!$A$3:$A$143,$B75,Journal!$F$3:$F$143,G$3))</f>
        <v/>
      </c>
      <c r="I75" s="86" t="str">
        <f>IF(SUMIFS(Journal!$D$3:$D$143,Journal!$A$3:$A$143,$B75,Journal!$E$3:$E$143,I$3)=0,"",SUMIFS(Journal!$D$3:$D$143,Journal!$A$3:$A$143,$B75,Journal!$E$3:$E$143,I$3))</f>
        <v/>
      </c>
      <c r="J75" s="86" t="str">
        <f>IF(SUMIFS(Journal!$D$3:$D$143,Journal!$A$3:$A$143,$B75,Journal!$F$3:$F$143,I$3)=0,"",SUMIFS(Journal!$D$3:$D$143,Journal!$A$3:$A$143,$B75,Journal!$F$3:$F$143,I$3))</f>
        <v/>
      </c>
      <c r="K75" s="86" t="str">
        <f>IF(SUMIFS(Journal!$D$3:$D$143,Journal!$A$3:$A$143,$B75,Journal!$E$3:$E$143,K$3)=0,"",SUMIFS(Journal!$D$3:$D$143,Journal!$A$3:$A$143,$B75,Journal!$E$3:$E$143,K$3))</f>
        <v/>
      </c>
      <c r="L75" s="86" t="str">
        <f>IF(SUMIFS(Journal!$D$3:$D$143,Journal!$A$3:$A$143,$B75,Journal!$F$3:$F$143,K$3)=0,"",SUMIFS(Journal!$D$3:$D$143,Journal!$A$3:$A$143,$B75,Journal!$F$3:$F$143,K$3))</f>
        <v/>
      </c>
      <c r="M75" s="86" t="str">
        <f>IF(SUMIFS(Journal!$D$3:$D$143,Journal!$A$3:$A$143,$B75,Journal!$E$3:$E$143,M$3)=0,"",SUMIFS(Journal!$D$3:$D$143,Journal!$A$3:$A$143,$B75,Journal!$E$3:$E$143,M$3))</f>
        <v/>
      </c>
      <c r="N75" s="86" t="str">
        <f>IF(SUMIFS(Journal!$D$3:$D$143,Journal!$A$3:$A$143,$B75,Journal!$F$3:$F$143,M$3)=0,"",SUMIFS(Journal!$D$3:$D$143,Journal!$A$3:$A$143,$B75,Journal!$F$3:$F$143,M$3))</f>
        <v/>
      </c>
      <c r="O75" s="86" t="str">
        <f>IF(SUMIFS(Journal!$D$3:$D$143,Journal!$A$3:$A$143,$B75,Journal!$E$3:$E$143,O$3)=0,"",SUMIFS(Journal!$D$3:$D$143,Journal!$A$3:$A$143,$B75,Journal!$E$3:$E$143,O$3))</f>
        <v/>
      </c>
      <c r="P75" s="86" t="str">
        <f>IF(SUMIFS(Journal!$D$3:$D$143,Journal!$A$3:$A$143,$B75,Journal!$F$3:$F$143,O$3)=0,"",SUMIFS(Journal!$D$3:$D$143,Journal!$A$3:$A$143,$B75,Journal!$F$3:$F$143,O$3))</f>
        <v/>
      </c>
      <c r="Q75" s="86" t="str">
        <f>IF(SUMIFS(Journal!$D$3:$D$143,Journal!$A$3:$A$143,$B75,Journal!$E$3:$E$143,Q$3)=0,"",SUMIFS(Journal!$D$3:$D$143,Journal!$A$3:$A$143,$B75,Journal!$E$3:$E$143,Q$3))</f>
        <v/>
      </c>
      <c r="R75" s="86" t="str">
        <f>IF(SUMIFS(Journal!$D$3:$D$143,Journal!$A$3:$A$143,$B75,Journal!$F$3:$F$143,Q$3)=0,"",SUMIFS(Journal!$D$3:$D$143,Journal!$A$3:$A$143,$B75,Journal!$F$3:$F$143,Q$3))</f>
        <v/>
      </c>
      <c r="S75" s="86" t="str">
        <f>IF(SUMIFS(Journal!$D$3:$D$143,Journal!$A$3:$A$143,$B75,Journal!$E$3:$E$143,S$3)=0,"",SUMIFS(Journal!$D$3:$D$143,Journal!$A$3:$A$143,$B75,Journal!$E$3:$E$143,S$3))</f>
        <v/>
      </c>
      <c r="T75" s="86" t="str">
        <f>IF(SUMIFS(Journal!$D$3:$D$143,Journal!$A$3:$A$143,$B75,Journal!$F$3:$F$143,S$3)=0,"",SUMIFS(Journal!$D$3:$D$143,Journal!$A$3:$A$143,$B75,Journal!$F$3:$F$143,S$3))</f>
        <v/>
      </c>
      <c r="U75" s="86" t="str">
        <f>IF(SUMIFS(Journal!$D$3:$D$143,Journal!$A$3:$A$143,$B75,Journal!$E$3:$E$143,U$3)=0,"",SUMIFS(Journal!$D$3:$D$143,Journal!$A$3:$A$143,$B75,Journal!$E$3:$E$143,U$3))</f>
        <v/>
      </c>
      <c r="V75" s="86" t="str">
        <f>IF(SUMIFS(Journal!$D$3:$D$143,Journal!$A$3:$A$143,$B75,Journal!$F$3:$F$143,U$3)=0,"",SUMIFS(Journal!$D$3:$D$143,Journal!$A$3:$A$143,$B75,Journal!$F$3:$F$143,U$3))</f>
        <v/>
      </c>
      <c r="W75" s="86" t="str">
        <f>IF(SUMIFS(Journal!$D$3:$D$143,Journal!$A$3:$A$143,$B75,Journal!$E$3:$E$143,W$3)=0,"",SUMIFS(Journal!$D$3:$D$143,Journal!$A$3:$A$143,$B75,Journal!$E$3:$E$143,W$3))</f>
        <v/>
      </c>
      <c r="X75" s="86" t="str">
        <f>IF(SUMIFS(Journal!$D$3:$D$143,Journal!$A$3:$A$143,$B75,Journal!$F$3:$F$143,W$3)=0,"",SUMIFS(Journal!$D$3:$D$143,Journal!$A$3:$A$143,$B75,Journal!$F$3:$F$143,W$3))</f>
        <v/>
      </c>
      <c r="Y75" s="86" t="str">
        <f>IF(SUMIFS(Journal!$D$3:$D$143,Journal!$A$3:$A$143,$B75,Journal!$E$3:$E$143,Y$3)=0,"",SUMIFS(Journal!$D$3:$D$143,Journal!$A$3:$A$143,$B75,Journal!$E$3:$E$143,Y$3))</f>
        <v/>
      </c>
      <c r="Z75" s="86" t="str">
        <f>IF(SUMIFS(Journal!$D$3:$D$143,Journal!$A$3:$A$143,$B75,Journal!$F$3:$F$143,Y$3)=0,"",SUMIFS(Journal!$D$3:$D$143,Journal!$A$3:$A$143,$B75,Journal!$F$3:$F$143,Y$3))</f>
        <v/>
      </c>
      <c r="AA75" s="86" t="str">
        <f>IF(SUMIFS(Journal!$D$3:$D$143,Journal!$A$3:$A$143,$B75,Journal!$E$3:$E$143,AA$3)=0,"",SUMIFS(Journal!$D$3:$D$143,Journal!$A$3:$A$143,$B75,Journal!$E$3:$E$143,AA$3))</f>
        <v/>
      </c>
      <c r="AB75" s="86" t="str">
        <f>IF(SUMIFS(Journal!$D$3:$D$143,Journal!$A$3:$A$143,$B75,Journal!$F$3:$F$143,AA$3)=0,"",SUMIFS(Journal!$D$3:$D$143,Journal!$A$3:$A$143,$B75,Journal!$F$3:$F$143,AA$3))</f>
        <v/>
      </c>
      <c r="AC75" s="86" t="str">
        <f>IF(SUMIFS(Journal!$D$3:$D$143,Journal!$A$3:$A$143,$B75,Journal!$E$3:$E$143,AC$3)=0,"",SUMIFS(Journal!$D$3:$D$143,Journal!$A$3:$A$143,$B75,Journal!$E$3:$E$143,AC$3))</f>
        <v/>
      </c>
      <c r="AD75" s="86" t="str">
        <f>IF(SUMIFS(Journal!$D$3:$D$143,Journal!$A$3:$A$143,$B75,Journal!$F$3:$F$143,AC$3)=0,"",SUMIFS(Journal!$D$3:$D$143,Journal!$A$3:$A$143,$B75,Journal!$F$3:$F$143,AC$3))</f>
        <v/>
      </c>
      <c r="AE75" s="86" t="str">
        <f>IF(SUMIFS(Journal!$D$3:$D$143,Journal!$A$3:$A$143,$B75,Journal!$E$3:$E$143,AE$3)=0,"",SUMIFS(Journal!$D$3:$D$143,Journal!$A$3:$A$143,$B75,Journal!$E$3:$E$143,AE$3))</f>
        <v/>
      </c>
      <c r="AF75" s="86" t="str">
        <f>IF(SUMIFS(Journal!$D$3:$D$143,Journal!$A$3:$A$143,$B75,Journal!$F$3:$F$143,AE$3)=0,"",SUMIFS(Journal!$D$3:$D$143,Journal!$A$3:$A$143,$B75,Journal!$F$3:$F$143,AE$3))</f>
        <v/>
      </c>
      <c r="AG75" s="86" t="str">
        <f>IF(SUMIFS(Journal!$D$3:$D$143,Journal!$A$3:$A$143,$B75,Journal!$E$3:$E$143,AG$3)=0,"",SUMIFS(Journal!$D$3:$D$143,Journal!$A$3:$A$143,$B75,Journal!$E$3:$E$143,AG$3))</f>
        <v/>
      </c>
      <c r="AH75" s="86" t="str">
        <f>IF(SUMIFS(Journal!$D$3:$D$143,Journal!$A$3:$A$143,$B75,Journal!$F$3:$F$143,AG$3)=0,"",SUMIFS(Journal!$D$3:$D$143,Journal!$A$3:$A$143,$B75,Journal!$F$3:$F$143,AG$3))</f>
        <v/>
      </c>
      <c r="AI75" s="86">
        <f>IF(SUMIFS(Journal!$D$3:$D$143,Journal!$A$3:$A$143,$B75,Journal!$E$3:$E$143,AI$3)=0,"",SUMIFS(Journal!$D$3:$D$143,Journal!$A$3:$A$143,$B75,Journal!$E$3:$E$143,AI$3))</f>
        <v>5400</v>
      </c>
      <c r="AJ75" s="86" t="str">
        <f>IF(SUMIFS(Journal!$D$3:$D$143,Journal!$A$3:$A$143,$B75,Journal!$F$3:$F$143,AI$3)=0,"",SUMIFS(Journal!$D$3:$D$143,Journal!$A$3:$A$143,$B75,Journal!$F$3:$F$143,AI$3))</f>
        <v/>
      </c>
      <c r="AK75" s="86" t="str">
        <f>IF(SUMIFS(Journal!$D$3:$D$143,Journal!$A$3:$A$143,$B75,Journal!$E$3:$E$143,AK$3)=0,"",SUMIFS(Journal!$D$3:$D$143,Journal!$A$3:$A$143,$B75,Journal!$E$3:$E$143,AK$3))</f>
        <v/>
      </c>
      <c r="AL75" s="86" t="str">
        <f>IF(SUMIFS(Journal!$D$3:$D$143,Journal!$A$3:$A$143,$B75,Journal!$F$3:$F$143,AK$3)=0,"",SUMIFS(Journal!$D$3:$D$143,Journal!$A$3:$A$143,$B75,Journal!$F$3:$F$143,AK$3))</f>
        <v/>
      </c>
      <c r="AM75" s="86" t="str">
        <f>IF(SUMIFS(Journal!$D$3:$D$143,Journal!$A$3:$A$143,$B75,Journal!$E$3:$E$143,AM$3)=0,"",SUMIFS(Journal!$D$3:$D$143,Journal!$A$3:$A$143,$B75,Journal!$E$3:$E$143,AM$3))</f>
        <v/>
      </c>
      <c r="AN75" s="86" t="str">
        <f>IF(SUMIFS(Journal!$D$3:$D$143,Journal!$A$3:$A$143,$B75,Journal!$F$3:$F$143,AM$3)=0,"",SUMIFS(Journal!$D$3:$D$143,Journal!$A$3:$A$143,$B75,Journal!$F$3:$F$143,AM$3))</f>
        <v/>
      </c>
      <c r="AO75" s="86" t="str">
        <f>IF(SUMIFS(Journal!$D$3:$D$143,Journal!$A$3:$A$143,$B75,Journal!$E$3:$E$143,AO$3)=0,"",SUMIFS(Journal!$D$3:$D$143,Journal!$A$3:$A$143,$B75,Journal!$E$3:$E$143,AO$3))</f>
        <v/>
      </c>
      <c r="AP75" s="86" t="str">
        <f>IF(SUMIFS(Journal!$D$3:$D$143,Journal!$A$3:$A$143,$B75,Journal!$F$3:$F$143,AO$3)=0,"",SUMIFS(Journal!$D$3:$D$143,Journal!$A$3:$A$143,$B75,Journal!$F$3:$F$143,AO$3))</f>
        <v/>
      </c>
      <c r="AQ75" s="86" t="str">
        <f>IF(SUMIFS(Journal!$D$3:$D$143,Journal!$A$3:$A$143,$B75,Journal!$E$3:$E$143,AQ$3)=0,"",SUMIFS(Journal!$D$3:$D$143,Journal!$A$3:$A$143,$B75,Journal!$E$3:$E$143,AQ$3))</f>
        <v/>
      </c>
      <c r="AR75" s="86" t="str">
        <f>IF(SUMIFS(Journal!$D$3:$D$143,Journal!$A$3:$A$143,$B75,Journal!$F$3:$F$143,AQ$3)=0,"",SUMIFS(Journal!$D$3:$D$143,Journal!$A$3:$A$143,$B75,Journal!$F$3:$F$143,AQ$3))</f>
        <v/>
      </c>
      <c r="AS75" s="86" t="str">
        <f>IF(SUMIFS(Journal!$D$3:$D$143,Journal!$A$3:$A$143,$B75,Journal!$E$3:$E$143,AS$3)=0,"",SUMIFS(Journal!$D$3:$D$143,Journal!$A$3:$A$143,$B75,Journal!$E$3:$E$143,AS$3))</f>
        <v/>
      </c>
      <c r="AT75" s="86" t="str">
        <f>IF(SUMIFS(Journal!$D$3:$D$143,Journal!$A$3:$A$143,$B75,Journal!$F$3:$F$143,AS$3)=0,"",SUMIFS(Journal!$D$3:$D$143,Journal!$A$3:$A$143,$B75,Journal!$F$3:$F$143,AS$3))</f>
        <v/>
      </c>
      <c r="AU75" s="86" t="str">
        <f>IF(SUMIFS(Journal!$D$3:$D$143,Journal!$A$3:$A$143,$B75,Journal!$E$3:$E$143,AU$3)=0,"",SUMIFS(Journal!$D$3:$D$143,Journal!$A$3:$A$143,$B75,Journal!$E$3:$E$143,AU$3))</f>
        <v/>
      </c>
      <c r="AV75" s="86" t="str">
        <f>IF(SUMIFS(Journal!$D$3:$D$143,Journal!$A$3:$A$143,$B75,Journal!$F$3:$F$143,AU$3)=0,"",SUMIFS(Journal!$D$3:$D$143,Journal!$A$3:$A$143,$B75,Journal!$F$3:$F$143,AU$3))</f>
        <v/>
      </c>
      <c r="AW75" s="86" t="str">
        <f>IF(SUMIFS(Journal!$D$3:$D$143,Journal!$A$3:$A$143,$B75,Journal!$E$3:$E$143,AW$3)=0,"",SUMIFS(Journal!$D$3:$D$143,Journal!$A$3:$A$143,$B75,Journal!$E$3:$E$143,AW$3))</f>
        <v/>
      </c>
      <c r="AX75" s="86" t="str">
        <f>IF(SUMIFS(Journal!$D$3:$D$143,Journal!$A$3:$A$143,$B75,Journal!$F$3:$F$143,AW$3)=0,"",SUMIFS(Journal!$D$3:$D$143,Journal!$A$3:$A$143,$B75,Journal!$F$3:$F$143,AW$3))</f>
        <v/>
      </c>
      <c r="AY75" s="86" t="str">
        <f>IF(SUMIFS(Journal!$D$3:$D$143,Journal!$A$3:$A$143,$B75,Journal!$E$3:$E$143,AY$3)=0,"",SUMIFS(Journal!$D$3:$D$143,Journal!$A$3:$A$143,$B75,Journal!$E$3:$E$143,AY$3))</f>
        <v/>
      </c>
      <c r="AZ75" s="86" t="str">
        <f>IF(SUMIFS(Journal!$D$3:$D$143,Journal!$A$3:$A$143,$B75,Journal!$F$3:$F$143,AY$3)=0,"",SUMIFS(Journal!$D$3:$D$143,Journal!$A$3:$A$143,$B75,Journal!$F$3:$F$143,AY$3))</f>
        <v/>
      </c>
      <c r="BA75" s="86" t="str">
        <f>IF(SUMIFS(Journal!$D$3:$D$143,Journal!$A$3:$A$143,$B75,Journal!$E$3:$E$143,BA$3)=0,"",SUMIFS(Journal!$D$3:$D$143,Journal!$A$3:$A$143,$B75,Journal!$E$3:$E$143,BA$3))</f>
        <v/>
      </c>
      <c r="BB75" s="86" t="str">
        <f>IF(SUMIFS(Journal!$D$3:$D$143,Journal!$A$3:$A$143,$B75,Journal!$F$3:$F$143,BA$3)=0,"",SUMIFS(Journal!$D$3:$D$143,Journal!$A$3:$A$143,$B75,Journal!$F$3:$F$143,BA$3))</f>
        <v/>
      </c>
    </row>
    <row r="76">
      <c r="A76" s="84">
        <f>VLOOKUP(B76,Journal!$A$3:$C$143,2,FALSE)</f>
        <v>45478</v>
      </c>
      <c r="B76" s="85" t="s">
        <v>485</v>
      </c>
      <c r="C76" s="86" t="str">
        <f>VLOOKUP(B76,Journal!$A$3:$C$143,3,FALSE)</f>
        <v>Fleet service work order</v>
      </c>
      <c r="D76" s="86">
        <f>SUMIF(Journal!$A$3:$A$143,B76,Journal!$D$3:$D$143)</f>
        <v>1800</v>
      </c>
      <c r="E76" s="86" t="str">
        <f>IF(SUMIFS(Journal!$D$3:$D$143,Journal!$A$3:$A$143,$B76,Journal!$E$3:$E$143,E$3)=0,"",SUMIFS(Journal!$D$3:$D$143,Journal!$A$3:$A$143,$B76,Journal!$E$3:$E$143,E$3))</f>
        <v/>
      </c>
      <c r="F76" s="86">
        <f>IF(SUMIFS(Journal!$D$3:$D$143,Journal!$A$3:$A$143,$B76,Journal!$F$3:$F$143,E$3)=0,"",SUMIFS(Journal!$D$3:$D$143,Journal!$A$3:$A$143,$B76,Journal!$F$3:$F$143,E$3))</f>
        <v>1800</v>
      </c>
      <c r="G76" s="86" t="str">
        <f>IF(SUMIFS(Journal!$D$3:$D$143,Journal!$A$3:$A$143,$B76,Journal!$E$3:$E$143,G$3)=0,"",SUMIFS(Journal!$D$3:$D$143,Journal!$A$3:$A$143,$B76,Journal!$E$3:$E$143,G$3))</f>
        <v/>
      </c>
      <c r="H76" s="86" t="str">
        <f>IF(SUMIFS(Journal!$D$3:$D$143,Journal!$A$3:$A$143,$B76,Journal!$F$3:$F$143,G$3)=0,"",SUMIFS(Journal!$D$3:$D$143,Journal!$A$3:$A$143,$B76,Journal!$F$3:$F$143,G$3))</f>
        <v/>
      </c>
      <c r="I76" s="86" t="str">
        <f>IF(SUMIFS(Journal!$D$3:$D$143,Journal!$A$3:$A$143,$B76,Journal!$E$3:$E$143,I$3)=0,"",SUMIFS(Journal!$D$3:$D$143,Journal!$A$3:$A$143,$B76,Journal!$E$3:$E$143,I$3))</f>
        <v/>
      </c>
      <c r="J76" s="86" t="str">
        <f>IF(SUMIFS(Journal!$D$3:$D$143,Journal!$A$3:$A$143,$B76,Journal!$F$3:$F$143,I$3)=0,"",SUMIFS(Journal!$D$3:$D$143,Journal!$A$3:$A$143,$B76,Journal!$F$3:$F$143,I$3))</f>
        <v/>
      </c>
      <c r="K76" s="86" t="str">
        <f>IF(SUMIFS(Journal!$D$3:$D$143,Journal!$A$3:$A$143,$B76,Journal!$E$3:$E$143,K$3)=0,"",SUMIFS(Journal!$D$3:$D$143,Journal!$A$3:$A$143,$B76,Journal!$E$3:$E$143,K$3))</f>
        <v/>
      </c>
      <c r="L76" s="86" t="str">
        <f>IF(SUMIFS(Journal!$D$3:$D$143,Journal!$A$3:$A$143,$B76,Journal!$F$3:$F$143,K$3)=0,"",SUMIFS(Journal!$D$3:$D$143,Journal!$A$3:$A$143,$B76,Journal!$F$3:$F$143,K$3))</f>
        <v/>
      </c>
      <c r="M76" s="86" t="str">
        <f>IF(SUMIFS(Journal!$D$3:$D$143,Journal!$A$3:$A$143,$B76,Journal!$E$3:$E$143,M$3)=0,"",SUMIFS(Journal!$D$3:$D$143,Journal!$A$3:$A$143,$B76,Journal!$E$3:$E$143,M$3))</f>
        <v/>
      </c>
      <c r="N76" s="86" t="str">
        <f>IF(SUMIFS(Journal!$D$3:$D$143,Journal!$A$3:$A$143,$B76,Journal!$F$3:$F$143,M$3)=0,"",SUMIFS(Journal!$D$3:$D$143,Journal!$A$3:$A$143,$B76,Journal!$F$3:$F$143,M$3))</f>
        <v/>
      </c>
      <c r="O76" s="86" t="str">
        <f>IF(SUMIFS(Journal!$D$3:$D$143,Journal!$A$3:$A$143,$B76,Journal!$E$3:$E$143,O$3)=0,"",SUMIFS(Journal!$D$3:$D$143,Journal!$A$3:$A$143,$B76,Journal!$E$3:$E$143,O$3))</f>
        <v/>
      </c>
      <c r="P76" s="86" t="str">
        <f>IF(SUMIFS(Journal!$D$3:$D$143,Journal!$A$3:$A$143,$B76,Journal!$F$3:$F$143,O$3)=0,"",SUMIFS(Journal!$D$3:$D$143,Journal!$A$3:$A$143,$B76,Journal!$F$3:$F$143,O$3))</f>
        <v/>
      </c>
      <c r="Q76" s="86" t="str">
        <f>IF(SUMIFS(Journal!$D$3:$D$143,Journal!$A$3:$A$143,$B76,Journal!$E$3:$E$143,Q$3)=0,"",SUMIFS(Journal!$D$3:$D$143,Journal!$A$3:$A$143,$B76,Journal!$E$3:$E$143,Q$3))</f>
        <v/>
      </c>
      <c r="R76" s="86" t="str">
        <f>IF(SUMIFS(Journal!$D$3:$D$143,Journal!$A$3:$A$143,$B76,Journal!$F$3:$F$143,Q$3)=0,"",SUMIFS(Journal!$D$3:$D$143,Journal!$A$3:$A$143,$B76,Journal!$F$3:$F$143,Q$3))</f>
        <v/>
      </c>
      <c r="S76" s="86" t="str">
        <f>IF(SUMIFS(Journal!$D$3:$D$143,Journal!$A$3:$A$143,$B76,Journal!$E$3:$E$143,S$3)=0,"",SUMIFS(Journal!$D$3:$D$143,Journal!$A$3:$A$143,$B76,Journal!$E$3:$E$143,S$3))</f>
        <v/>
      </c>
      <c r="T76" s="86" t="str">
        <f>IF(SUMIFS(Journal!$D$3:$D$143,Journal!$A$3:$A$143,$B76,Journal!$F$3:$F$143,S$3)=0,"",SUMIFS(Journal!$D$3:$D$143,Journal!$A$3:$A$143,$B76,Journal!$F$3:$F$143,S$3))</f>
        <v/>
      </c>
      <c r="U76" s="86" t="str">
        <f>IF(SUMIFS(Journal!$D$3:$D$143,Journal!$A$3:$A$143,$B76,Journal!$E$3:$E$143,U$3)=0,"",SUMIFS(Journal!$D$3:$D$143,Journal!$A$3:$A$143,$B76,Journal!$E$3:$E$143,U$3))</f>
        <v/>
      </c>
      <c r="V76" s="86" t="str">
        <f>IF(SUMIFS(Journal!$D$3:$D$143,Journal!$A$3:$A$143,$B76,Journal!$F$3:$F$143,U$3)=0,"",SUMIFS(Journal!$D$3:$D$143,Journal!$A$3:$A$143,$B76,Journal!$F$3:$F$143,U$3))</f>
        <v/>
      </c>
      <c r="W76" s="86" t="str">
        <f>IF(SUMIFS(Journal!$D$3:$D$143,Journal!$A$3:$A$143,$B76,Journal!$E$3:$E$143,W$3)=0,"",SUMIFS(Journal!$D$3:$D$143,Journal!$A$3:$A$143,$B76,Journal!$E$3:$E$143,W$3))</f>
        <v/>
      </c>
      <c r="X76" s="86" t="str">
        <f>IF(SUMIFS(Journal!$D$3:$D$143,Journal!$A$3:$A$143,$B76,Journal!$F$3:$F$143,W$3)=0,"",SUMIFS(Journal!$D$3:$D$143,Journal!$A$3:$A$143,$B76,Journal!$F$3:$F$143,W$3))</f>
        <v/>
      </c>
      <c r="Y76" s="86" t="str">
        <f>IF(SUMIFS(Journal!$D$3:$D$143,Journal!$A$3:$A$143,$B76,Journal!$E$3:$E$143,Y$3)=0,"",SUMIFS(Journal!$D$3:$D$143,Journal!$A$3:$A$143,$B76,Journal!$E$3:$E$143,Y$3))</f>
        <v/>
      </c>
      <c r="Z76" s="86" t="str">
        <f>IF(SUMIFS(Journal!$D$3:$D$143,Journal!$A$3:$A$143,$B76,Journal!$F$3:$F$143,Y$3)=0,"",SUMIFS(Journal!$D$3:$D$143,Journal!$A$3:$A$143,$B76,Journal!$F$3:$F$143,Y$3))</f>
        <v/>
      </c>
      <c r="AA76" s="86" t="str">
        <f>IF(SUMIFS(Journal!$D$3:$D$143,Journal!$A$3:$A$143,$B76,Journal!$E$3:$E$143,AA$3)=0,"",SUMIFS(Journal!$D$3:$D$143,Journal!$A$3:$A$143,$B76,Journal!$E$3:$E$143,AA$3))</f>
        <v/>
      </c>
      <c r="AB76" s="86" t="str">
        <f>IF(SUMIFS(Journal!$D$3:$D$143,Journal!$A$3:$A$143,$B76,Journal!$F$3:$F$143,AA$3)=0,"",SUMIFS(Journal!$D$3:$D$143,Journal!$A$3:$A$143,$B76,Journal!$F$3:$F$143,AA$3))</f>
        <v/>
      </c>
      <c r="AC76" s="86" t="str">
        <f>IF(SUMIFS(Journal!$D$3:$D$143,Journal!$A$3:$A$143,$B76,Journal!$E$3:$E$143,AC$3)=0,"",SUMIFS(Journal!$D$3:$D$143,Journal!$A$3:$A$143,$B76,Journal!$E$3:$E$143,AC$3))</f>
        <v/>
      </c>
      <c r="AD76" s="86" t="str">
        <f>IF(SUMIFS(Journal!$D$3:$D$143,Journal!$A$3:$A$143,$B76,Journal!$F$3:$F$143,AC$3)=0,"",SUMIFS(Journal!$D$3:$D$143,Journal!$A$3:$A$143,$B76,Journal!$F$3:$F$143,AC$3))</f>
        <v/>
      </c>
      <c r="AE76" s="86" t="str">
        <f>IF(SUMIFS(Journal!$D$3:$D$143,Journal!$A$3:$A$143,$B76,Journal!$E$3:$E$143,AE$3)=0,"",SUMIFS(Journal!$D$3:$D$143,Journal!$A$3:$A$143,$B76,Journal!$E$3:$E$143,AE$3))</f>
        <v/>
      </c>
      <c r="AF76" s="86" t="str">
        <f>IF(SUMIFS(Journal!$D$3:$D$143,Journal!$A$3:$A$143,$B76,Journal!$F$3:$F$143,AE$3)=0,"",SUMIFS(Journal!$D$3:$D$143,Journal!$A$3:$A$143,$B76,Journal!$F$3:$F$143,AE$3))</f>
        <v/>
      </c>
      <c r="AG76" s="86" t="str">
        <f>IF(SUMIFS(Journal!$D$3:$D$143,Journal!$A$3:$A$143,$B76,Journal!$E$3:$E$143,AG$3)=0,"",SUMIFS(Journal!$D$3:$D$143,Journal!$A$3:$A$143,$B76,Journal!$E$3:$E$143,AG$3))</f>
        <v/>
      </c>
      <c r="AH76" s="86" t="str">
        <f>IF(SUMIFS(Journal!$D$3:$D$143,Journal!$A$3:$A$143,$B76,Journal!$F$3:$F$143,AG$3)=0,"",SUMIFS(Journal!$D$3:$D$143,Journal!$A$3:$A$143,$B76,Journal!$F$3:$F$143,AG$3))</f>
        <v/>
      </c>
      <c r="AI76" s="86" t="str">
        <f>IF(SUMIFS(Journal!$D$3:$D$143,Journal!$A$3:$A$143,$B76,Journal!$E$3:$E$143,AI$3)=0,"",SUMIFS(Journal!$D$3:$D$143,Journal!$A$3:$A$143,$B76,Journal!$E$3:$E$143,AI$3))</f>
        <v/>
      </c>
      <c r="AJ76" s="86" t="str">
        <f>IF(SUMIFS(Journal!$D$3:$D$143,Journal!$A$3:$A$143,$B76,Journal!$F$3:$F$143,AI$3)=0,"",SUMIFS(Journal!$D$3:$D$143,Journal!$A$3:$A$143,$B76,Journal!$F$3:$F$143,AI$3))</f>
        <v/>
      </c>
      <c r="AK76" s="86" t="str">
        <f>IF(SUMIFS(Journal!$D$3:$D$143,Journal!$A$3:$A$143,$B76,Journal!$E$3:$E$143,AK$3)=0,"",SUMIFS(Journal!$D$3:$D$143,Journal!$A$3:$A$143,$B76,Journal!$E$3:$E$143,AK$3))</f>
        <v/>
      </c>
      <c r="AL76" s="86" t="str">
        <f>IF(SUMIFS(Journal!$D$3:$D$143,Journal!$A$3:$A$143,$B76,Journal!$F$3:$F$143,AK$3)=0,"",SUMIFS(Journal!$D$3:$D$143,Journal!$A$3:$A$143,$B76,Journal!$F$3:$F$143,AK$3))</f>
        <v/>
      </c>
      <c r="AM76" s="86" t="str">
        <f>IF(SUMIFS(Journal!$D$3:$D$143,Journal!$A$3:$A$143,$B76,Journal!$E$3:$E$143,AM$3)=0,"",SUMIFS(Journal!$D$3:$D$143,Journal!$A$3:$A$143,$B76,Journal!$E$3:$E$143,AM$3))</f>
        <v/>
      </c>
      <c r="AN76" s="86" t="str">
        <f>IF(SUMIFS(Journal!$D$3:$D$143,Journal!$A$3:$A$143,$B76,Journal!$F$3:$F$143,AM$3)=0,"",SUMIFS(Journal!$D$3:$D$143,Journal!$A$3:$A$143,$B76,Journal!$F$3:$F$143,AM$3))</f>
        <v/>
      </c>
      <c r="AO76" s="86" t="str">
        <f>IF(SUMIFS(Journal!$D$3:$D$143,Journal!$A$3:$A$143,$B76,Journal!$E$3:$E$143,AO$3)=0,"",SUMIFS(Journal!$D$3:$D$143,Journal!$A$3:$A$143,$B76,Journal!$E$3:$E$143,AO$3))</f>
        <v/>
      </c>
      <c r="AP76" s="86" t="str">
        <f>IF(SUMIFS(Journal!$D$3:$D$143,Journal!$A$3:$A$143,$B76,Journal!$F$3:$F$143,AO$3)=0,"",SUMIFS(Journal!$D$3:$D$143,Journal!$A$3:$A$143,$B76,Journal!$F$3:$F$143,AO$3))</f>
        <v/>
      </c>
      <c r="AQ76" s="86" t="str">
        <f>IF(SUMIFS(Journal!$D$3:$D$143,Journal!$A$3:$A$143,$B76,Journal!$E$3:$E$143,AQ$3)=0,"",SUMIFS(Journal!$D$3:$D$143,Journal!$A$3:$A$143,$B76,Journal!$E$3:$E$143,AQ$3))</f>
        <v/>
      </c>
      <c r="AR76" s="86" t="str">
        <f>IF(SUMIFS(Journal!$D$3:$D$143,Journal!$A$3:$A$143,$B76,Journal!$F$3:$F$143,AQ$3)=0,"",SUMIFS(Journal!$D$3:$D$143,Journal!$A$3:$A$143,$B76,Journal!$F$3:$F$143,AQ$3))</f>
        <v/>
      </c>
      <c r="AS76" s="86" t="str">
        <f>IF(SUMIFS(Journal!$D$3:$D$143,Journal!$A$3:$A$143,$B76,Journal!$E$3:$E$143,AS$3)=0,"",SUMIFS(Journal!$D$3:$D$143,Journal!$A$3:$A$143,$B76,Journal!$E$3:$E$143,AS$3))</f>
        <v/>
      </c>
      <c r="AT76" s="86" t="str">
        <f>IF(SUMIFS(Journal!$D$3:$D$143,Journal!$A$3:$A$143,$B76,Journal!$F$3:$F$143,AS$3)=0,"",SUMIFS(Journal!$D$3:$D$143,Journal!$A$3:$A$143,$B76,Journal!$F$3:$F$143,AS$3))</f>
        <v/>
      </c>
      <c r="AU76" s="86">
        <f>IF(SUMIFS(Journal!$D$3:$D$143,Journal!$A$3:$A$143,$B76,Journal!$E$3:$E$143,AU$3)=0,"",SUMIFS(Journal!$D$3:$D$143,Journal!$A$3:$A$143,$B76,Journal!$E$3:$E$143,AU$3))</f>
        <v>1800</v>
      </c>
      <c r="AV76" s="86" t="str">
        <f>IF(SUMIFS(Journal!$D$3:$D$143,Journal!$A$3:$A$143,$B76,Journal!$F$3:$F$143,AU$3)=0,"",SUMIFS(Journal!$D$3:$D$143,Journal!$A$3:$A$143,$B76,Journal!$F$3:$F$143,AU$3))</f>
        <v/>
      </c>
      <c r="AW76" s="86" t="str">
        <f>IF(SUMIFS(Journal!$D$3:$D$143,Journal!$A$3:$A$143,$B76,Journal!$E$3:$E$143,AW$3)=0,"",SUMIFS(Journal!$D$3:$D$143,Journal!$A$3:$A$143,$B76,Journal!$E$3:$E$143,AW$3))</f>
        <v/>
      </c>
      <c r="AX76" s="86" t="str">
        <f>IF(SUMIFS(Journal!$D$3:$D$143,Journal!$A$3:$A$143,$B76,Journal!$F$3:$F$143,AW$3)=0,"",SUMIFS(Journal!$D$3:$D$143,Journal!$A$3:$A$143,$B76,Journal!$F$3:$F$143,AW$3))</f>
        <v/>
      </c>
      <c r="AY76" s="86" t="str">
        <f>IF(SUMIFS(Journal!$D$3:$D$143,Journal!$A$3:$A$143,$B76,Journal!$E$3:$E$143,AY$3)=0,"",SUMIFS(Journal!$D$3:$D$143,Journal!$A$3:$A$143,$B76,Journal!$E$3:$E$143,AY$3))</f>
        <v/>
      </c>
      <c r="AZ76" s="86" t="str">
        <f>IF(SUMIFS(Journal!$D$3:$D$143,Journal!$A$3:$A$143,$B76,Journal!$F$3:$F$143,AY$3)=0,"",SUMIFS(Journal!$D$3:$D$143,Journal!$A$3:$A$143,$B76,Journal!$F$3:$F$143,AY$3))</f>
        <v/>
      </c>
      <c r="BA76" s="86" t="str">
        <f>IF(SUMIFS(Journal!$D$3:$D$143,Journal!$A$3:$A$143,$B76,Journal!$E$3:$E$143,BA$3)=0,"",SUMIFS(Journal!$D$3:$D$143,Journal!$A$3:$A$143,$B76,Journal!$E$3:$E$143,BA$3))</f>
        <v/>
      </c>
      <c r="BB76" s="86" t="str">
        <f>IF(SUMIFS(Journal!$D$3:$D$143,Journal!$A$3:$A$143,$B76,Journal!$F$3:$F$143,BA$3)=0,"",SUMIFS(Journal!$D$3:$D$143,Journal!$A$3:$A$143,$B76,Journal!$F$3:$F$143,BA$3))</f>
        <v/>
      </c>
    </row>
    <row r="77">
      <c r="A77" s="84">
        <f>VLOOKUP(B77,Journal!$A$3:$C$143,2,FALSE)</f>
        <v>45479</v>
      </c>
      <c r="B77" s="85" t="s">
        <v>489</v>
      </c>
      <c r="C77" s="86" t="str">
        <f>VLOOKUP(B77,Journal!$A$3:$C$143,3,FALSE)</f>
        <v>Monthly business insurance premium</v>
      </c>
      <c r="D77" s="86">
        <f>SUMIF(Journal!$A$3:$A$143,B77,Journal!$D$3:$D$143)</f>
        <v>600</v>
      </c>
      <c r="E77" s="86" t="str">
        <f>IF(SUMIFS(Journal!$D$3:$D$143,Journal!$A$3:$A$143,$B77,Journal!$E$3:$E$143,E$3)=0,"",SUMIFS(Journal!$D$3:$D$143,Journal!$A$3:$A$143,$B77,Journal!$E$3:$E$143,E$3))</f>
        <v/>
      </c>
      <c r="F77" s="86">
        <f>IF(SUMIFS(Journal!$D$3:$D$143,Journal!$A$3:$A$143,$B77,Journal!$F$3:$F$143,E$3)=0,"",SUMIFS(Journal!$D$3:$D$143,Journal!$A$3:$A$143,$B77,Journal!$F$3:$F$143,E$3))</f>
        <v>600</v>
      </c>
      <c r="G77" s="86" t="str">
        <f>IF(SUMIFS(Journal!$D$3:$D$143,Journal!$A$3:$A$143,$B77,Journal!$E$3:$E$143,G$3)=0,"",SUMIFS(Journal!$D$3:$D$143,Journal!$A$3:$A$143,$B77,Journal!$E$3:$E$143,G$3))</f>
        <v/>
      </c>
      <c r="H77" s="86" t="str">
        <f>IF(SUMIFS(Journal!$D$3:$D$143,Journal!$A$3:$A$143,$B77,Journal!$F$3:$F$143,G$3)=0,"",SUMIFS(Journal!$D$3:$D$143,Journal!$A$3:$A$143,$B77,Journal!$F$3:$F$143,G$3))</f>
        <v/>
      </c>
      <c r="I77" s="86" t="str">
        <f>IF(SUMIFS(Journal!$D$3:$D$143,Journal!$A$3:$A$143,$B77,Journal!$E$3:$E$143,I$3)=0,"",SUMIFS(Journal!$D$3:$D$143,Journal!$A$3:$A$143,$B77,Journal!$E$3:$E$143,I$3))</f>
        <v/>
      </c>
      <c r="J77" s="86" t="str">
        <f>IF(SUMIFS(Journal!$D$3:$D$143,Journal!$A$3:$A$143,$B77,Journal!$F$3:$F$143,I$3)=0,"",SUMIFS(Journal!$D$3:$D$143,Journal!$A$3:$A$143,$B77,Journal!$F$3:$F$143,I$3))</f>
        <v/>
      </c>
      <c r="K77" s="86" t="str">
        <f>IF(SUMIFS(Journal!$D$3:$D$143,Journal!$A$3:$A$143,$B77,Journal!$E$3:$E$143,K$3)=0,"",SUMIFS(Journal!$D$3:$D$143,Journal!$A$3:$A$143,$B77,Journal!$E$3:$E$143,K$3))</f>
        <v/>
      </c>
      <c r="L77" s="86" t="str">
        <f>IF(SUMIFS(Journal!$D$3:$D$143,Journal!$A$3:$A$143,$B77,Journal!$F$3:$F$143,K$3)=0,"",SUMIFS(Journal!$D$3:$D$143,Journal!$A$3:$A$143,$B77,Journal!$F$3:$F$143,K$3))</f>
        <v/>
      </c>
      <c r="M77" s="86" t="str">
        <f>IF(SUMIFS(Journal!$D$3:$D$143,Journal!$A$3:$A$143,$B77,Journal!$E$3:$E$143,M$3)=0,"",SUMIFS(Journal!$D$3:$D$143,Journal!$A$3:$A$143,$B77,Journal!$E$3:$E$143,M$3))</f>
        <v/>
      </c>
      <c r="N77" s="86" t="str">
        <f>IF(SUMIFS(Journal!$D$3:$D$143,Journal!$A$3:$A$143,$B77,Journal!$F$3:$F$143,M$3)=0,"",SUMIFS(Journal!$D$3:$D$143,Journal!$A$3:$A$143,$B77,Journal!$F$3:$F$143,M$3))</f>
        <v/>
      </c>
      <c r="O77" s="86" t="str">
        <f>IF(SUMIFS(Journal!$D$3:$D$143,Journal!$A$3:$A$143,$B77,Journal!$E$3:$E$143,O$3)=0,"",SUMIFS(Journal!$D$3:$D$143,Journal!$A$3:$A$143,$B77,Journal!$E$3:$E$143,O$3))</f>
        <v/>
      </c>
      <c r="P77" s="86" t="str">
        <f>IF(SUMIFS(Journal!$D$3:$D$143,Journal!$A$3:$A$143,$B77,Journal!$F$3:$F$143,O$3)=0,"",SUMIFS(Journal!$D$3:$D$143,Journal!$A$3:$A$143,$B77,Journal!$F$3:$F$143,O$3))</f>
        <v/>
      </c>
      <c r="Q77" s="86" t="str">
        <f>IF(SUMIFS(Journal!$D$3:$D$143,Journal!$A$3:$A$143,$B77,Journal!$E$3:$E$143,Q$3)=0,"",SUMIFS(Journal!$D$3:$D$143,Journal!$A$3:$A$143,$B77,Journal!$E$3:$E$143,Q$3))</f>
        <v/>
      </c>
      <c r="R77" s="86" t="str">
        <f>IF(SUMIFS(Journal!$D$3:$D$143,Journal!$A$3:$A$143,$B77,Journal!$F$3:$F$143,Q$3)=0,"",SUMIFS(Journal!$D$3:$D$143,Journal!$A$3:$A$143,$B77,Journal!$F$3:$F$143,Q$3))</f>
        <v/>
      </c>
      <c r="S77" s="86" t="str">
        <f>IF(SUMIFS(Journal!$D$3:$D$143,Journal!$A$3:$A$143,$B77,Journal!$E$3:$E$143,S$3)=0,"",SUMIFS(Journal!$D$3:$D$143,Journal!$A$3:$A$143,$B77,Journal!$E$3:$E$143,S$3))</f>
        <v/>
      </c>
      <c r="T77" s="86" t="str">
        <f>IF(SUMIFS(Journal!$D$3:$D$143,Journal!$A$3:$A$143,$B77,Journal!$F$3:$F$143,S$3)=0,"",SUMIFS(Journal!$D$3:$D$143,Journal!$A$3:$A$143,$B77,Journal!$F$3:$F$143,S$3))</f>
        <v/>
      </c>
      <c r="U77" s="86" t="str">
        <f>IF(SUMIFS(Journal!$D$3:$D$143,Journal!$A$3:$A$143,$B77,Journal!$E$3:$E$143,U$3)=0,"",SUMIFS(Journal!$D$3:$D$143,Journal!$A$3:$A$143,$B77,Journal!$E$3:$E$143,U$3))</f>
        <v/>
      </c>
      <c r="V77" s="86" t="str">
        <f>IF(SUMIFS(Journal!$D$3:$D$143,Journal!$A$3:$A$143,$B77,Journal!$F$3:$F$143,U$3)=0,"",SUMIFS(Journal!$D$3:$D$143,Journal!$A$3:$A$143,$B77,Journal!$F$3:$F$143,U$3))</f>
        <v/>
      </c>
      <c r="W77" s="86" t="str">
        <f>IF(SUMIFS(Journal!$D$3:$D$143,Journal!$A$3:$A$143,$B77,Journal!$E$3:$E$143,W$3)=0,"",SUMIFS(Journal!$D$3:$D$143,Journal!$A$3:$A$143,$B77,Journal!$E$3:$E$143,W$3))</f>
        <v/>
      </c>
      <c r="X77" s="86" t="str">
        <f>IF(SUMIFS(Journal!$D$3:$D$143,Journal!$A$3:$A$143,$B77,Journal!$F$3:$F$143,W$3)=0,"",SUMIFS(Journal!$D$3:$D$143,Journal!$A$3:$A$143,$B77,Journal!$F$3:$F$143,W$3))</f>
        <v/>
      </c>
      <c r="Y77" s="86" t="str">
        <f>IF(SUMIFS(Journal!$D$3:$D$143,Journal!$A$3:$A$143,$B77,Journal!$E$3:$E$143,Y$3)=0,"",SUMIFS(Journal!$D$3:$D$143,Journal!$A$3:$A$143,$B77,Journal!$E$3:$E$143,Y$3))</f>
        <v/>
      </c>
      <c r="Z77" s="86" t="str">
        <f>IF(SUMIFS(Journal!$D$3:$D$143,Journal!$A$3:$A$143,$B77,Journal!$F$3:$F$143,Y$3)=0,"",SUMIFS(Journal!$D$3:$D$143,Journal!$A$3:$A$143,$B77,Journal!$F$3:$F$143,Y$3))</f>
        <v/>
      </c>
      <c r="AA77" s="86" t="str">
        <f>IF(SUMIFS(Journal!$D$3:$D$143,Journal!$A$3:$A$143,$B77,Journal!$E$3:$E$143,AA$3)=0,"",SUMIFS(Journal!$D$3:$D$143,Journal!$A$3:$A$143,$B77,Journal!$E$3:$E$143,AA$3))</f>
        <v/>
      </c>
      <c r="AB77" s="86" t="str">
        <f>IF(SUMIFS(Journal!$D$3:$D$143,Journal!$A$3:$A$143,$B77,Journal!$F$3:$F$143,AA$3)=0,"",SUMIFS(Journal!$D$3:$D$143,Journal!$A$3:$A$143,$B77,Journal!$F$3:$F$143,AA$3))</f>
        <v/>
      </c>
      <c r="AC77" s="86" t="str">
        <f>IF(SUMIFS(Journal!$D$3:$D$143,Journal!$A$3:$A$143,$B77,Journal!$E$3:$E$143,AC$3)=0,"",SUMIFS(Journal!$D$3:$D$143,Journal!$A$3:$A$143,$B77,Journal!$E$3:$E$143,AC$3))</f>
        <v/>
      </c>
      <c r="AD77" s="86" t="str">
        <f>IF(SUMIFS(Journal!$D$3:$D$143,Journal!$A$3:$A$143,$B77,Journal!$F$3:$F$143,AC$3)=0,"",SUMIFS(Journal!$D$3:$D$143,Journal!$A$3:$A$143,$B77,Journal!$F$3:$F$143,AC$3))</f>
        <v/>
      </c>
      <c r="AE77" s="86" t="str">
        <f>IF(SUMIFS(Journal!$D$3:$D$143,Journal!$A$3:$A$143,$B77,Journal!$E$3:$E$143,AE$3)=0,"",SUMIFS(Journal!$D$3:$D$143,Journal!$A$3:$A$143,$B77,Journal!$E$3:$E$143,AE$3))</f>
        <v/>
      </c>
      <c r="AF77" s="86" t="str">
        <f>IF(SUMIFS(Journal!$D$3:$D$143,Journal!$A$3:$A$143,$B77,Journal!$F$3:$F$143,AE$3)=0,"",SUMIFS(Journal!$D$3:$D$143,Journal!$A$3:$A$143,$B77,Journal!$F$3:$F$143,AE$3))</f>
        <v/>
      </c>
      <c r="AG77" s="86" t="str">
        <f>IF(SUMIFS(Journal!$D$3:$D$143,Journal!$A$3:$A$143,$B77,Journal!$E$3:$E$143,AG$3)=0,"",SUMIFS(Journal!$D$3:$D$143,Journal!$A$3:$A$143,$B77,Journal!$E$3:$E$143,AG$3))</f>
        <v/>
      </c>
      <c r="AH77" s="86" t="str">
        <f>IF(SUMIFS(Journal!$D$3:$D$143,Journal!$A$3:$A$143,$B77,Journal!$F$3:$F$143,AG$3)=0,"",SUMIFS(Journal!$D$3:$D$143,Journal!$A$3:$A$143,$B77,Journal!$F$3:$F$143,AG$3))</f>
        <v/>
      </c>
      <c r="AI77" s="86" t="str">
        <f>IF(SUMIFS(Journal!$D$3:$D$143,Journal!$A$3:$A$143,$B77,Journal!$E$3:$E$143,AI$3)=0,"",SUMIFS(Journal!$D$3:$D$143,Journal!$A$3:$A$143,$B77,Journal!$E$3:$E$143,AI$3))</f>
        <v/>
      </c>
      <c r="AJ77" s="86" t="str">
        <f>IF(SUMIFS(Journal!$D$3:$D$143,Journal!$A$3:$A$143,$B77,Journal!$F$3:$F$143,AI$3)=0,"",SUMIFS(Journal!$D$3:$D$143,Journal!$A$3:$A$143,$B77,Journal!$F$3:$F$143,AI$3))</f>
        <v/>
      </c>
      <c r="AK77" s="86">
        <f>IF(SUMIFS(Journal!$D$3:$D$143,Journal!$A$3:$A$143,$B77,Journal!$E$3:$E$143,AK$3)=0,"",SUMIFS(Journal!$D$3:$D$143,Journal!$A$3:$A$143,$B77,Journal!$E$3:$E$143,AK$3))</f>
        <v>600</v>
      </c>
      <c r="AL77" s="86" t="str">
        <f>IF(SUMIFS(Journal!$D$3:$D$143,Journal!$A$3:$A$143,$B77,Journal!$F$3:$F$143,AK$3)=0,"",SUMIFS(Journal!$D$3:$D$143,Journal!$A$3:$A$143,$B77,Journal!$F$3:$F$143,AK$3))</f>
        <v/>
      </c>
      <c r="AM77" s="86" t="str">
        <f>IF(SUMIFS(Journal!$D$3:$D$143,Journal!$A$3:$A$143,$B77,Journal!$E$3:$E$143,AM$3)=0,"",SUMIFS(Journal!$D$3:$D$143,Journal!$A$3:$A$143,$B77,Journal!$E$3:$E$143,AM$3))</f>
        <v/>
      </c>
      <c r="AN77" s="86" t="str">
        <f>IF(SUMIFS(Journal!$D$3:$D$143,Journal!$A$3:$A$143,$B77,Journal!$F$3:$F$143,AM$3)=0,"",SUMIFS(Journal!$D$3:$D$143,Journal!$A$3:$A$143,$B77,Journal!$F$3:$F$143,AM$3))</f>
        <v/>
      </c>
      <c r="AO77" s="86" t="str">
        <f>IF(SUMIFS(Journal!$D$3:$D$143,Journal!$A$3:$A$143,$B77,Journal!$E$3:$E$143,AO$3)=0,"",SUMIFS(Journal!$D$3:$D$143,Journal!$A$3:$A$143,$B77,Journal!$E$3:$E$143,AO$3))</f>
        <v/>
      </c>
      <c r="AP77" s="86" t="str">
        <f>IF(SUMIFS(Journal!$D$3:$D$143,Journal!$A$3:$A$143,$B77,Journal!$F$3:$F$143,AO$3)=0,"",SUMIFS(Journal!$D$3:$D$143,Journal!$A$3:$A$143,$B77,Journal!$F$3:$F$143,AO$3))</f>
        <v/>
      </c>
      <c r="AQ77" s="86" t="str">
        <f>IF(SUMIFS(Journal!$D$3:$D$143,Journal!$A$3:$A$143,$B77,Journal!$E$3:$E$143,AQ$3)=0,"",SUMIFS(Journal!$D$3:$D$143,Journal!$A$3:$A$143,$B77,Journal!$E$3:$E$143,AQ$3))</f>
        <v/>
      </c>
      <c r="AR77" s="86" t="str">
        <f>IF(SUMIFS(Journal!$D$3:$D$143,Journal!$A$3:$A$143,$B77,Journal!$F$3:$F$143,AQ$3)=0,"",SUMIFS(Journal!$D$3:$D$143,Journal!$A$3:$A$143,$B77,Journal!$F$3:$F$143,AQ$3))</f>
        <v/>
      </c>
      <c r="AS77" s="86" t="str">
        <f>IF(SUMIFS(Journal!$D$3:$D$143,Journal!$A$3:$A$143,$B77,Journal!$E$3:$E$143,AS$3)=0,"",SUMIFS(Journal!$D$3:$D$143,Journal!$A$3:$A$143,$B77,Journal!$E$3:$E$143,AS$3))</f>
        <v/>
      </c>
      <c r="AT77" s="86" t="str">
        <f>IF(SUMIFS(Journal!$D$3:$D$143,Journal!$A$3:$A$143,$B77,Journal!$F$3:$F$143,AS$3)=0,"",SUMIFS(Journal!$D$3:$D$143,Journal!$A$3:$A$143,$B77,Journal!$F$3:$F$143,AS$3))</f>
        <v/>
      </c>
      <c r="AU77" s="86" t="str">
        <f>IF(SUMIFS(Journal!$D$3:$D$143,Journal!$A$3:$A$143,$B77,Journal!$E$3:$E$143,AU$3)=0,"",SUMIFS(Journal!$D$3:$D$143,Journal!$A$3:$A$143,$B77,Journal!$E$3:$E$143,AU$3))</f>
        <v/>
      </c>
      <c r="AV77" s="86" t="str">
        <f>IF(SUMIFS(Journal!$D$3:$D$143,Journal!$A$3:$A$143,$B77,Journal!$F$3:$F$143,AU$3)=0,"",SUMIFS(Journal!$D$3:$D$143,Journal!$A$3:$A$143,$B77,Journal!$F$3:$F$143,AU$3))</f>
        <v/>
      </c>
      <c r="AW77" s="86" t="str">
        <f>IF(SUMIFS(Journal!$D$3:$D$143,Journal!$A$3:$A$143,$B77,Journal!$E$3:$E$143,AW$3)=0,"",SUMIFS(Journal!$D$3:$D$143,Journal!$A$3:$A$143,$B77,Journal!$E$3:$E$143,AW$3))</f>
        <v/>
      </c>
      <c r="AX77" s="86" t="str">
        <f>IF(SUMIFS(Journal!$D$3:$D$143,Journal!$A$3:$A$143,$B77,Journal!$F$3:$F$143,AW$3)=0,"",SUMIFS(Journal!$D$3:$D$143,Journal!$A$3:$A$143,$B77,Journal!$F$3:$F$143,AW$3))</f>
        <v/>
      </c>
      <c r="AY77" s="86" t="str">
        <f>IF(SUMIFS(Journal!$D$3:$D$143,Journal!$A$3:$A$143,$B77,Journal!$E$3:$E$143,AY$3)=0,"",SUMIFS(Journal!$D$3:$D$143,Journal!$A$3:$A$143,$B77,Journal!$E$3:$E$143,AY$3))</f>
        <v/>
      </c>
      <c r="AZ77" s="86" t="str">
        <f>IF(SUMIFS(Journal!$D$3:$D$143,Journal!$A$3:$A$143,$B77,Journal!$F$3:$F$143,AY$3)=0,"",SUMIFS(Journal!$D$3:$D$143,Journal!$A$3:$A$143,$B77,Journal!$F$3:$F$143,AY$3))</f>
        <v/>
      </c>
      <c r="BA77" s="86" t="str">
        <f>IF(SUMIFS(Journal!$D$3:$D$143,Journal!$A$3:$A$143,$B77,Journal!$E$3:$E$143,BA$3)=0,"",SUMIFS(Journal!$D$3:$D$143,Journal!$A$3:$A$143,$B77,Journal!$E$3:$E$143,BA$3))</f>
        <v/>
      </c>
      <c r="BB77" s="86" t="str">
        <f>IF(SUMIFS(Journal!$D$3:$D$143,Journal!$A$3:$A$143,$B77,Journal!$F$3:$F$143,BA$3)=0,"",SUMIFS(Journal!$D$3:$D$143,Journal!$A$3:$A$143,$B77,Journal!$F$3:$F$143,BA$3))</f>
        <v/>
      </c>
    </row>
    <row r="78">
      <c r="A78" s="84">
        <f>VLOOKUP(B78,Journal!$A$3:$C$143,2,FALSE)</f>
        <v>45485</v>
      </c>
      <c r="B78" s="85" t="s">
        <v>493</v>
      </c>
      <c r="C78" s="86" t="str">
        <f>VLOOKUP(B78,Journal!$A$3:$C$143,3,FALSE)</f>
        <v>Equipment rental receipts batch</v>
      </c>
      <c r="D78" s="86">
        <f>SUMIF(Journal!$A$3:$A$143,B78,Journal!$D$3:$D$143)</f>
        <v>18000</v>
      </c>
      <c r="E78" s="86">
        <f>IF(SUMIFS(Journal!$D$3:$D$143,Journal!$A$3:$A$143,$B78,Journal!$E$3:$E$143,E$3)=0,"",SUMIFS(Journal!$D$3:$D$143,Journal!$A$3:$A$143,$B78,Journal!$E$3:$E$143,E$3))</f>
        <v>18000</v>
      </c>
      <c r="F78" s="86" t="str">
        <f>IF(SUMIFS(Journal!$D$3:$D$143,Journal!$A$3:$A$143,$B78,Journal!$F$3:$F$143,E$3)=0,"",SUMIFS(Journal!$D$3:$D$143,Journal!$A$3:$A$143,$B78,Journal!$F$3:$F$143,E$3))</f>
        <v/>
      </c>
      <c r="G78" s="86" t="str">
        <f>IF(SUMIFS(Journal!$D$3:$D$143,Journal!$A$3:$A$143,$B78,Journal!$E$3:$E$143,G$3)=0,"",SUMIFS(Journal!$D$3:$D$143,Journal!$A$3:$A$143,$B78,Journal!$E$3:$E$143,G$3))</f>
        <v/>
      </c>
      <c r="H78" s="86" t="str">
        <f>IF(SUMIFS(Journal!$D$3:$D$143,Journal!$A$3:$A$143,$B78,Journal!$F$3:$F$143,G$3)=0,"",SUMIFS(Journal!$D$3:$D$143,Journal!$A$3:$A$143,$B78,Journal!$F$3:$F$143,G$3))</f>
        <v/>
      </c>
      <c r="I78" s="86" t="str">
        <f>IF(SUMIFS(Journal!$D$3:$D$143,Journal!$A$3:$A$143,$B78,Journal!$E$3:$E$143,I$3)=0,"",SUMIFS(Journal!$D$3:$D$143,Journal!$A$3:$A$143,$B78,Journal!$E$3:$E$143,I$3))</f>
        <v/>
      </c>
      <c r="J78" s="86" t="str">
        <f>IF(SUMIFS(Journal!$D$3:$D$143,Journal!$A$3:$A$143,$B78,Journal!$F$3:$F$143,I$3)=0,"",SUMIFS(Journal!$D$3:$D$143,Journal!$A$3:$A$143,$B78,Journal!$F$3:$F$143,I$3))</f>
        <v/>
      </c>
      <c r="K78" s="86" t="str">
        <f>IF(SUMIFS(Journal!$D$3:$D$143,Journal!$A$3:$A$143,$B78,Journal!$E$3:$E$143,K$3)=0,"",SUMIFS(Journal!$D$3:$D$143,Journal!$A$3:$A$143,$B78,Journal!$E$3:$E$143,K$3))</f>
        <v/>
      </c>
      <c r="L78" s="86" t="str">
        <f>IF(SUMIFS(Journal!$D$3:$D$143,Journal!$A$3:$A$143,$B78,Journal!$F$3:$F$143,K$3)=0,"",SUMIFS(Journal!$D$3:$D$143,Journal!$A$3:$A$143,$B78,Journal!$F$3:$F$143,K$3))</f>
        <v/>
      </c>
      <c r="M78" s="86" t="str">
        <f>IF(SUMIFS(Journal!$D$3:$D$143,Journal!$A$3:$A$143,$B78,Journal!$E$3:$E$143,M$3)=0,"",SUMIFS(Journal!$D$3:$D$143,Journal!$A$3:$A$143,$B78,Journal!$E$3:$E$143,M$3))</f>
        <v/>
      </c>
      <c r="N78" s="86" t="str">
        <f>IF(SUMIFS(Journal!$D$3:$D$143,Journal!$A$3:$A$143,$B78,Journal!$F$3:$F$143,M$3)=0,"",SUMIFS(Journal!$D$3:$D$143,Journal!$A$3:$A$143,$B78,Journal!$F$3:$F$143,M$3))</f>
        <v/>
      </c>
      <c r="O78" s="86" t="str">
        <f>IF(SUMIFS(Journal!$D$3:$D$143,Journal!$A$3:$A$143,$B78,Journal!$E$3:$E$143,O$3)=0,"",SUMIFS(Journal!$D$3:$D$143,Journal!$A$3:$A$143,$B78,Journal!$E$3:$E$143,O$3))</f>
        <v/>
      </c>
      <c r="P78" s="86" t="str">
        <f>IF(SUMIFS(Journal!$D$3:$D$143,Journal!$A$3:$A$143,$B78,Journal!$F$3:$F$143,O$3)=0,"",SUMIFS(Journal!$D$3:$D$143,Journal!$A$3:$A$143,$B78,Journal!$F$3:$F$143,O$3))</f>
        <v/>
      </c>
      <c r="Q78" s="86" t="str">
        <f>IF(SUMIFS(Journal!$D$3:$D$143,Journal!$A$3:$A$143,$B78,Journal!$E$3:$E$143,Q$3)=0,"",SUMIFS(Journal!$D$3:$D$143,Journal!$A$3:$A$143,$B78,Journal!$E$3:$E$143,Q$3))</f>
        <v/>
      </c>
      <c r="R78" s="86" t="str">
        <f>IF(SUMIFS(Journal!$D$3:$D$143,Journal!$A$3:$A$143,$B78,Journal!$F$3:$F$143,Q$3)=0,"",SUMIFS(Journal!$D$3:$D$143,Journal!$A$3:$A$143,$B78,Journal!$F$3:$F$143,Q$3))</f>
        <v/>
      </c>
      <c r="S78" s="86" t="str">
        <f>IF(SUMIFS(Journal!$D$3:$D$143,Journal!$A$3:$A$143,$B78,Journal!$E$3:$E$143,S$3)=0,"",SUMIFS(Journal!$D$3:$D$143,Journal!$A$3:$A$143,$B78,Journal!$E$3:$E$143,S$3))</f>
        <v/>
      </c>
      <c r="T78" s="86" t="str">
        <f>IF(SUMIFS(Journal!$D$3:$D$143,Journal!$A$3:$A$143,$B78,Journal!$F$3:$F$143,S$3)=0,"",SUMIFS(Journal!$D$3:$D$143,Journal!$A$3:$A$143,$B78,Journal!$F$3:$F$143,S$3))</f>
        <v/>
      </c>
      <c r="U78" s="86" t="str">
        <f>IF(SUMIFS(Journal!$D$3:$D$143,Journal!$A$3:$A$143,$B78,Journal!$E$3:$E$143,U$3)=0,"",SUMIFS(Journal!$D$3:$D$143,Journal!$A$3:$A$143,$B78,Journal!$E$3:$E$143,U$3))</f>
        <v/>
      </c>
      <c r="V78" s="86" t="str">
        <f>IF(SUMIFS(Journal!$D$3:$D$143,Journal!$A$3:$A$143,$B78,Journal!$F$3:$F$143,U$3)=0,"",SUMIFS(Journal!$D$3:$D$143,Journal!$A$3:$A$143,$B78,Journal!$F$3:$F$143,U$3))</f>
        <v/>
      </c>
      <c r="W78" s="86" t="str">
        <f>IF(SUMIFS(Journal!$D$3:$D$143,Journal!$A$3:$A$143,$B78,Journal!$E$3:$E$143,W$3)=0,"",SUMIFS(Journal!$D$3:$D$143,Journal!$A$3:$A$143,$B78,Journal!$E$3:$E$143,W$3))</f>
        <v/>
      </c>
      <c r="X78" s="86">
        <f>IF(SUMIFS(Journal!$D$3:$D$143,Journal!$A$3:$A$143,$B78,Journal!$F$3:$F$143,W$3)=0,"",SUMIFS(Journal!$D$3:$D$143,Journal!$A$3:$A$143,$B78,Journal!$F$3:$F$143,W$3))</f>
        <v>18000</v>
      </c>
      <c r="Y78" s="86" t="str">
        <f>IF(SUMIFS(Journal!$D$3:$D$143,Journal!$A$3:$A$143,$B78,Journal!$E$3:$E$143,Y$3)=0,"",SUMIFS(Journal!$D$3:$D$143,Journal!$A$3:$A$143,$B78,Journal!$E$3:$E$143,Y$3))</f>
        <v/>
      </c>
      <c r="Z78" s="86" t="str">
        <f>IF(SUMIFS(Journal!$D$3:$D$143,Journal!$A$3:$A$143,$B78,Journal!$F$3:$F$143,Y$3)=0,"",SUMIFS(Journal!$D$3:$D$143,Journal!$A$3:$A$143,$B78,Journal!$F$3:$F$143,Y$3))</f>
        <v/>
      </c>
      <c r="AA78" s="86" t="str">
        <f>IF(SUMIFS(Journal!$D$3:$D$143,Journal!$A$3:$A$143,$B78,Journal!$E$3:$E$143,AA$3)=0,"",SUMIFS(Journal!$D$3:$D$143,Journal!$A$3:$A$143,$B78,Journal!$E$3:$E$143,AA$3))</f>
        <v/>
      </c>
      <c r="AB78" s="86" t="str">
        <f>IF(SUMIFS(Journal!$D$3:$D$143,Journal!$A$3:$A$143,$B78,Journal!$F$3:$F$143,AA$3)=0,"",SUMIFS(Journal!$D$3:$D$143,Journal!$A$3:$A$143,$B78,Journal!$F$3:$F$143,AA$3))</f>
        <v/>
      </c>
      <c r="AC78" s="86" t="str">
        <f>IF(SUMIFS(Journal!$D$3:$D$143,Journal!$A$3:$A$143,$B78,Journal!$E$3:$E$143,AC$3)=0,"",SUMIFS(Journal!$D$3:$D$143,Journal!$A$3:$A$143,$B78,Journal!$E$3:$E$143,AC$3))</f>
        <v/>
      </c>
      <c r="AD78" s="86" t="str">
        <f>IF(SUMIFS(Journal!$D$3:$D$143,Journal!$A$3:$A$143,$B78,Journal!$F$3:$F$143,AC$3)=0,"",SUMIFS(Journal!$D$3:$D$143,Journal!$A$3:$A$143,$B78,Journal!$F$3:$F$143,AC$3))</f>
        <v/>
      </c>
      <c r="AE78" s="86" t="str">
        <f>IF(SUMIFS(Journal!$D$3:$D$143,Journal!$A$3:$A$143,$B78,Journal!$E$3:$E$143,AE$3)=0,"",SUMIFS(Journal!$D$3:$D$143,Journal!$A$3:$A$143,$B78,Journal!$E$3:$E$143,AE$3))</f>
        <v/>
      </c>
      <c r="AF78" s="86" t="str">
        <f>IF(SUMIFS(Journal!$D$3:$D$143,Journal!$A$3:$A$143,$B78,Journal!$F$3:$F$143,AE$3)=0,"",SUMIFS(Journal!$D$3:$D$143,Journal!$A$3:$A$143,$B78,Journal!$F$3:$F$143,AE$3))</f>
        <v/>
      </c>
      <c r="AG78" s="86" t="str">
        <f>IF(SUMIFS(Journal!$D$3:$D$143,Journal!$A$3:$A$143,$B78,Journal!$E$3:$E$143,AG$3)=0,"",SUMIFS(Journal!$D$3:$D$143,Journal!$A$3:$A$143,$B78,Journal!$E$3:$E$143,AG$3))</f>
        <v/>
      </c>
      <c r="AH78" s="86" t="str">
        <f>IF(SUMIFS(Journal!$D$3:$D$143,Journal!$A$3:$A$143,$B78,Journal!$F$3:$F$143,AG$3)=0,"",SUMIFS(Journal!$D$3:$D$143,Journal!$A$3:$A$143,$B78,Journal!$F$3:$F$143,AG$3))</f>
        <v/>
      </c>
      <c r="AI78" s="86" t="str">
        <f>IF(SUMIFS(Journal!$D$3:$D$143,Journal!$A$3:$A$143,$B78,Journal!$E$3:$E$143,AI$3)=0,"",SUMIFS(Journal!$D$3:$D$143,Journal!$A$3:$A$143,$B78,Journal!$E$3:$E$143,AI$3))</f>
        <v/>
      </c>
      <c r="AJ78" s="86" t="str">
        <f>IF(SUMIFS(Journal!$D$3:$D$143,Journal!$A$3:$A$143,$B78,Journal!$F$3:$F$143,AI$3)=0,"",SUMIFS(Journal!$D$3:$D$143,Journal!$A$3:$A$143,$B78,Journal!$F$3:$F$143,AI$3))</f>
        <v/>
      </c>
      <c r="AK78" s="86" t="str">
        <f>IF(SUMIFS(Journal!$D$3:$D$143,Journal!$A$3:$A$143,$B78,Journal!$E$3:$E$143,AK$3)=0,"",SUMIFS(Journal!$D$3:$D$143,Journal!$A$3:$A$143,$B78,Journal!$E$3:$E$143,AK$3))</f>
        <v/>
      </c>
      <c r="AL78" s="86" t="str">
        <f>IF(SUMIFS(Journal!$D$3:$D$143,Journal!$A$3:$A$143,$B78,Journal!$F$3:$F$143,AK$3)=0,"",SUMIFS(Journal!$D$3:$D$143,Journal!$A$3:$A$143,$B78,Journal!$F$3:$F$143,AK$3))</f>
        <v/>
      </c>
      <c r="AM78" s="86" t="str">
        <f>IF(SUMIFS(Journal!$D$3:$D$143,Journal!$A$3:$A$143,$B78,Journal!$E$3:$E$143,AM$3)=0,"",SUMIFS(Journal!$D$3:$D$143,Journal!$A$3:$A$143,$B78,Journal!$E$3:$E$143,AM$3))</f>
        <v/>
      </c>
      <c r="AN78" s="86" t="str">
        <f>IF(SUMIFS(Journal!$D$3:$D$143,Journal!$A$3:$A$143,$B78,Journal!$F$3:$F$143,AM$3)=0,"",SUMIFS(Journal!$D$3:$D$143,Journal!$A$3:$A$143,$B78,Journal!$F$3:$F$143,AM$3))</f>
        <v/>
      </c>
      <c r="AO78" s="86" t="str">
        <f>IF(SUMIFS(Journal!$D$3:$D$143,Journal!$A$3:$A$143,$B78,Journal!$E$3:$E$143,AO$3)=0,"",SUMIFS(Journal!$D$3:$D$143,Journal!$A$3:$A$143,$B78,Journal!$E$3:$E$143,AO$3))</f>
        <v/>
      </c>
      <c r="AP78" s="86" t="str">
        <f>IF(SUMIFS(Journal!$D$3:$D$143,Journal!$A$3:$A$143,$B78,Journal!$F$3:$F$143,AO$3)=0,"",SUMIFS(Journal!$D$3:$D$143,Journal!$A$3:$A$143,$B78,Journal!$F$3:$F$143,AO$3))</f>
        <v/>
      </c>
      <c r="AQ78" s="86" t="str">
        <f>IF(SUMIFS(Journal!$D$3:$D$143,Journal!$A$3:$A$143,$B78,Journal!$E$3:$E$143,AQ$3)=0,"",SUMIFS(Journal!$D$3:$D$143,Journal!$A$3:$A$143,$B78,Journal!$E$3:$E$143,AQ$3))</f>
        <v/>
      </c>
      <c r="AR78" s="86" t="str">
        <f>IF(SUMIFS(Journal!$D$3:$D$143,Journal!$A$3:$A$143,$B78,Journal!$F$3:$F$143,AQ$3)=0,"",SUMIFS(Journal!$D$3:$D$143,Journal!$A$3:$A$143,$B78,Journal!$F$3:$F$143,AQ$3))</f>
        <v/>
      </c>
      <c r="AS78" s="86" t="str">
        <f>IF(SUMIFS(Journal!$D$3:$D$143,Journal!$A$3:$A$143,$B78,Journal!$E$3:$E$143,AS$3)=0,"",SUMIFS(Journal!$D$3:$D$143,Journal!$A$3:$A$143,$B78,Journal!$E$3:$E$143,AS$3))</f>
        <v/>
      </c>
      <c r="AT78" s="86" t="str">
        <f>IF(SUMIFS(Journal!$D$3:$D$143,Journal!$A$3:$A$143,$B78,Journal!$F$3:$F$143,AS$3)=0,"",SUMIFS(Journal!$D$3:$D$143,Journal!$A$3:$A$143,$B78,Journal!$F$3:$F$143,AS$3))</f>
        <v/>
      </c>
      <c r="AU78" s="86" t="str">
        <f>IF(SUMIFS(Journal!$D$3:$D$143,Journal!$A$3:$A$143,$B78,Journal!$E$3:$E$143,AU$3)=0,"",SUMIFS(Journal!$D$3:$D$143,Journal!$A$3:$A$143,$B78,Journal!$E$3:$E$143,AU$3))</f>
        <v/>
      </c>
      <c r="AV78" s="86" t="str">
        <f>IF(SUMIFS(Journal!$D$3:$D$143,Journal!$A$3:$A$143,$B78,Journal!$F$3:$F$143,AU$3)=0,"",SUMIFS(Journal!$D$3:$D$143,Journal!$A$3:$A$143,$B78,Journal!$F$3:$F$143,AU$3))</f>
        <v/>
      </c>
      <c r="AW78" s="86" t="str">
        <f>IF(SUMIFS(Journal!$D$3:$D$143,Journal!$A$3:$A$143,$B78,Journal!$E$3:$E$143,AW$3)=0,"",SUMIFS(Journal!$D$3:$D$143,Journal!$A$3:$A$143,$B78,Journal!$E$3:$E$143,AW$3))</f>
        <v/>
      </c>
      <c r="AX78" s="86" t="str">
        <f>IF(SUMIFS(Journal!$D$3:$D$143,Journal!$A$3:$A$143,$B78,Journal!$F$3:$F$143,AW$3)=0,"",SUMIFS(Journal!$D$3:$D$143,Journal!$A$3:$A$143,$B78,Journal!$F$3:$F$143,AW$3))</f>
        <v/>
      </c>
      <c r="AY78" s="86" t="str">
        <f>IF(SUMIFS(Journal!$D$3:$D$143,Journal!$A$3:$A$143,$B78,Journal!$E$3:$E$143,AY$3)=0,"",SUMIFS(Journal!$D$3:$D$143,Journal!$A$3:$A$143,$B78,Journal!$E$3:$E$143,AY$3))</f>
        <v/>
      </c>
      <c r="AZ78" s="86" t="str">
        <f>IF(SUMIFS(Journal!$D$3:$D$143,Journal!$A$3:$A$143,$B78,Journal!$F$3:$F$143,AY$3)=0,"",SUMIFS(Journal!$D$3:$D$143,Journal!$A$3:$A$143,$B78,Journal!$F$3:$F$143,AY$3))</f>
        <v/>
      </c>
      <c r="BA78" s="86" t="str">
        <f>IF(SUMIFS(Journal!$D$3:$D$143,Journal!$A$3:$A$143,$B78,Journal!$E$3:$E$143,BA$3)=0,"",SUMIFS(Journal!$D$3:$D$143,Journal!$A$3:$A$143,$B78,Journal!$E$3:$E$143,BA$3))</f>
        <v/>
      </c>
      <c r="BB78" s="86" t="str">
        <f>IF(SUMIFS(Journal!$D$3:$D$143,Journal!$A$3:$A$143,$B78,Journal!$F$3:$F$143,BA$3)=0,"",SUMIFS(Journal!$D$3:$D$143,Journal!$A$3:$A$143,$B78,Journal!$F$3:$F$143,BA$3))</f>
        <v/>
      </c>
    </row>
    <row r="79">
      <c r="A79" s="84">
        <f>VLOOKUP(B79,Journal!$A$3:$C$143,2,FALSE)</f>
        <v>45491</v>
      </c>
      <c r="B79" s="85" t="s">
        <v>495</v>
      </c>
      <c r="C79" s="86" t="str">
        <f>VLOOKUP(B79,Journal!$A$3:$C$143,3,FALSE)</f>
        <v>Retail camping-supply sales</v>
      </c>
      <c r="D79" s="86">
        <f>SUMIF(Journal!$A$3:$A$143,B79,Journal!$D$3:$D$143)</f>
        <v>16000</v>
      </c>
      <c r="E79" s="86">
        <f>IF(SUMIFS(Journal!$D$3:$D$143,Journal!$A$3:$A$143,$B79,Journal!$E$3:$E$143,E$3)=0,"",SUMIFS(Journal!$D$3:$D$143,Journal!$A$3:$A$143,$B79,Journal!$E$3:$E$143,E$3))</f>
        <v>10000</v>
      </c>
      <c r="F79" s="86" t="str">
        <f>IF(SUMIFS(Journal!$D$3:$D$143,Journal!$A$3:$A$143,$B79,Journal!$F$3:$F$143,E$3)=0,"",SUMIFS(Journal!$D$3:$D$143,Journal!$A$3:$A$143,$B79,Journal!$F$3:$F$143,E$3))</f>
        <v/>
      </c>
      <c r="G79" s="86" t="str">
        <f>IF(SUMIFS(Journal!$D$3:$D$143,Journal!$A$3:$A$143,$B79,Journal!$E$3:$E$143,G$3)=0,"",SUMIFS(Journal!$D$3:$D$143,Journal!$A$3:$A$143,$B79,Journal!$E$3:$E$143,G$3))</f>
        <v/>
      </c>
      <c r="H79" s="86" t="str">
        <f>IF(SUMIFS(Journal!$D$3:$D$143,Journal!$A$3:$A$143,$B79,Journal!$F$3:$F$143,G$3)=0,"",SUMIFS(Journal!$D$3:$D$143,Journal!$A$3:$A$143,$B79,Journal!$F$3:$F$143,G$3))</f>
        <v/>
      </c>
      <c r="I79" s="86" t="str">
        <f>IF(SUMIFS(Journal!$D$3:$D$143,Journal!$A$3:$A$143,$B79,Journal!$E$3:$E$143,I$3)=0,"",SUMIFS(Journal!$D$3:$D$143,Journal!$A$3:$A$143,$B79,Journal!$E$3:$E$143,I$3))</f>
        <v/>
      </c>
      <c r="J79" s="86">
        <f>IF(SUMIFS(Journal!$D$3:$D$143,Journal!$A$3:$A$143,$B79,Journal!$F$3:$F$143,I$3)=0,"",SUMIFS(Journal!$D$3:$D$143,Journal!$A$3:$A$143,$B79,Journal!$F$3:$F$143,I$3))</f>
        <v>6000</v>
      </c>
      <c r="K79" s="86" t="str">
        <f>IF(SUMIFS(Journal!$D$3:$D$143,Journal!$A$3:$A$143,$B79,Journal!$E$3:$E$143,K$3)=0,"",SUMIFS(Journal!$D$3:$D$143,Journal!$A$3:$A$143,$B79,Journal!$E$3:$E$143,K$3))</f>
        <v/>
      </c>
      <c r="L79" s="86" t="str">
        <f>IF(SUMIFS(Journal!$D$3:$D$143,Journal!$A$3:$A$143,$B79,Journal!$F$3:$F$143,K$3)=0,"",SUMIFS(Journal!$D$3:$D$143,Journal!$A$3:$A$143,$B79,Journal!$F$3:$F$143,K$3))</f>
        <v/>
      </c>
      <c r="M79" s="86" t="str">
        <f>IF(SUMIFS(Journal!$D$3:$D$143,Journal!$A$3:$A$143,$B79,Journal!$E$3:$E$143,M$3)=0,"",SUMIFS(Journal!$D$3:$D$143,Journal!$A$3:$A$143,$B79,Journal!$E$3:$E$143,M$3))</f>
        <v/>
      </c>
      <c r="N79" s="86" t="str">
        <f>IF(SUMIFS(Journal!$D$3:$D$143,Journal!$A$3:$A$143,$B79,Journal!$F$3:$F$143,M$3)=0,"",SUMIFS(Journal!$D$3:$D$143,Journal!$A$3:$A$143,$B79,Journal!$F$3:$F$143,M$3))</f>
        <v/>
      </c>
      <c r="O79" s="86" t="str">
        <f>IF(SUMIFS(Journal!$D$3:$D$143,Journal!$A$3:$A$143,$B79,Journal!$E$3:$E$143,O$3)=0,"",SUMIFS(Journal!$D$3:$D$143,Journal!$A$3:$A$143,$B79,Journal!$E$3:$E$143,O$3))</f>
        <v/>
      </c>
      <c r="P79" s="86" t="str">
        <f>IF(SUMIFS(Journal!$D$3:$D$143,Journal!$A$3:$A$143,$B79,Journal!$F$3:$F$143,O$3)=0,"",SUMIFS(Journal!$D$3:$D$143,Journal!$A$3:$A$143,$B79,Journal!$F$3:$F$143,O$3))</f>
        <v/>
      </c>
      <c r="Q79" s="86" t="str">
        <f>IF(SUMIFS(Journal!$D$3:$D$143,Journal!$A$3:$A$143,$B79,Journal!$E$3:$E$143,Q$3)=0,"",SUMIFS(Journal!$D$3:$D$143,Journal!$A$3:$A$143,$B79,Journal!$E$3:$E$143,Q$3))</f>
        <v/>
      </c>
      <c r="R79" s="86" t="str">
        <f>IF(SUMIFS(Journal!$D$3:$D$143,Journal!$A$3:$A$143,$B79,Journal!$F$3:$F$143,Q$3)=0,"",SUMIFS(Journal!$D$3:$D$143,Journal!$A$3:$A$143,$B79,Journal!$F$3:$F$143,Q$3))</f>
        <v/>
      </c>
      <c r="S79" s="86" t="str">
        <f>IF(SUMIFS(Journal!$D$3:$D$143,Journal!$A$3:$A$143,$B79,Journal!$E$3:$E$143,S$3)=0,"",SUMIFS(Journal!$D$3:$D$143,Journal!$A$3:$A$143,$B79,Journal!$E$3:$E$143,S$3))</f>
        <v/>
      </c>
      <c r="T79" s="86" t="str">
        <f>IF(SUMIFS(Journal!$D$3:$D$143,Journal!$A$3:$A$143,$B79,Journal!$F$3:$F$143,S$3)=0,"",SUMIFS(Journal!$D$3:$D$143,Journal!$A$3:$A$143,$B79,Journal!$F$3:$F$143,S$3))</f>
        <v/>
      </c>
      <c r="U79" s="86" t="str">
        <f>IF(SUMIFS(Journal!$D$3:$D$143,Journal!$A$3:$A$143,$B79,Journal!$E$3:$E$143,U$3)=0,"",SUMIFS(Journal!$D$3:$D$143,Journal!$A$3:$A$143,$B79,Journal!$E$3:$E$143,U$3))</f>
        <v/>
      </c>
      <c r="V79" s="86" t="str">
        <f>IF(SUMIFS(Journal!$D$3:$D$143,Journal!$A$3:$A$143,$B79,Journal!$F$3:$F$143,U$3)=0,"",SUMIFS(Journal!$D$3:$D$143,Journal!$A$3:$A$143,$B79,Journal!$F$3:$F$143,U$3))</f>
        <v/>
      </c>
      <c r="W79" s="86" t="str">
        <f>IF(SUMIFS(Journal!$D$3:$D$143,Journal!$A$3:$A$143,$B79,Journal!$E$3:$E$143,W$3)=0,"",SUMIFS(Journal!$D$3:$D$143,Journal!$A$3:$A$143,$B79,Journal!$E$3:$E$143,W$3))</f>
        <v/>
      </c>
      <c r="X79" s="86" t="str">
        <f>IF(SUMIFS(Journal!$D$3:$D$143,Journal!$A$3:$A$143,$B79,Journal!$F$3:$F$143,W$3)=0,"",SUMIFS(Journal!$D$3:$D$143,Journal!$A$3:$A$143,$B79,Journal!$F$3:$F$143,W$3))</f>
        <v/>
      </c>
      <c r="Y79" s="86" t="str">
        <f>IF(SUMIFS(Journal!$D$3:$D$143,Journal!$A$3:$A$143,$B79,Journal!$E$3:$E$143,Y$3)=0,"",SUMIFS(Journal!$D$3:$D$143,Journal!$A$3:$A$143,$B79,Journal!$E$3:$E$143,Y$3))</f>
        <v/>
      </c>
      <c r="Z79" s="86" t="str">
        <f>IF(SUMIFS(Journal!$D$3:$D$143,Journal!$A$3:$A$143,$B79,Journal!$F$3:$F$143,Y$3)=0,"",SUMIFS(Journal!$D$3:$D$143,Journal!$A$3:$A$143,$B79,Journal!$F$3:$F$143,Y$3))</f>
        <v/>
      </c>
      <c r="AA79" s="86" t="str">
        <f>IF(SUMIFS(Journal!$D$3:$D$143,Journal!$A$3:$A$143,$B79,Journal!$E$3:$E$143,AA$3)=0,"",SUMIFS(Journal!$D$3:$D$143,Journal!$A$3:$A$143,$B79,Journal!$E$3:$E$143,AA$3))</f>
        <v/>
      </c>
      <c r="AB79" s="86">
        <f>IF(SUMIFS(Journal!$D$3:$D$143,Journal!$A$3:$A$143,$B79,Journal!$F$3:$F$143,AA$3)=0,"",SUMIFS(Journal!$D$3:$D$143,Journal!$A$3:$A$143,$B79,Journal!$F$3:$F$143,AA$3))</f>
        <v>10000</v>
      </c>
      <c r="AC79" s="86" t="str">
        <f>IF(SUMIFS(Journal!$D$3:$D$143,Journal!$A$3:$A$143,$B79,Journal!$E$3:$E$143,AC$3)=0,"",SUMIFS(Journal!$D$3:$D$143,Journal!$A$3:$A$143,$B79,Journal!$E$3:$E$143,AC$3))</f>
        <v/>
      </c>
      <c r="AD79" s="86" t="str">
        <f>IF(SUMIFS(Journal!$D$3:$D$143,Journal!$A$3:$A$143,$B79,Journal!$F$3:$F$143,AC$3)=0,"",SUMIFS(Journal!$D$3:$D$143,Journal!$A$3:$A$143,$B79,Journal!$F$3:$F$143,AC$3))</f>
        <v/>
      </c>
      <c r="AE79" s="86">
        <f>IF(SUMIFS(Journal!$D$3:$D$143,Journal!$A$3:$A$143,$B79,Journal!$E$3:$E$143,AE$3)=0,"",SUMIFS(Journal!$D$3:$D$143,Journal!$A$3:$A$143,$B79,Journal!$E$3:$E$143,AE$3))</f>
        <v>6000</v>
      </c>
      <c r="AF79" s="86" t="str">
        <f>IF(SUMIFS(Journal!$D$3:$D$143,Journal!$A$3:$A$143,$B79,Journal!$F$3:$F$143,AE$3)=0,"",SUMIFS(Journal!$D$3:$D$143,Journal!$A$3:$A$143,$B79,Journal!$F$3:$F$143,AE$3))</f>
        <v/>
      </c>
      <c r="AG79" s="86" t="str">
        <f>IF(SUMIFS(Journal!$D$3:$D$143,Journal!$A$3:$A$143,$B79,Journal!$E$3:$E$143,AG$3)=0,"",SUMIFS(Journal!$D$3:$D$143,Journal!$A$3:$A$143,$B79,Journal!$E$3:$E$143,AG$3))</f>
        <v/>
      </c>
      <c r="AH79" s="86" t="str">
        <f>IF(SUMIFS(Journal!$D$3:$D$143,Journal!$A$3:$A$143,$B79,Journal!$F$3:$F$143,AG$3)=0,"",SUMIFS(Journal!$D$3:$D$143,Journal!$A$3:$A$143,$B79,Journal!$F$3:$F$143,AG$3))</f>
        <v/>
      </c>
      <c r="AI79" s="86" t="str">
        <f>IF(SUMIFS(Journal!$D$3:$D$143,Journal!$A$3:$A$143,$B79,Journal!$E$3:$E$143,AI$3)=0,"",SUMIFS(Journal!$D$3:$D$143,Journal!$A$3:$A$143,$B79,Journal!$E$3:$E$143,AI$3))</f>
        <v/>
      </c>
      <c r="AJ79" s="86" t="str">
        <f>IF(SUMIFS(Journal!$D$3:$D$143,Journal!$A$3:$A$143,$B79,Journal!$F$3:$F$143,AI$3)=0,"",SUMIFS(Journal!$D$3:$D$143,Journal!$A$3:$A$143,$B79,Journal!$F$3:$F$143,AI$3))</f>
        <v/>
      </c>
      <c r="AK79" s="86" t="str">
        <f>IF(SUMIFS(Journal!$D$3:$D$143,Journal!$A$3:$A$143,$B79,Journal!$E$3:$E$143,AK$3)=0,"",SUMIFS(Journal!$D$3:$D$143,Journal!$A$3:$A$143,$B79,Journal!$E$3:$E$143,AK$3))</f>
        <v/>
      </c>
      <c r="AL79" s="86" t="str">
        <f>IF(SUMIFS(Journal!$D$3:$D$143,Journal!$A$3:$A$143,$B79,Journal!$F$3:$F$143,AK$3)=0,"",SUMIFS(Journal!$D$3:$D$143,Journal!$A$3:$A$143,$B79,Journal!$F$3:$F$143,AK$3))</f>
        <v/>
      </c>
      <c r="AM79" s="86" t="str">
        <f>IF(SUMIFS(Journal!$D$3:$D$143,Journal!$A$3:$A$143,$B79,Journal!$E$3:$E$143,AM$3)=0,"",SUMIFS(Journal!$D$3:$D$143,Journal!$A$3:$A$143,$B79,Journal!$E$3:$E$143,AM$3))</f>
        <v/>
      </c>
      <c r="AN79" s="86" t="str">
        <f>IF(SUMIFS(Journal!$D$3:$D$143,Journal!$A$3:$A$143,$B79,Journal!$F$3:$F$143,AM$3)=0,"",SUMIFS(Journal!$D$3:$D$143,Journal!$A$3:$A$143,$B79,Journal!$F$3:$F$143,AM$3))</f>
        <v/>
      </c>
      <c r="AO79" s="86" t="str">
        <f>IF(SUMIFS(Journal!$D$3:$D$143,Journal!$A$3:$A$143,$B79,Journal!$E$3:$E$143,AO$3)=0,"",SUMIFS(Journal!$D$3:$D$143,Journal!$A$3:$A$143,$B79,Journal!$E$3:$E$143,AO$3))</f>
        <v/>
      </c>
      <c r="AP79" s="86" t="str">
        <f>IF(SUMIFS(Journal!$D$3:$D$143,Journal!$A$3:$A$143,$B79,Journal!$F$3:$F$143,AO$3)=0,"",SUMIFS(Journal!$D$3:$D$143,Journal!$A$3:$A$143,$B79,Journal!$F$3:$F$143,AO$3))</f>
        <v/>
      </c>
      <c r="AQ79" s="86" t="str">
        <f>IF(SUMIFS(Journal!$D$3:$D$143,Journal!$A$3:$A$143,$B79,Journal!$E$3:$E$143,AQ$3)=0,"",SUMIFS(Journal!$D$3:$D$143,Journal!$A$3:$A$143,$B79,Journal!$E$3:$E$143,AQ$3))</f>
        <v/>
      </c>
      <c r="AR79" s="86" t="str">
        <f>IF(SUMIFS(Journal!$D$3:$D$143,Journal!$A$3:$A$143,$B79,Journal!$F$3:$F$143,AQ$3)=0,"",SUMIFS(Journal!$D$3:$D$143,Journal!$A$3:$A$143,$B79,Journal!$F$3:$F$143,AQ$3))</f>
        <v/>
      </c>
      <c r="AS79" s="86" t="str">
        <f>IF(SUMIFS(Journal!$D$3:$D$143,Journal!$A$3:$A$143,$B79,Journal!$E$3:$E$143,AS$3)=0,"",SUMIFS(Journal!$D$3:$D$143,Journal!$A$3:$A$143,$B79,Journal!$E$3:$E$143,AS$3))</f>
        <v/>
      </c>
      <c r="AT79" s="86" t="str">
        <f>IF(SUMIFS(Journal!$D$3:$D$143,Journal!$A$3:$A$143,$B79,Journal!$F$3:$F$143,AS$3)=0,"",SUMIFS(Journal!$D$3:$D$143,Journal!$A$3:$A$143,$B79,Journal!$F$3:$F$143,AS$3))</f>
        <v/>
      </c>
      <c r="AU79" s="86" t="str">
        <f>IF(SUMIFS(Journal!$D$3:$D$143,Journal!$A$3:$A$143,$B79,Journal!$E$3:$E$143,AU$3)=0,"",SUMIFS(Journal!$D$3:$D$143,Journal!$A$3:$A$143,$B79,Journal!$E$3:$E$143,AU$3))</f>
        <v/>
      </c>
      <c r="AV79" s="86" t="str">
        <f>IF(SUMIFS(Journal!$D$3:$D$143,Journal!$A$3:$A$143,$B79,Journal!$F$3:$F$143,AU$3)=0,"",SUMIFS(Journal!$D$3:$D$143,Journal!$A$3:$A$143,$B79,Journal!$F$3:$F$143,AU$3))</f>
        <v/>
      </c>
      <c r="AW79" s="86" t="str">
        <f>IF(SUMIFS(Journal!$D$3:$D$143,Journal!$A$3:$A$143,$B79,Journal!$E$3:$E$143,AW$3)=0,"",SUMIFS(Journal!$D$3:$D$143,Journal!$A$3:$A$143,$B79,Journal!$E$3:$E$143,AW$3))</f>
        <v/>
      </c>
      <c r="AX79" s="86" t="str">
        <f>IF(SUMIFS(Journal!$D$3:$D$143,Journal!$A$3:$A$143,$B79,Journal!$F$3:$F$143,AW$3)=0,"",SUMIFS(Journal!$D$3:$D$143,Journal!$A$3:$A$143,$B79,Journal!$F$3:$F$143,AW$3))</f>
        <v/>
      </c>
      <c r="AY79" s="86" t="str">
        <f>IF(SUMIFS(Journal!$D$3:$D$143,Journal!$A$3:$A$143,$B79,Journal!$E$3:$E$143,AY$3)=0,"",SUMIFS(Journal!$D$3:$D$143,Journal!$A$3:$A$143,$B79,Journal!$E$3:$E$143,AY$3))</f>
        <v/>
      </c>
      <c r="AZ79" s="86" t="str">
        <f>IF(SUMIFS(Journal!$D$3:$D$143,Journal!$A$3:$A$143,$B79,Journal!$F$3:$F$143,AY$3)=0,"",SUMIFS(Journal!$D$3:$D$143,Journal!$A$3:$A$143,$B79,Journal!$F$3:$F$143,AY$3))</f>
        <v/>
      </c>
      <c r="BA79" s="86" t="str">
        <f>IF(SUMIFS(Journal!$D$3:$D$143,Journal!$A$3:$A$143,$B79,Journal!$E$3:$E$143,BA$3)=0,"",SUMIFS(Journal!$D$3:$D$143,Journal!$A$3:$A$143,$B79,Journal!$E$3:$E$143,BA$3))</f>
        <v/>
      </c>
      <c r="BB79" s="86" t="str">
        <f>IF(SUMIFS(Journal!$D$3:$D$143,Journal!$A$3:$A$143,$B79,Journal!$F$3:$F$143,BA$3)=0,"",SUMIFS(Journal!$D$3:$D$143,Journal!$A$3:$A$143,$B79,Journal!$F$3:$F$143,BA$3))</f>
        <v/>
      </c>
    </row>
    <row r="80">
      <c r="A80" s="84">
        <f>VLOOKUP(B80,Journal!$A$3:$C$143,2,FALSE)</f>
        <v>45493</v>
      </c>
      <c r="B80" s="85" t="s">
        <v>498</v>
      </c>
      <c r="C80" s="86" t="str">
        <f>VLOOKUP(B80,Journal!$A$3:$C$143,3,FALSE)</f>
        <v>Guided tour revenue</v>
      </c>
      <c r="D80" s="86">
        <f>SUMIF(Journal!$A$3:$A$143,B80,Journal!$D$3:$D$143)</f>
        <v>14000</v>
      </c>
      <c r="E80" s="86">
        <f>IF(SUMIFS(Journal!$D$3:$D$143,Journal!$A$3:$A$143,$B80,Journal!$E$3:$E$143,E$3)=0,"",SUMIFS(Journal!$D$3:$D$143,Journal!$A$3:$A$143,$B80,Journal!$E$3:$E$143,E$3))</f>
        <v>14000</v>
      </c>
      <c r="F80" s="86" t="str">
        <f>IF(SUMIFS(Journal!$D$3:$D$143,Journal!$A$3:$A$143,$B80,Journal!$F$3:$F$143,E$3)=0,"",SUMIFS(Journal!$D$3:$D$143,Journal!$A$3:$A$143,$B80,Journal!$F$3:$F$143,E$3))</f>
        <v/>
      </c>
      <c r="G80" s="86" t="str">
        <f>IF(SUMIFS(Journal!$D$3:$D$143,Journal!$A$3:$A$143,$B80,Journal!$E$3:$E$143,G$3)=0,"",SUMIFS(Journal!$D$3:$D$143,Journal!$A$3:$A$143,$B80,Journal!$E$3:$E$143,G$3))</f>
        <v/>
      </c>
      <c r="H80" s="86" t="str">
        <f>IF(SUMIFS(Journal!$D$3:$D$143,Journal!$A$3:$A$143,$B80,Journal!$F$3:$F$143,G$3)=0,"",SUMIFS(Journal!$D$3:$D$143,Journal!$A$3:$A$143,$B80,Journal!$F$3:$F$143,G$3))</f>
        <v/>
      </c>
      <c r="I80" s="86" t="str">
        <f>IF(SUMIFS(Journal!$D$3:$D$143,Journal!$A$3:$A$143,$B80,Journal!$E$3:$E$143,I$3)=0,"",SUMIFS(Journal!$D$3:$D$143,Journal!$A$3:$A$143,$B80,Journal!$E$3:$E$143,I$3))</f>
        <v/>
      </c>
      <c r="J80" s="86" t="str">
        <f>IF(SUMIFS(Journal!$D$3:$D$143,Journal!$A$3:$A$143,$B80,Journal!$F$3:$F$143,I$3)=0,"",SUMIFS(Journal!$D$3:$D$143,Journal!$A$3:$A$143,$B80,Journal!$F$3:$F$143,I$3))</f>
        <v/>
      </c>
      <c r="K80" s="86" t="str">
        <f>IF(SUMIFS(Journal!$D$3:$D$143,Journal!$A$3:$A$143,$B80,Journal!$E$3:$E$143,K$3)=0,"",SUMIFS(Journal!$D$3:$D$143,Journal!$A$3:$A$143,$B80,Journal!$E$3:$E$143,K$3))</f>
        <v/>
      </c>
      <c r="L80" s="86" t="str">
        <f>IF(SUMIFS(Journal!$D$3:$D$143,Journal!$A$3:$A$143,$B80,Journal!$F$3:$F$143,K$3)=0,"",SUMIFS(Journal!$D$3:$D$143,Journal!$A$3:$A$143,$B80,Journal!$F$3:$F$143,K$3))</f>
        <v/>
      </c>
      <c r="M80" s="86" t="str">
        <f>IF(SUMIFS(Journal!$D$3:$D$143,Journal!$A$3:$A$143,$B80,Journal!$E$3:$E$143,M$3)=0,"",SUMIFS(Journal!$D$3:$D$143,Journal!$A$3:$A$143,$B80,Journal!$E$3:$E$143,M$3))</f>
        <v/>
      </c>
      <c r="N80" s="86" t="str">
        <f>IF(SUMIFS(Journal!$D$3:$D$143,Journal!$A$3:$A$143,$B80,Journal!$F$3:$F$143,M$3)=0,"",SUMIFS(Journal!$D$3:$D$143,Journal!$A$3:$A$143,$B80,Journal!$F$3:$F$143,M$3))</f>
        <v/>
      </c>
      <c r="O80" s="86" t="str">
        <f>IF(SUMIFS(Journal!$D$3:$D$143,Journal!$A$3:$A$143,$B80,Journal!$E$3:$E$143,O$3)=0,"",SUMIFS(Journal!$D$3:$D$143,Journal!$A$3:$A$143,$B80,Journal!$E$3:$E$143,O$3))</f>
        <v/>
      </c>
      <c r="P80" s="86" t="str">
        <f>IF(SUMIFS(Journal!$D$3:$D$143,Journal!$A$3:$A$143,$B80,Journal!$F$3:$F$143,O$3)=0,"",SUMIFS(Journal!$D$3:$D$143,Journal!$A$3:$A$143,$B80,Journal!$F$3:$F$143,O$3))</f>
        <v/>
      </c>
      <c r="Q80" s="86" t="str">
        <f>IF(SUMIFS(Journal!$D$3:$D$143,Journal!$A$3:$A$143,$B80,Journal!$E$3:$E$143,Q$3)=0,"",SUMIFS(Journal!$D$3:$D$143,Journal!$A$3:$A$143,$B80,Journal!$E$3:$E$143,Q$3))</f>
        <v/>
      </c>
      <c r="R80" s="86" t="str">
        <f>IF(SUMIFS(Journal!$D$3:$D$143,Journal!$A$3:$A$143,$B80,Journal!$F$3:$F$143,Q$3)=0,"",SUMIFS(Journal!$D$3:$D$143,Journal!$A$3:$A$143,$B80,Journal!$F$3:$F$143,Q$3))</f>
        <v/>
      </c>
      <c r="S80" s="86" t="str">
        <f>IF(SUMIFS(Journal!$D$3:$D$143,Journal!$A$3:$A$143,$B80,Journal!$E$3:$E$143,S$3)=0,"",SUMIFS(Journal!$D$3:$D$143,Journal!$A$3:$A$143,$B80,Journal!$E$3:$E$143,S$3))</f>
        <v/>
      </c>
      <c r="T80" s="86" t="str">
        <f>IF(SUMIFS(Journal!$D$3:$D$143,Journal!$A$3:$A$143,$B80,Journal!$F$3:$F$143,S$3)=0,"",SUMIFS(Journal!$D$3:$D$143,Journal!$A$3:$A$143,$B80,Journal!$F$3:$F$143,S$3))</f>
        <v/>
      </c>
      <c r="U80" s="86" t="str">
        <f>IF(SUMIFS(Journal!$D$3:$D$143,Journal!$A$3:$A$143,$B80,Journal!$E$3:$E$143,U$3)=0,"",SUMIFS(Journal!$D$3:$D$143,Journal!$A$3:$A$143,$B80,Journal!$E$3:$E$143,U$3))</f>
        <v/>
      </c>
      <c r="V80" s="86" t="str">
        <f>IF(SUMIFS(Journal!$D$3:$D$143,Journal!$A$3:$A$143,$B80,Journal!$F$3:$F$143,U$3)=0,"",SUMIFS(Journal!$D$3:$D$143,Journal!$A$3:$A$143,$B80,Journal!$F$3:$F$143,U$3))</f>
        <v/>
      </c>
      <c r="W80" s="86" t="str">
        <f>IF(SUMIFS(Journal!$D$3:$D$143,Journal!$A$3:$A$143,$B80,Journal!$E$3:$E$143,W$3)=0,"",SUMIFS(Journal!$D$3:$D$143,Journal!$A$3:$A$143,$B80,Journal!$E$3:$E$143,W$3))</f>
        <v/>
      </c>
      <c r="X80" s="86" t="str">
        <f>IF(SUMIFS(Journal!$D$3:$D$143,Journal!$A$3:$A$143,$B80,Journal!$F$3:$F$143,W$3)=0,"",SUMIFS(Journal!$D$3:$D$143,Journal!$A$3:$A$143,$B80,Journal!$F$3:$F$143,W$3))</f>
        <v/>
      </c>
      <c r="Y80" s="86" t="str">
        <f>IF(SUMIFS(Journal!$D$3:$D$143,Journal!$A$3:$A$143,$B80,Journal!$E$3:$E$143,Y$3)=0,"",SUMIFS(Journal!$D$3:$D$143,Journal!$A$3:$A$143,$B80,Journal!$E$3:$E$143,Y$3))</f>
        <v/>
      </c>
      <c r="Z80" s="86">
        <f>IF(SUMIFS(Journal!$D$3:$D$143,Journal!$A$3:$A$143,$B80,Journal!$F$3:$F$143,Y$3)=0,"",SUMIFS(Journal!$D$3:$D$143,Journal!$A$3:$A$143,$B80,Journal!$F$3:$F$143,Y$3))</f>
        <v>14000</v>
      </c>
      <c r="AA80" s="86" t="str">
        <f>IF(SUMIFS(Journal!$D$3:$D$143,Journal!$A$3:$A$143,$B80,Journal!$E$3:$E$143,AA$3)=0,"",SUMIFS(Journal!$D$3:$D$143,Journal!$A$3:$A$143,$B80,Journal!$E$3:$E$143,AA$3))</f>
        <v/>
      </c>
      <c r="AB80" s="86" t="str">
        <f>IF(SUMIFS(Journal!$D$3:$D$143,Journal!$A$3:$A$143,$B80,Journal!$F$3:$F$143,AA$3)=0,"",SUMIFS(Journal!$D$3:$D$143,Journal!$A$3:$A$143,$B80,Journal!$F$3:$F$143,AA$3))</f>
        <v/>
      </c>
      <c r="AC80" s="86" t="str">
        <f>IF(SUMIFS(Journal!$D$3:$D$143,Journal!$A$3:$A$143,$B80,Journal!$E$3:$E$143,AC$3)=0,"",SUMIFS(Journal!$D$3:$D$143,Journal!$A$3:$A$143,$B80,Journal!$E$3:$E$143,AC$3))</f>
        <v/>
      </c>
      <c r="AD80" s="86" t="str">
        <f>IF(SUMIFS(Journal!$D$3:$D$143,Journal!$A$3:$A$143,$B80,Journal!$F$3:$F$143,AC$3)=0,"",SUMIFS(Journal!$D$3:$D$143,Journal!$A$3:$A$143,$B80,Journal!$F$3:$F$143,AC$3))</f>
        <v/>
      </c>
      <c r="AE80" s="86" t="str">
        <f>IF(SUMIFS(Journal!$D$3:$D$143,Journal!$A$3:$A$143,$B80,Journal!$E$3:$E$143,AE$3)=0,"",SUMIFS(Journal!$D$3:$D$143,Journal!$A$3:$A$143,$B80,Journal!$E$3:$E$143,AE$3))</f>
        <v/>
      </c>
      <c r="AF80" s="86" t="str">
        <f>IF(SUMIFS(Journal!$D$3:$D$143,Journal!$A$3:$A$143,$B80,Journal!$F$3:$F$143,AE$3)=0,"",SUMIFS(Journal!$D$3:$D$143,Journal!$A$3:$A$143,$B80,Journal!$F$3:$F$143,AE$3))</f>
        <v/>
      </c>
      <c r="AG80" s="86" t="str">
        <f>IF(SUMIFS(Journal!$D$3:$D$143,Journal!$A$3:$A$143,$B80,Journal!$E$3:$E$143,AG$3)=0,"",SUMIFS(Journal!$D$3:$D$143,Journal!$A$3:$A$143,$B80,Journal!$E$3:$E$143,AG$3))</f>
        <v/>
      </c>
      <c r="AH80" s="86" t="str">
        <f>IF(SUMIFS(Journal!$D$3:$D$143,Journal!$A$3:$A$143,$B80,Journal!$F$3:$F$143,AG$3)=0,"",SUMIFS(Journal!$D$3:$D$143,Journal!$A$3:$A$143,$B80,Journal!$F$3:$F$143,AG$3))</f>
        <v/>
      </c>
      <c r="AI80" s="86" t="str">
        <f>IF(SUMIFS(Journal!$D$3:$D$143,Journal!$A$3:$A$143,$B80,Journal!$E$3:$E$143,AI$3)=0,"",SUMIFS(Journal!$D$3:$D$143,Journal!$A$3:$A$143,$B80,Journal!$E$3:$E$143,AI$3))</f>
        <v/>
      </c>
      <c r="AJ80" s="86" t="str">
        <f>IF(SUMIFS(Journal!$D$3:$D$143,Journal!$A$3:$A$143,$B80,Journal!$F$3:$F$143,AI$3)=0,"",SUMIFS(Journal!$D$3:$D$143,Journal!$A$3:$A$143,$B80,Journal!$F$3:$F$143,AI$3))</f>
        <v/>
      </c>
      <c r="AK80" s="86" t="str">
        <f>IF(SUMIFS(Journal!$D$3:$D$143,Journal!$A$3:$A$143,$B80,Journal!$E$3:$E$143,AK$3)=0,"",SUMIFS(Journal!$D$3:$D$143,Journal!$A$3:$A$143,$B80,Journal!$E$3:$E$143,AK$3))</f>
        <v/>
      </c>
      <c r="AL80" s="86" t="str">
        <f>IF(SUMIFS(Journal!$D$3:$D$143,Journal!$A$3:$A$143,$B80,Journal!$F$3:$F$143,AK$3)=0,"",SUMIFS(Journal!$D$3:$D$143,Journal!$A$3:$A$143,$B80,Journal!$F$3:$F$143,AK$3))</f>
        <v/>
      </c>
      <c r="AM80" s="86" t="str">
        <f>IF(SUMIFS(Journal!$D$3:$D$143,Journal!$A$3:$A$143,$B80,Journal!$E$3:$E$143,AM$3)=0,"",SUMIFS(Journal!$D$3:$D$143,Journal!$A$3:$A$143,$B80,Journal!$E$3:$E$143,AM$3))</f>
        <v/>
      </c>
      <c r="AN80" s="86" t="str">
        <f>IF(SUMIFS(Journal!$D$3:$D$143,Journal!$A$3:$A$143,$B80,Journal!$F$3:$F$143,AM$3)=0,"",SUMIFS(Journal!$D$3:$D$143,Journal!$A$3:$A$143,$B80,Journal!$F$3:$F$143,AM$3))</f>
        <v/>
      </c>
      <c r="AO80" s="86" t="str">
        <f>IF(SUMIFS(Journal!$D$3:$D$143,Journal!$A$3:$A$143,$B80,Journal!$E$3:$E$143,AO$3)=0,"",SUMIFS(Journal!$D$3:$D$143,Journal!$A$3:$A$143,$B80,Journal!$E$3:$E$143,AO$3))</f>
        <v/>
      </c>
      <c r="AP80" s="86" t="str">
        <f>IF(SUMIFS(Journal!$D$3:$D$143,Journal!$A$3:$A$143,$B80,Journal!$F$3:$F$143,AO$3)=0,"",SUMIFS(Journal!$D$3:$D$143,Journal!$A$3:$A$143,$B80,Journal!$F$3:$F$143,AO$3))</f>
        <v/>
      </c>
      <c r="AQ80" s="86" t="str">
        <f>IF(SUMIFS(Journal!$D$3:$D$143,Journal!$A$3:$A$143,$B80,Journal!$E$3:$E$143,AQ$3)=0,"",SUMIFS(Journal!$D$3:$D$143,Journal!$A$3:$A$143,$B80,Journal!$E$3:$E$143,AQ$3))</f>
        <v/>
      </c>
      <c r="AR80" s="86" t="str">
        <f>IF(SUMIFS(Journal!$D$3:$D$143,Journal!$A$3:$A$143,$B80,Journal!$F$3:$F$143,AQ$3)=0,"",SUMIFS(Journal!$D$3:$D$143,Journal!$A$3:$A$143,$B80,Journal!$F$3:$F$143,AQ$3))</f>
        <v/>
      </c>
      <c r="AS80" s="86" t="str">
        <f>IF(SUMIFS(Journal!$D$3:$D$143,Journal!$A$3:$A$143,$B80,Journal!$E$3:$E$143,AS$3)=0,"",SUMIFS(Journal!$D$3:$D$143,Journal!$A$3:$A$143,$B80,Journal!$E$3:$E$143,AS$3))</f>
        <v/>
      </c>
      <c r="AT80" s="86" t="str">
        <f>IF(SUMIFS(Journal!$D$3:$D$143,Journal!$A$3:$A$143,$B80,Journal!$F$3:$F$143,AS$3)=0,"",SUMIFS(Journal!$D$3:$D$143,Journal!$A$3:$A$143,$B80,Journal!$F$3:$F$143,AS$3))</f>
        <v/>
      </c>
      <c r="AU80" s="86" t="str">
        <f>IF(SUMIFS(Journal!$D$3:$D$143,Journal!$A$3:$A$143,$B80,Journal!$E$3:$E$143,AU$3)=0,"",SUMIFS(Journal!$D$3:$D$143,Journal!$A$3:$A$143,$B80,Journal!$E$3:$E$143,AU$3))</f>
        <v/>
      </c>
      <c r="AV80" s="86" t="str">
        <f>IF(SUMIFS(Journal!$D$3:$D$143,Journal!$A$3:$A$143,$B80,Journal!$F$3:$F$143,AU$3)=0,"",SUMIFS(Journal!$D$3:$D$143,Journal!$A$3:$A$143,$B80,Journal!$F$3:$F$143,AU$3))</f>
        <v/>
      </c>
      <c r="AW80" s="86" t="str">
        <f>IF(SUMIFS(Journal!$D$3:$D$143,Journal!$A$3:$A$143,$B80,Journal!$E$3:$E$143,AW$3)=0,"",SUMIFS(Journal!$D$3:$D$143,Journal!$A$3:$A$143,$B80,Journal!$E$3:$E$143,AW$3))</f>
        <v/>
      </c>
      <c r="AX80" s="86" t="str">
        <f>IF(SUMIFS(Journal!$D$3:$D$143,Journal!$A$3:$A$143,$B80,Journal!$F$3:$F$143,AW$3)=0,"",SUMIFS(Journal!$D$3:$D$143,Journal!$A$3:$A$143,$B80,Journal!$F$3:$F$143,AW$3))</f>
        <v/>
      </c>
      <c r="AY80" s="86" t="str">
        <f>IF(SUMIFS(Journal!$D$3:$D$143,Journal!$A$3:$A$143,$B80,Journal!$E$3:$E$143,AY$3)=0,"",SUMIFS(Journal!$D$3:$D$143,Journal!$A$3:$A$143,$B80,Journal!$E$3:$E$143,AY$3))</f>
        <v/>
      </c>
      <c r="AZ80" s="86" t="str">
        <f>IF(SUMIFS(Journal!$D$3:$D$143,Journal!$A$3:$A$143,$B80,Journal!$F$3:$F$143,AY$3)=0,"",SUMIFS(Journal!$D$3:$D$143,Journal!$A$3:$A$143,$B80,Journal!$F$3:$F$143,AY$3))</f>
        <v/>
      </c>
      <c r="BA80" s="86" t="str">
        <f>IF(SUMIFS(Journal!$D$3:$D$143,Journal!$A$3:$A$143,$B80,Journal!$E$3:$E$143,BA$3)=0,"",SUMIFS(Journal!$D$3:$D$143,Journal!$A$3:$A$143,$B80,Journal!$E$3:$E$143,BA$3))</f>
        <v/>
      </c>
      <c r="BB80" s="86" t="str">
        <f>IF(SUMIFS(Journal!$D$3:$D$143,Journal!$A$3:$A$143,$B80,Journal!$F$3:$F$143,BA$3)=0,"",SUMIFS(Journal!$D$3:$D$143,Journal!$A$3:$A$143,$B80,Journal!$F$3:$F$143,BA$3))</f>
        <v/>
      </c>
    </row>
    <row r="81">
      <c r="A81" s="84">
        <f>VLOOKUP(B81,Journal!$A$3:$C$143,2,FALSE)</f>
        <v>45495</v>
      </c>
      <c r="B81" s="85" t="s">
        <v>500</v>
      </c>
      <c r="C81" s="86" t="str">
        <f>VLOOKUP(B81,Journal!$A$3:$C$143,3,FALSE)</f>
        <v>Seasonal event revenue</v>
      </c>
      <c r="D81" s="86">
        <f>SUMIF(Journal!$A$3:$A$143,B81,Journal!$D$3:$D$143)</f>
        <v>9000</v>
      </c>
      <c r="E81" s="86">
        <f>IF(SUMIFS(Journal!$D$3:$D$143,Journal!$A$3:$A$143,$B81,Journal!$E$3:$E$143,E$3)=0,"",SUMIFS(Journal!$D$3:$D$143,Journal!$A$3:$A$143,$B81,Journal!$E$3:$E$143,E$3))</f>
        <v>9000</v>
      </c>
      <c r="F81" s="86" t="str">
        <f>IF(SUMIFS(Journal!$D$3:$D$143,Journal!$A$3:$A$143,$B81,Journal!$F$3:$F$143,E$3)=0,"",SUMIFS(Journal!$D$3:$D$143,Journal!$A$3:$A$143,$B81,Journal!$F$3:$F$143,E$3))</f>
        <v/>
      </c>
      <c r="G81" s="86" t="str">
        <f>IF(SUMIFS(Journal!$D$3:$D$143,Journal!$A$3:$A$143,$B81,Journal!$E$3:$E$143,G$3)=0,"",SUMIFS(Journal!$D$3:$D$143,Journal!$A$3:$A$143,$B81,Journal!$E$3:$E$143,G$3))</f>
        <v/>
      </c>
      <c r="H81" s="86" t="str">
        <f>IF(SUMIFS(Journal!$D$3:$D$143,Journal!$A$3:$A$143,$B81,Journal!$F$3:$F$143,G$3)=0,"",SUMIFS(Journal!$D$3:$D$143,Journal!$A$3:$A$143,$B81,Journal!$F$3:$F$143,G$3))</f>
        <v/>
      </c>
      <c r="I81" s="86" t="str">
        <f>IF(SUMIFS(Journal!$D$3:$D$143,Journal!$A$3:$A$143,$B81,Journal!$E$3:$E$143,I$3)=0,"",SUMIFS(Journal!$D$3:$D$143,Journal!$A$3:$A$143,$B81,Journal!$E$3:$E$143,I$3))</f>
        <v/>
      </c>
      <c r="J81" s="86" t="str">
        <f>IF(SUMIFS(Journal!$D$3:$D$143,Journal!$A$3:$A$143,$B81,Journal!$F$3:$F$143,I$3)=0,"",SUMIFS(Journal!$D$3:$D$143,Journal!$A$3:$A$143,$B81,Journal!$F$3:$F$143,I$3))</f>
        <v/>
      </c>
      <c r="K81" s="86" t="str">
        <f>IF(SUMIFS(Journal!$D$3:$D$143,Journal!$A$3:$A$143,$B81,Journal!$E$3:$E$143,K$3)=0,"",SUMIFS(Journal!$D$3:$D$143,Journal!$A$3:$A$143,$B81,Journal!$E$3:$E$143,K$3))</f>
        <v/>
      </c>
      <c r="L81" s="86" t="str">
        <f>IF(SUMIFS(Journal!$D$3:$D$143,Journal!$A$3:$A$143,$B81,Journal!$F$3:$F$143,K$3)=0,"",SUMIFS(Journal!$D$3:$D$143,Journal!$A$3:$A$143,$B81,Journal!$F$3:$F$143,K$3))</f>
        <v/>
      </c>
      <c r="M81" s="86" t="str">
        <f>IF(SUMIFS(Journal!$D$3:$D$143,Journal!$A$3:$A$143,$B81,Journal!$E$3:$E$143,M$3)=0,"",SUMIFS(Journal!$D$3:$D$143,Journal!$A$3:$A$143,$B81,Journal!$E$3:$E$143,M$3))</f>
        <v/>
      </c>
      <c r="N81" s="86" t="str">
        <f>IF(SUMIFS(Journal!$D$3:$D$143,Journal!$A$3:$A$143,$B81,Journal!$F$3:$F$143,M$3)=0,"",SUMIFS(Journal!$D$3:$D$143,Journal!$A$3:$A$143,$B81,Journal!$F$3:$F$143,M$3))</f>
        <v/>
      </c>
      <c r="O81" s="86" t="str">
        <f>IF(SUMIFS(Journal!$D$3:$D$143,Journal!$A$3:$A$143,$B81,Journal!$E$3:$E$143,O$3)=0,"",SUMIFS(Journal!$D$3:$D$143,Journal!$A$3:$A$143,$B81,Journal!$E$3:$E$143,O$3))</f>
        <v/>
      </c>
      <c r="P81" s="86" t="str">
        <f>IF(SUMIFS(Journal!$D$3:$D$143,Journal!$A$3:$A$143,$B81,Journal!$F$3:$F$143,O$3)=0,"",SUMIFS(Journal!$D$3:$D$143,Journal!$A$3:$A$143,$B81,Journal!$F$3:$F$143,O$3))</f>
        <v/>
      </c>
      <c r="Q81" s="86" t="str">
        <f>IF(SUMIFS(Journal!$D$3:$D$143,Journal!$A$3:$A$143,$B81,Journal!$E$3:$E$143,Q$3)=0,"",SUMIFS(Journal!$D$3:$D$143,Journal!$A$3:$A$143,$B81,Journal!$E$3:$E$143,Q$3))</f>
        <v/>
      </c>
      <c r="R81" s="86" t="str">
        <f>IF(SUMIFS(Journal!$D$3:$D$143,Journal!$A$3:$A$143,$B81,Journal!$F$3:$F$143,Q$3)=0,"",SUMIFS(Journal!$D$3:$D$143,Journal!$A$3:$A$143,$B81,Journal!$F$3:$F$143,Q$3))</f>
        <v/>
      </c>
      <c r="S81" s="86" t="str">
        <f>IF(SUMIFS(Journal!$D$3:$D$143,Journal!$A$3:$A$143,$B81,Journal!$E$3:$E$143,S$3)=0,"",SUMIFS(Journal!$D$3:$D$143,Journal!$A$3:$A$143,$B81,Journal!$E$3:$E$143,S$3))</f>
        <v/>
      </c>
      <c r="T81" s="86" t="str">
        <f>IF(SUMIFS(Journal!$D$3:$D$143,Journal!$A$3:$A$143,$B81,Journal!$F$3:$F$143,S$3)=0,"",SUMIFS(Journal!$D$3:$D$143,Journal!$A$3:$A$143,$B81,Journal!$F$3:$F$143,S$3))</f>
        <v/>
      </c>
      <c r="U81" s="86" t="str">
        <f>IF(SUMIFS(Journal!$D$3:$D$143,Journal!$A$3:$A$143,$B81,Journal!$E$3:$E$143,U$3)=0,"",SUMIFS(Journal!$D$3:$D$143,Journal!$A$3:$A$143,$B81,Journal!$E$3:$E$143,U$3))</f>
        <v/>
      </c>
      <c r="V81" s="86" t="str">
        <f>IF(SUMIFS(Journal!$D$3:$D$143,Journal!$A$3:$A$143,$B81,Journal!$F$3:$F$143,U$3)=0,"",SUMIFS(Journal!$D$3:$D$143,Journal!$A$3:$A$143,$B81,Journal!$F$3:$F$143,U$3))</f>
        <v/>
      </c>
      <c r="W81" s="86" t="str">
        <f>IF(SUMIFS(Journal!$D$3:$D$143,Journal!$A$3:$A$143,$B81,Journal!$E$3:$E$143,W$3)=0,"",SUMIFS(Journal!$D$3:$D$143,Journal!$A$3:$A$143,$B81,Journal!$E$3:$E$143,W$3))</f>
        <v/>
      </c>
      <c r="X81" s="86" t="str">
        <f>IF(SUMIFS(Journal!$D$3:$D$143,Journal!$A$3:$A$143,$B81,Journal!$F$3:$F$143,W$3)=0,"",SUMIFS(Journal!$D$3:$D$143,Journal!$A$3:$A$143,$B81,Journal!$F$3:$F$143,W$3))</f>
        <v/>
      </c>
      <c r="Y81" s="86" t="str">
        <f>IF(SUMIFS(Journal!$D$3:$D$143,Journal!$A$3:$A$143,$B81,Journal!$E$3:$E$143,Y$3)=0,"",SUMIFS(Journal!$D$3:$D$143,Journal!$A$3:$A$143,$B81,Journal!$E$3:$E$143,Y$3))</f>
        <v/>
      </c>
      <c r="Z81" s="86" t="str">
        <f>IF(SUMIFS(Journal!$D$3:$D$143,Journal!$A$3:$A$143,$B81,Journal!$F$3:$F$143,Y$3)=0,"",SUMIFS(Journal!$D$3:$D$143,Journal!$A$3:$A$143,$B81,Journal!$F$3:$F$143,Y$3))</f>
        <v/>
      </c>
      <c r="AA81" s="86" t="str">
        <f>IF(SUMIFS(Journal!$D$3:$D$143,Journal!$A$3:$A$143,$B81,Journal!$E$3:$E$143,AA$3)=0,"",SUMIFS(Journal!$D$3:$D$143,Journal!$A$3:$A$143,$B81,Journal!$E$3:$E$143,AA$3))</f>
        <v/>
      </c>
      <c r="AB81" s="86" t="str">
        <f>IF(SUMIFS(Journal!$D$3:$D$143,Journal!$A$3:$A$143,$B81,Journal!$F$3:$F$143,AA$3)=0,"",SUMIFS(Journal!$D$3:$D$143,Journal!$A$3:$A$143,$B81,Journal!$F$3:$F$143,AA$3))</f>
        <v/>
      </c>
      <c r="AC81" s="86" t="str">
        <f>IF(SUMIFS(Journal!$D$3:$D$143,Journal!$A$3:$A$143,$B81,Journal!$E$3:$E$143,AC$3)=0,"",SUMIFS(Journal!$D$3:$D$143,Journal!$A$3:$A$143,$B81,Journal!$E$3:$E$143,AC$3))</f>
        <v/>
      </c>
      <c r="AD81" s="86">
        <f>IF(SUMIFS(Journal!$D$3:$D$143,Journal!$A$3:$A$143,$B81,Journal!$F$3:$F$143,AC$3)=0,"",SUMIFS(Journal!$D$3:$D$143,Journal!$A$3:$A$143,$B81,Journal!$F$3:$F$143,AC$3))</f>
        <v>9000</v>
      </c>
      <c r="AE81" s="86" t="str">
        <f>IF(SUMIFS(Journal!$D$3:$D$143,Journal!$A$3:$A$143,$B81,Journal!$E$3:$E$143,AE$3)=0,"",SUMIFS(Journal!$D$3:$D$143,Journal!$A$3:$A$143,$B81,Journal!$E$3:$E$143,AE$3))</f>
        <v/>
      </c>
      <c r="AF81" s="86" t="str">
        <f>IF(SUMIFS(Journal!$D$3:$D$143,Journal!$A$3:$A$143,$B81,Journal!$F$3:$F$143,AE$3)=0,"",SUMIFS(Journal!$D$3:$D$143,Journal!$A$3:$A$143,$B81,Journal!$F$3:$F$143,AE$3))</f>
        <v/>
      </c>
      <c r="AG81" s="86" t="str">
        <f>IF(SUMIFS(Journal!$D$3:$D$143,Journal!$A$3:$A$143,$B81,Journal!$E$3:$E$143,AG$3)=0,"",SUMIFS(Journal!$D$3:$D$143,Journal!$A$3:$A$143,$B81,Journal!$E$3:$E$143,AG$3))</f>
        <v/>
      </c>
      <c r="AH81" s="86" t="str">
        <f>IF(SUMIFS(Journal!$D$3:$D$143,Journal!$A$3:$A$143,$B81,Journal!$F$3:$F$143,AG$3)=0,"",SUMIFS(Journal!$D$3:$D$143,Journal!$A$3:$A$143,$B81,Journal!$F$3:$F$143,AG$3))</f>
        <v/>
      </c>
      <c r="AI81" s="86" t="str">
        <f>IF(SUMIFS(Journal!$D$3:$D$143,Journal!$A$3:$A$143,$B81,Journal!$E$3:$E$143,AI$3)=0,"",SUMIFS(Journal!$D$3:$D$143,Journal!$A$3:$A$143,$B81,Journal!$E$3:$E$143,AI$3))</f>
        <v/>
      </c>
      <c r="AJ81" s="86" t="str">
        <f>IF(SUMIFS(Journal!$D$3:$D$143,Journal!$A$3:$A$143,$B81,Journal!$F$3:$F$143,AI$3)=0,"",SUMIFS(Journal!$D$3:$D$143,Journal!$A$3:$A$143,$B81,Journal!$F$3:$F$143,AI$3))</f>
        <v/>
      </c>
      <c r="AK81" s="86" t="str">
        <f>IF(SUMIFS(Journal!$D$3:$D$143,Journal!$A$3:$A$143,$B81,Journal!$E$3:$E$143,AK$3)=0,"",SUMIFS(Journal!$D$3:$D$143,Journal!$A$3:$A$143,$B81,Journal!$E$3:$E$143,AK$3))</f>
        <v/>
      </c>
      <c r="AL81" s="86" t="str">
        <f>IF(SUMIFS(Journal!$D$3:$D$143,Journal!$A$3:$A$143,$B81,Journal!$F$3:$F$143,AK$3)=0,"",SUMIFS(Journal!$D$3:$D$143,Journal!$A$3:$A$143,$B81,Journal!$F$3:$F$143,AK$3))</f>
        <v/>
      </c>
      <c r="AM81" s="86" t="str">
        <f>IF(SUMIFS(Journal!$D$3:$D$143,Journal!$A$3:$A$143,$B81,Journal!$E$3:$E$143,AM$3)=0,"",SUMIFS(Journal!$D$3:$D$143,Journal!$A$3:$A$143,$B81,Journal!$E$3:$E$143,AM$3))</f>
        <v/>
      </c>
      <c r="AN81" s="86" t="str">
        <f>IF(SUMIFS(Journal!$D$3:$D$143,Journal!$A$3:$A$143,$B81,Journal!$F$3:$F$143,AM$3)=0,"",SUMIFS(Journal!$D$3:$D$143,Journal!$A$3:$A$143,$B81,Journal!$F$3:$F$143,AM$3))</f>
        <v/>
      </c>
      <c r="AO81" s="86" t="str">
        <f>IF(SUMIFS(Journal!$D$3:$D$143,Journal!$A$3:$A$143,$B81,Journal!$E$3:$E$143,AO$3)=0,"",SUMIFS(Journal!$D$3:$D$143,Journal!$A$3:$A$143,$B81,Journal!$E$3:$E$143,AO$3))</f>
        <v/>
      </c>
      <c r="AP81" s="86" t="str">
        <f>IF(SUMIFS(Journal!$D$3:$D$143,Journal!$A$3:$A$143,$B81,Journal!$F$3:$F$143,AO$3)=0,"",SUMIFS(Journal!$D$3:$D$143,Journal!$A$3:$A$143,$B81,Journal!$F$3:$F$143,AO$3))</f>
        <v/>
      </c>
      <c r="AQ81" s="86" t="str">
        <f>IF(SUMIFS(Journal!$D$3:$D$143,Journal!$A$3:$A$143,$B81,Journal!$E$3:$E$143,AQ$3)=0,"",SUMIFS(Journal!$D$3:$D$143,Journal!$A$3:$A$143,$B81,Journal!$E$3:$E$143,AQ$3))</f>
        <v/>
      </c>
      <c r="AR81" s="86" t="str">
        <f>IF(SUMIFS(Journal!$D$3:$D$143,Journal!$A$3:$A$143,$B81,Journal!$F$3:$F$143,AQ$3)=0,"",SUMIFS(Journal!$D$3:$D$143,Journal!$A$3:$A$143,$B81,Journal!$F$3:$F$143,AQ$3))</f>
        <v/>
      </c>
      <c r="AS81" s="86" t="str">
        <f>IF(SUMIFS(Journal!$D$3:$D$143,Journal!$A$3:$A$143,$B81,Journal!$E$3:$E$143,AS$3)=0,"",SUMIFS(Journal!$D$3:$D$143,Journal!$A$3:$A$143,$B81,Journal!$E$3:$E$143,AS$3))</f>
        <v/>
      </c>
      <c r="AT81" s="86" t="str">
        <f>IF(SUMIFS(Journal!$D$3:$D$143,Journal!$A$3:$A$143,$B81,Journal!$F$3:$F$143,AS$3)=0,"",SUMIFS(Journal!$D$3:$D$143,Journal!$A$3:$A$143,$B81,Journal!$F$3:$F$143,AS$3))</f>
        <v/>
      </c>
      <c r="AU81" s="86" t="str">
        <f>IF(SUMIFS(Journal!$D$3:$D$143,Journal!$A$3:$A$143,$B81,Journal!$E$3:$E$143,AU$3)=0,"",SUMIFS(Journal!$D$3:$D$143,Journal!$A$3:$A$143,$B81,Journal!$E$3:$E$143,AU$3))</f>
        <v/>
      </c>
      <c r="AV81" s="86" t="str">
        <f>IF(SUMIFS(Journal!$D$3:$D$143,Journal!$A$3:$A$143,$B81,Journal!$F$3:$F$143,AU$3)=0,"",SUMIFS(Journal!$D$3:$D$143,Journal!$A$3:$A$143,$B81,Journal!$F$3:$F$143,AU$3))</f>
        <v/>
      </c>
      <c r="AW81" s="86" t="str">
        <f>IF(SUMIFS(Journal!$D$3:$D$143,Journal!$A$3:$A$143,$B81,Journal!$E$3:$E$143,AW$3)=0,"",SUMIFS(Journal!$D$3:$D$143,Journal!$A$3:$A$143,$B81,Journal!$E$3:$E$143,AW$3))</f>
        <v/>
      </c>
      <c r="AX81" s="86" t="str">
        <f>IF(SUMIFS(Journal!$D$3:$D$143,Journal!$A$3:$A$143,$B81,Journal!$F$3:$F$143,AW$3)=0,"",SUMIFS(Journal!$D$3:$D$143,Journal!$A$3:$A$143,$B81,Journal!$F$3:$F$143,AW$3))</f>
        <v/>
      </c>
      <c r="AY81" s="86" t="str">
        <f>IF(SUMIFS(Journal!$D$3:$D$143,Journal!$A$3:$A$143,$B81,Journal!$E$3:$E$143,AY$3)=0,"",SUMIFS(Journal!$D$3:$D$143,Journal!$A$3:$A$143,$B81,Journal!$E$3:$E$143,AY$3))</f>
        <v/>
      </c>
      <c r="AZ81" s="86" t="str">
        <f>IF(SUMIFS(Journal!$D$3:$D$143,Journal!$A$3:$A$143,$B81,Journal!$F$3:$F$143,AY$3)=0,"",SUMIFS(Journal!$D$3:$D$143,Journal!$A$3:$A$143,$B81,Journal!$F$3:$F$143,AY$3))</f>
        <v/>
      </c>
      <c r="BA81" s="86" t="str">
        <f>IF(SUMIFS(Journal!$D$3:$D$143,Journal!$A$3:$A$143,$B81,Journal!$E$3:$E$143,BA$3)=0,"",SUMIFS(Journal!$D$3:$D$143,Journal!$A$3:$A$143,$B81,Journal!$E$3:$E$143,BA$3))</f>
        <v/>
      </c>
      <c r="BB81" s="86" t="str">
        <f>IF(SUMIFS(Journal!$D$3:$D$143,Journal!$A$3:$A$143,$B81,Journal!$F$3:$F$143,BA$3)=0,"",SUMIFS(Journal!$D$3:$D$143,Journal!$A$3:$A$143,$B81,Journal!$F$3:$F$143,BA$3))</f>
        <v/>
      </c>
    </row>
    <row r="82">
      <c r="A82" s="84">
        <f>VLOOKUP(B82,Journal!$A$3:$C$143,2,FALSE)</f>
        <v>45495</v>
      </c>
      <c r="B82" s="85" t="s">
        <v>503</v>
      </c>
      <c r="C82" s="86" t="str">
        <f>VLOOKUP(B82,Journal!$A$3:$C$143,3,FALSE)</f>
        <v>Purchased additional retail inventory</v>
      </c>
      <c r="D82" s="86">
        <f>SUMIF(Journal!$A$3:$A$143,B82,Journal!$D$3:$D$143)</f>
        <v>10000</v>
      </c>
      <c r="E82" s="86" t="str">
        <f>IF(SUMIFS(Journal!$D$3:$D$143,Journal!$A$3:$A$143,$B82,Journal!$E$3:$E$143,E$3)=0,"",SUMIFS(Journal!$D$3:$D$143,Journal!$A$3:$A$143,$B82,Journal!$E$3:$E$143,E$3))</f>
        <v/>
      </c>
      <c r="F82" s="86">
        <f>IF(SUMIFS(Journal!$D$3:$D$143,Journal!$A$3:$A$143,$B82,Journal!$F$3:$F$143,E$3)=0,"",SUMIFS(Journal!$D$3:$D$143,Journal!$A$3:$A$143,$B82,Journal!$F$3:$F$143,E$3))</f>
        <v>10000</v>
      </c>
      <c r="G82" s="86" t="str">
        <f>IF(SUMIFS(Journal!$D$3:$D$143,Journal!$A$3:$A$143,$B82,Journal!$E$3:$E$143,G$3)=0,"",SUMIFS(Journal!$D$3:$D$143,Journal!$A$3:$A$143,$B82,Journal!$E$3:$E$143,G$3))</f>
        <v/>
      </c>
      <c r="H82" s="86" t="str">
        <f>IF(SUMIFS(Journal!$D$3:$D$143,Journal!$A$3:$A$143,$B82,Journal!$F$3:$F$143,G$3)=0,"",SUMIFS(Journal!$D$3:$D$143,Journal!$A$3:$A$143,$B82,Journal!$F$3:$F$143,G$3))</f>
        <v/>
      </c>
      <c r="I82" s="86">
        <f>IF(SUMIFS(Journal!$D$3:$D$143,Journal!$A$3:$A$143,$B82,Journal!$E$3:$E$143,I$3)=0,"",SUMIFS(Journal!$D$3:$D$143,Journal!$A$3:$A$143,$B82,Journal!$E$3:$E$143,I$3))</f>
        <v>10000</v>
      </c>
      <c r="J82" s="86" t="str">
        <f>IF(SUMIFS(Journal!$D$3:$D$143,Journal!$A$3:$A$143,$B82,Journal!$F$3:$F$143,I$3)=0,"",SUMIFS(Journal!$D$3:$D$143,Journal!$A$3:$A$143,$B82,Journal!$F$3:$F$143,I$3))</f>
        <v/>
      </c>
      <c r="K82" s="86" t="str">
        <f>IF(SUMIFS(Journal!$D$3:$D$143,Journal!$A$3:$A$143,$B82,Journal!$E$3:$E$143,K$3)=0,"",SUMIFS(Journal!$D$3:$D$143,Journal!$A$3:$A$143,$B82,Journal!$E$3:$E$143,K$3))</f>
        <v/>
      </c>
      <c r="L82" s="86" t="str">
        <f>IF(SUMIFS(Journal!$D$3:$D$143,Journal!$A$3:$A$143,$B82,Journal!$F$3:$F$143,K$3)=0,"",SUMIFS(Journal!$D$3:$D$143,Journal!$A$3:$A$143,$B82,Journal!$F$3:$F$143,K$3))</f>
        <v/>
      </c>
      <c r="M82" s="86" t="str">
        <f>IF(SUMIFS(Journal!$D$3:$D$143,Journal!$A$3:$A$143,$B82,Journal!$E$3:$E$143,M$3)=0,"",SUMIFS(Journal!$D$3:$D$143,Journal!$A$3:$A$143,$B82,Journal!$E$3:$E$143,M$3))</f>
        <v/>
      </c>
      <c r="N82" s="86" t="str">
        <f>IF(SUMIFS(Journal!$D$3:$D$143,Journal!$A$3:$A$143,$B82,Journal!$F$3:$F$143,M$3)=0,"",SUMIFS(Journal!$D$3:$D$143,Journal!$A$3:$A$143,$B82,Journal!$F$3:$F$143,M$3))</f>
        <v/>
      </c>
      <c r="O82" s="86" t="str">
        <f>IF(SUMIFS(Journal!$D$3:$D$143,Journal!$A$3:$A$143,$B82,Journal!$E$3:$E$143,O$3)=0,"",SUMIFS(Journal!$D$3:$D$143,Journal!$A$3:$A$143,$B82,Journal!$E$3:$E$143,O$3))</f>
        <v/>
      </c>
      <c r="P82" s="86" t="str">
        <f>IF(SUMIFS(Journal!$D$3:$D$143,Journal!$A$3:$A$143,$B82,Journal!$F$3:$F$143,O$3)=0,"",SUMIFS(Journal!$D$3:$D$143,Journal!$A$3:$A$143,$B82,Journal!$F$3:$F$143,O$3))</f>
        <v/>
      </c>
      <c r="Q82" s="86" t="str">
        <f>IF(SUMIFS(Journal!$D$3:$D$143,Journal!$A$3:$A$143,$B82,Journal!$E$3:$E$143,Q$3)=0,"",SUMIFS(Journal!$D$3:$D$143,Journal!$A$3:$A$143,$B82,Journal!$E$3:$E$143,Q$3))</f>
        <v/>
      </c>
      <c r="R82" s="86" t="str">
        <f>IF(SUMIFS(Journal!$D$3:$D$143,Journal!$A$3:$A$143,$B82,Journal!$F$3:$F$143,Q$3)=0,"",SUMIFS(Journal!$D$3:$D$143,Journal!$A$3:$A$143,$B82,Journal!$F$3:$F$143,Q$3))</f>
        <v/>
      </c>
      <c r="S82" s="86" t="str">
        <f>IF(SUMIFS(Journal!$D$3:$D$143,Journal!$A$3:$A$143,$B82,Journal!$E$3:$E$143,S$3)=0,"",SUMIFS(Journal!$D$3:$D$143,Journal!$A$3:$A$143,$B82,Journal!$E$3:$E$143,S$3))</f>
        <v/>
      </c>
      <c r="T82" s="86" t="str">
        <f>IF(SUMIFS(Journal!$D$3:$D$143,Journal!$A$3:$A$143,$B82,Journal!$F$3:$F$143,S$3)=0,"",SUMIFS(Journal!$D$3:$D$143,Journal!$A$3:$A$143,$B82,Journal!$F$3:$F$143,S$3))</f>
        <v/>
      </c>
      <c r="U82" s="86" t="str">
        <f>IF(SUMIFS(Journal!$D$3:$D$143,Journal!$A$3:$A$143,$B82,Journal!$E$3:$E$143,U$3)=0,"",SUMIFS(Journal!$D$3:$D$143,Journal!$A$3:$A$143,$B82,Journal!$E$3:$E$143,U$3))</f>
        <v/>
      </c>
      <c r="V82" s="86" t="str">
        <f>IF(SUMIFS(Journal!$D$3:$D$143,Journal!$A$3:$A$143,$B82,Journal!$F$3:$F$143,U$3)=0,"",SUMIFS(Journal!$D$3:$D$143,Journal!$A$3:$A$143,$B82,Journal!$F$3:$F$143,U$3))</f>
        <v/>
      </c>
      <c r="W82" s="86" t="str">
        <f>IF(SUMIFS(Journal!$D$3:$D$143,Journal!$A$3:$A$143,$B82,Journal!$E$3:$E$143,W$3)=0,"",SUMIFS(Journal!$D$3:$D$143,Journal!$A$3:$A$143,$B82,Journal!$E$3:$E$143,W$3))</f>
        <v/>
      </c>
      <c r="X82" s="86" t="str">
        <f>IF(SUMIFS(Journal!$D$3:$D$143,Journal!$A$3:$A$143,$B82,Journal!$F$3:$F$143,W$3)=0,"",SUMIFS(Journal!$D$3:$D$143,Journal!$A$3:$A$143,$B82,Journal!$F$3:$F$143,W$3))</f>
        <v/>
      </c>
      <c r="Y82" s="86" t="str">
        <f>IF(SUMIFS(Journal!$D$3:$D$143,Journal!$A$3:$A$143,$B82,Journal!$E$3:$E$143,Y$3)=0,"",SUMIFS(Journal!$D$3:$D$143,Journal!$A$3:$A$143,$B82,Journal!$E$3:$E$143,Y$3))</f>
        <v/>
      </c>
      <c r="Z82" s="86" t="str">
        <f>IF(SUMIFS(Journal!$D$3:$D$143,Journal!$A$3:$A$143,$B82,Journal!$F$3:$F$143,Y$3)=0,"",SUMIFS(Journal!$D$3:$D$143,Journal!$A$3:$A$143,$B82,Journal!$F$3:$F$143,Y$3))</f>
        <v/>
      </c>
      <c r="AA82" s="86" t="str">
        <f>IF(SUMIFS(Journal!$D$3:$D$143,Journal!$A$3:$A$143,$B82,Journal!$E$3:$E$143,AA$3)=0,"",SUMIFS(Journal!$D$3:$D$143,Journal!$A$3:$A$143,$B82,Journal!$E$3:$E$143,AA$3))</f>
        <v/>
      </c>
      <c r="AB82" s="86" t="str">
        <f>IF(SUMIFS(Journal!$D$3:$D$143,Journal!$A$3:$A$143,$B82,Journal!$F$3:$F$143,AA$3)=0,"",SUMIFS(Journal!$D$3:$D$143,Journal!$A$3:$A$143,$B82,Journal!$F$3:$F$143,AA$3))</f>
        <v/>
      </c>
      <c r="AC82" s="86" t="str">
        <f>IF(SUMIFS(Journal!$D$3:$D$143,Journal!$A$3:$A$143,$B82,Journal!$E$3:$E$143,AC$3)=0,"",SUMIFS(Journal!$D$3:$D$143,Journal!$A$3:$A$143,$B82,Journal!$E$3:$E$143,AC$3))</f>
        <v/>
      </c>
      <c r="AD82" s="86" t="str">
        <f>IF(SUMIFS(Journal!$D$3:$D$143,Journal!$A$3:$A$143,$B82,Journal!$F$3:$F$143,AC$3)=0,"",SUMIFS(Journal!$D$3:$D$143,Journal!$A$3:$A$143,$B82,Journal!$F$3:$F$143,AC$3))</f>
        <v/>
      </c>
      <c r="AE82" s="86" t="str">
        <f>IF(SUMIFS(Journal!$D$3:$D$143,Journal!$A$3:$A$143,$B82,Journal!$E$3:$E$143,AE$3)=0,"",SUMIFS(Journal!$D$3:$D$143,Journal!$A$3:$A$143,$B82,Journal!$E$3:$E$143,AE$3))</f>
        <v/>
      </c>
      <c r="AF82" s="86" t="str">
        <f>IF(SUMIFS(Journal!$D$3:$D$143,Journal!$A$3:$A$143,$B82,Journal!$F$3:$F$143,AE$3)=0,"",SUMIFS(Journal!$D$3:$D$143,Journal!$A$3:$A$143,$B82,Journal!$F$3:$F$143,AE$3))</f>
        <v/>
      </c>
      <c r="AG82" s="86" t="str">
        <f>IF(SUMIFS(Journal!$D$3:$D$143,Journal!$A$3:$A$143,$B82,Journal!$E$3:$E$143,AG$3)=0,"",SUMIFS(Journal!$D$3:$D$143,Journal!$A$3:$A$143,$B82,Journal!$E$3:$E$143,AG$3))</f>
        <v/>
      </c>
      <c r="AH82" s="86" t="str">
        <f>IF(SUMIFS(Journal!$D$3:$D$143,Journal!$A$3:$A$143,$B82,Journal!$F$3:$F$143,AG$3)=0,"",SUMIFS(Journal!$D$3:$D$143,Journal!$A$3:$A$143,$B82,Journal!$F$3:$F$143,AG$3))</f>
        <v/>
      </c>
      <c r="AI82" s="86" t="str">
        <f>IF(SUMIFS(Journal!$D$3:$D$143,Journal!$A$3:$A$143,$B82,Journal!$E$3:$E$143,AI$3)=0,"",SUMIFS(Journal!$D$3:$D$143,Journal!$A$3:$A$143,$B82,Journal!$E$3:$E$143,AI$3))</f>
        <v/>
      </c>
      <c r="AJ82" s="86" t="str">
        <f>IF(SUMIFS(Journal!$D$3:$D$143,Journal!$A$3:$A$143,$B82,Journal!$F$3:$F$143,AI$3)=0,"",SUMIFS(Journal!$D$3:$D$143,Journal!$A$3:$A$143,$B82,Journal!$F$3:$F$143,AI$3))</f>
        <v/>
      </c>
      <c r="AK82" s="86" t="str">
        <f>IF(SUMIFS(Journal!$D$3:$D$143,Journal!$A$3:$A$143,$B82,Journal!$E$3:$E$143,AK$3)=0,"",SUMIFS(Journal!$D$3:$D$143,Journal!$A$3:$A$143,$B82,Journal!$E$3:$E$143,AK$3))</f>
        <v/>
      </c>
      <c r="AL82" s="86" t="str">
        <f>IF(SUMIFS(Journal!$D$3:$D$143,Journal!$A$3:$A$143,$B82,Journal!$F$3:$F$143,AK$3)=0,"",SUMIFS(Journal!$D$3:$D$143,Journal!$A$3:$A$143,$B82,Journal!$F$3:$F$143,AK$3))</f>
        <v/>
      </c>
      <c r="AM82" s="86" t="str">
        <f>IF(SUMIFS(Journal!$D$3:$D$143,Journal!$A$3:$A$143,$B82,Journal!$E$3:$E$143,AM$3)=0,"",SUMIFS(Journal!$D$3:$D$143,Journal!$A$3:$A$143,$B82,Journal!$E$3:$E$143,AM$3))</f>
        <v/>
      </c>
      <c r="AN82" s="86" t="str">
        <f>IF(SUMIFS(Journal!$D$3:$D$143,Journal!$A$3:$A$143,$B82,Journal!$F$3:$F$143,AM$3)=0,"",SUMIFS(Journal!$D$3:$D$143,Journal!$A$3:$A$143,$B82,Journal!$F$3:$F$143,AM$3))</f>
        <v/>
      </c>
      <c r="AO82" s="86" t="str">
        <f>IF(SUMIFS(Journal!$D$3:$D$143,Journal!$A$3:$A$143,$B82,Journal!$E$3:$E$143,AO$3)=0,"",SUMIFS(Journal!$D$3:$D$143,Journal!$A$3:$A$143,$B82,Journal!$E$3:$E$143,AO$3))</f>
        <v/>
      </c>
      <c r="AP82" s="86" t="str">
        <f>IF(SUMIFS(Journal!$D$3:$D$143,Journal!$A$3:$A$143,$B82,Journal!$F$3:$F$143,AO$3)=0,"",SUMIFS(Journal!$D$3:$D$143,Journal!$A$3:$A$143,$B82,Journal!$F$3:$F$143,AO$3))</f>
        <v/>
      </c>
      <c r="AQ82" s="86" t="str">
        <f>IF(SUMIFS(Journal!$D$3:$D$143,Journal!$A$3:$A$143,$B82,Journal!$E$3:$E$143,AQ$3)=0,"",SUMIFS(Journal!$D$3:$D$143,Journal!$A$3:$A$143,$B82,Journal!$E$3:$E$143,AQ$3))</f>
        <v/>
      </c>
      <c r="AR82" s="86" t="str">
        <f>IF(SUMIFS(Journal!$D$3:$D$143,Journal!$A$3:$A$143,$B82,Journal!$F$3:$F$143,AQ$3)=0,"",SUMIFS(Journal!$D$3:$D$143,Journal!$A$3:$A$143,$B82,Journal!$F$3:$F$143,AQ$3))</f>
        <v/>
      </c>
      <c r="AS82" s="86" t="str">
        <f>IF(SUMIFS(Journal!$D$3:$D$143,Journal!$A$3:$A$143,$B82,Journal!$E$3:$E$143,AS$3)=0,"",SUMIFS(Journal!$D$3:$D$143,Journal!$A$3:$A$143,$B82,Journal!$E$3:$E$143,AS$3))</f>
        <v/>
      </c>
      <c r="AT82" s="86" t="str">
        <f>IF(SUMIFS(Journal!$D$3:$D$143,Journal!$A$3:$A$143,$B82,Journal!$F$3:$F$143,AS$3)=0,"",SUMIFS(Journal!$D$3:$D$143,Journal!$A$3:$A$143,$B82,Journal!$F$3:$F$143,AS$3))</f>
        <v/>
      </c>
      <c r="AU82" s="86" t="str">
        <f>IF(SUMIFS(Journal!$D$3:$D$143,Journal!$A$3:$A$143,$B82,Journal!$E$3:$E$143,AU$3)=0,"",SUMIFS(Journal!$D$3:$D$143,Journal!$A$3:$A$143,$B82,Journal!$E$3:$E$143,AU$3))</f>
        <v/>
      </c>
      <c r="AV82" s="86" t="str">
        <f>IF(SUMIFS(Journal!$D$3:$D$143,Journal!$A$3:$A$143,$B82,Journal!$F$3:$F$143,AU$3)=0,"",SUMIFS(Journal!$D$3:$D$143,Journal!$A$3:$A$143,$B82,Journal!$F$3:$F$143,AU$3))</f>
        <v/>
      </c>
      <c r="AW82" s="86" t="str">
        <f>IF(SUMIFS(Journal!$D$3:$D$143,Journal!$A$3:$A$143,$B82,Journal!$E$3:$E$143,AW$3)=0,"",SUMIFS(Journal!$D$3:$D$143,Journal!$A$3:$A$143,$B82,Journal!$E$3:$E$143,AW$3))</f>
        <v/>
      </c>
      <c r="AX82" s="86" t="str">
        <f>IF(SUMIFS(Journal!$D$3:$D$143,Journal!$A$3:$A$143,$B82,Journal!$F$3:$F$143,AW$3)=0,"",SUMIFS(Journal!$D$3:$D$143,Journal!$A$3:$A$143,$B82,Journal!$F$3:$F$143,AW$3))</f>
        <v/>
      </c>
      <c r="AY82" s="86" t="str">
        <f>IF(SUMIFS(Journal!$D$3:$D$143,Journal!$A$3:$A$143,$B82,Journal!$E$3:$E$143,AY$3)=0,"",SUMIFS(Journal!$D$3:$D$143,Journal!$A$3:$A$143,$B82,Journal!$E$3:$E$143,AY$3))</f>
        <v/>
      </c>
      <c r="AZ82" s="86" t="str">
        <f>IF(SUMIFS(Journal!$D$3:$D$143,Journal!$A$3:$A$143,$B82,Journal!$F$3:$F$143,AY$3)=0,"",SUMIFS(Journal!$D$3:$D$143,Journal!$A$3:$A$143,$B82,Journal!$F$3:$F$143,AY$3))</f>
        <v/>
      </c>
      <c r="BA82" s="86" t="str">
        <f>IF(SUMIFS(Journal!$D$3:$D$143,Journal!$A$3:$A$143,$B82,Journal!$E$3:$E$143,BA$3)=0,"",SUMIFS(Journal!$D$3:$D$143,Journal!$A$3:$A$143,$B82,Journal!$E$3:$E$143,BA$3))</f>
        <v/>
      </c>
      <c r="BB82" s="86" t="str">
        <f>IF(SUMIFS(Journal!$D$3:$D$143,Journal!$A$3:$A$143,$B82,Journal!$F$3:$F$143,BA$3)=0,"",SUMIFS(Journal!$D$3:$D$143,Journal!$A$3:$A$143,$B82,Journal!$F$3:$F$143,BA$3))</f>
        <v/>
      </c>
    </row>
    <row r="83">
      <c r="A83" s="84">
        <f>VLOOKUP(B83,Journal!$A$3:$C$143,2,FALSE)</f>
        <v>45497</v>
      </c>
      <c r="B83" s="85" t="s">
        <v>505</v>
      </c>
      <c r="C83" s="86" t="str">
        <f>VLOOKUP(B83,Journal!$A$3:$C$143,3,FALSE)</f>
        <v>Employee payroll settlement</v>
      </c>
      <c r="D83" s="86">
        <f>SUMIF(Journal!$A$3:$A$143,B83,Journal!$D$3:$D$143)</f>
        <v>13280</v>
      </c>
      <c r="E83" s="86" t="str">
        <f>IF(SUMIFS(Journal!$D$3:$D$143,Journal!$A$3:$A$143,$B83,Journal!$E$3:$E$143,E$3)=0,"",SUMIFS(Journal!$D$3:$D$143,Journal!$A$3:$A$143,$B83,Journal!$E$3:$E$143,E$3))</f>
        <v/>
      </c>
      <c r="F83" s="86">
        <f>IF(SUMIFS(Journal!$D$3:$D$143,Journal!$A$3:$A$143,$B83,Journal!$F$3:$F$143,E$3)=0,"",SUMIFS(Journal!$D$3:$D$143,Journal!$A$3:$A$143,$B83,Journal!$F$3:$F$143,E$3))</f>
        <v>13280</v>
      </c>
      <c r="G83" s="86" t="str">
        <f>IF(SUMIFS(Journal!$D$3:$D$143,Journal!$A$3:$A$143,$B83,Journal!$E$3:$E$143,G$3)=0,"",SUMIFS(Journal!$D$3:$D$143,Journal!$A$3:$A$143,$B83,Journal!$E$3:$E$143,G$3))</f>
        <v/>
      </c>
      <c r="H83" s="86" t="str">
        <f>IF(SUMIFS(Journal!$D$3:$D$143,Journal!$A$3:$A$143,$B83,Journal!$F$3:$F$143,G$3)=0,"",SUMIFS(Journal!$D$3:$D$143,Journal!$A$3:$A$143,$B83,Journal!$F$3:$F$143,G$3))</f>
        <v/>
      </c>
      <c r="I83" s="86" t="str">
        <f>IF(SUMIFS(Journal!$D$3:$D$143,Journal!$A$3:$A$143,$B83,Journal!$E$3:$E$143,I$3)=0,"",SUMIFS(Journal!$D$3:$D$143,Journal!$A$3:$A$143,$B83,Journal!$E$3:$E$143,I$3))</f>
        <v/>
      </c>
      <c r="J83" s="86" t="str">
        <f>IF(SUMIFS(Journal!$D$3:$D$143,Journal!$A$3:$A$143,$B83,Journal!$F$3:$F$143,I$3)=0,"",SUMIFS(Journal!$D$3:$D$143,Journal!$A$3:$A$143,$B83,Journal!$F$3:$F$143,I$3))</f>
        <v/>
      </c>
      <c r="K83" s="86" t="str">
        <f>IF(SUMIFS(Journal!$D$3:$D$143,Journal!$A$3:$A$143,$B83,Journal!$E$3:$E$143,K$3)=0,"",SUMIFS(Journal!$D$3:$D$143,Journal!$A$3:$A$143,$B83,Journal!$E$3:$E$143,K$3))</f>
        <v/>
      </c>
      <c r="L83" s="86" t="str">
        <f>IF(SUMIFS(Journal!$D$3:$D$143,Journal!$A$3:$A$143,$B83,Journal!$F$3:$F$143,K$3)=0,"",SUMIFS(Journal!$D$3:$D$143,Journal!$A$3:$A$143,$B83,Journal!$F$3:$F$143,K$3))</f>
        <v/>
      </c>
      <c r="M83" s="86" t="str">
        <f>IF(SUMIFS(Journal!$D$3:$D$143,Journal!$A$3:$A$143,$B83,Journal!$E$3:$E$143,M$3)=0,"",SUMIFS(Journal!$D$3:$D$143,Journal!$A$3:$A$143,$B83,Journal!$E$3:$E$143,M$3))</f>
        <v/>
      </c>
      <c r="N83" s="86" t="str">
        <f>IF(SUMIFS(Journal!$D$3:$D$143,Journal!$A$3:$A$143,$B83,Journal!$F$3:$F$143,M$3)=0,"",SUMIFS(Journal!$D$3:$D$143,Journal!$A$3:$A$143,$B83,Journal!$F$3:$F$143,M$3))</f>
        <v/>
      </c>
      <c r="O83" s="86" t="str">
        <f>IF(SUMIFS(Journal!$D$3:$D$143,Journal!$A$3:$A$143,$B83,Journal!$E$3:$E$143,O$3)=0,"",SUMIFS(Journal!$D$3:$D$143,Journal!$A$3:$A$143,$B83,Journal!$E$3:$E$143,O$3))</f>
        <v/>
      </c>
      <c r="P83" s="86" t="str">
        <f>IF(SUMIFS(Journal!$D$3:$D$143,Journal!$A$3:$A$143,$B83,Journal!$F$3:$F$143,O$3)=0,"",SUMIFS(Journal!$D$3:$D$143,Journal!$A$3:$A$143,$B83,Journal!$F$3:$F$143,O$3))</f>
        <v/>
      </c>
      <c r="Q83" s="86" t="str">
        <f>IF(SUMIFS(Journal!$D$3:$D$143,Journal!$A$3:$A$143,$B83,Journal!$E$3:$E$143,Q$3)=0,"",SUMIFS(Journal!$D$3:$D$143,Journal!$A$3:$A$143,$B83,Journal!$E$3:$E$143,Q$3))</f>
        <v/>
      </c>
      <c r="R83" s="86" t="str">
        <f>IF(SUMIFS(Journal!$D$3:$D$143,Journal!$A$3:$A$143,$B83,Journal!$F$3:$F$143,Q$3)=0,"",SUMIFS(Journal!$D$3:$D$143,Journal!$A$3:$A$143,$B83,Journal!$F$3:$F$143,Q$3))</f>
        <v/>
      </c>
      <c r="S83" s="86" t="str">
        <f>IF(SUMIFS(Journal!$D$3:$D$143,Journal!$A$3:$A$143,$B83,Journal!$E$3:$E$143,S$3)=0,"",SUMIFS(Journal!$D$3:$D$143,Journal!$A$3:$A$143,$B83,Journal!$E$3:$E$143,S$3))</f>
        <v/>
      </c>
      <c r="T83" s="86" t="str">
        <f>IF(SUMIFS(Journal!$D$3:$D$143,Journal!$A$3:$A$143,$B83,Journal!$F$3:$F$143,S$3)=0,"",SUMIFS(Journal!$D$3:$D$143,Journal!$A$3:$A$143,$B83,Journal!$F$3:$F$143,S$3))</f>
        <v/>
      </c>
      <c r="U83" s="86" t="str">
        <f>IF(SUMIFS(Journal!$D$3:$D$143,Journal!$A$3:$A$143,$B83,Journal!$E$3:$E$143,U$3)=0,"",SUMIFS(Journal!$D$3:$D$143,Journal!$A$3:$A$143,$B83,Journal!$E$3:$E$143,U$3))</f>
        <v/>
      </c>
      <c r="V83" s="86" t="str">
        <f>IF(SUMIFS(Journal!$D$3:$D$143,Journal!$A$3:$A$143,$B83,Journal!$F$3:$F$143,U$3)=0,"",SUMIFS(Journal!$D$3:$D$143,Journal!$A$3:$A$143,$B83,Journal!$F$3:$F$143,U$3))</f>
        <v/>
      </c>
      <c r="W83" s="86" t="str">
        <f>IF(SUMIFS(Journal!$D$3:$D$143,Journal!$A$3:$A$143,$B83,Journal!$E$3:$E$143,W$3)=0,"",SUMIFS(Journal!$D$3:$D$143,Journal!$A$3:$A$143,$B83,Journal!$E$3:$E$143,W$3))</f>
        <v/>
      </c>
      <c r="X83" s="86" t="str">
        <f>IF(SUMIFS(Journal!$D$3:$D$143,Journal!$A$3:$A$143,$B83,Journal!$F$3:$F$143,W$3)=0,"",SUMIFS(Journal!$D$3:$D$143,Journal!$A$3:$A$143,$B83,Journal!$F$3:$F$143,W$3))</f>
        <v/>
      </c>
      <c r="Y83" s="86" t="str">
        <f>IF(SUMIFS(Journal!$D$3:$D$143,Journal!$A$3:$A$143,$B83,Journal!$E$3:$E$143,Y$3)=0,"",SUMIFS(Journal!$D$3:$D$143,Journal!$A$3:$A$143,$B83,Journal!$E$3:$E$143,Y$3))</f>
        <v/>
      </c>
      <c r="Z83" s="86" t="str">
        <f>IF(SUMIFS(Journal!$D$3:$D$143,Journal!$A$3:$A$143,$B83,Journal!$F$3:$F$143,Y$3)=0,"",SUMIFS(Journal!$D$3:$D$143,Journal!$A$3:$A$143,$B83,Journal!$F$3:$F$143,Y$3))</f>
        <v/>
      </c>
      <c r="AA83" s="86" t="str">
        <f>IF(SUMIFS(Journal!$D$3:$D$143,Journal!$A$3:$A$143,$B83,Journal!$E$3:$E$143,AA$3)=0,"",SUMIFS(Journal!$D$3:$D$143,Journal!$A$3:$A$143,$B83,Journal!$E$3:$E$143,AA$3))</f>
        <v/>
      </c>
      <c r="AB83" s="86" t="str">
        <f>IF(SUMIFS(Journal!$D$3:$D$143,Journal!$A$3:$A$143,$B83,Journal!$F$3:$F$143,AA$3)=0,"",SUMIFS(Journal!$D$3:$D$143,Journal!$A$3:$A$143,$B83,Journal!$F$3:$F$143,AA$3))</f>
        <v/>
      </c>
      <c r="AC83" s="86" t="str">
        <f>IF(SUMIFS(Journal!$D$3:$D$143,Journal!$A$3:$A$143,$B83,Journal!$E$3:$E$143,AC$3)=0,"",SUMIFS(Journal!$D$3:$D$143,Journal!$A$3:$A$143,$B83,Journal!$E$3:$E$143,AC$3))</f>
        <v/>
      </c>
      <c r="AD83" s="86" t="str">
        <f>IF(SUMIFS(Journal!$D$3:$D$143,Journal!$A$3:$A$143,$B83,Journal!$F$3:$F$143,AC$3)=0,"",SUMIFS(Journal!$D$3:$D$143,Journal!$A$3:$A$143,$B83,Journal!$F$3:$F$143,AC$3))</f>
        <v/>
      </c>
      <c r="AE83" s="86" t="str">
        <f>IF(SUMIFS(Journal!$D$3:$D$143,Journal!$A$3:$A$143,$B83,Journal!$E$3:$E$143,AE$3)=0,"",SUMIFS(Journal!$D$3:$D$143,Journal!$A$3:$A$143,$B83,Journal!$E$3:$E$143,AE$3))</f>
        <v/>
      </c>
      <c r="AF83" s="86" t="str">
        <f>IF(SUMIFS(Journal!$D$3:$D$143,Journal!$A$3:$A$143,$B83,Journal!$F$3:$F$143,AE$3)=0,"",SUMIFS(Journal!$D$3:$D$143,Journal!$A$3:$A$143,$B83,Journal!$F$3:$F$143,AE$3))</f>
        <v/>
      </c>
      <c r="AG83" s="86">
        <f>IF(SUMIFS(Journal!$D$3:$D$143,Journal!$A$3:$A$143,$B83,Journal!$E$3:$E$143,AG$3)=0,"",SUMIFS(Journal!$D$3:$D$143,Journal!$A$3:$A$143,$B83,Journal!$E$3:$E$143,AG$3))</f>
        <v>13280</v>
      </c>
      <c r="AH83" s="86" t="str">
        <f>IF(SUMIFS(Journal!$D$3:$D$143,Journal!$A$3:$A$143,$B83,Journal!$F$3:$F$143,AG$3)=0,"",SUMIFS(Journal!$D$3:$D$143,Journal!$A$3:$A$143,$B83,Journal!$F$3:$F$143,AG$3))</f>
        <v/>
      </c>
      <c r="AI83" s="86" t="str">
        <f>IF(SUMIFS(Journal!$D$3:$D$143,Journal!$A$3:$A$143,$B83,Journal!$E$3:$E$143,AI$3)=0,"",SUMIFS(Journal!$D$3:$D$143,Journal!$A$3:$A$143,$B83,Journal!$E$3:$E$143,AI$3))</f>
        <v/>
      </c>
      <c r="AJ83" s="86" t="str">
        <f>IF(SUMIFS(Journal!$D$3:$D$143,Journal!$A$3:$A$143,$B83,Journal!$F$3:$F$143,AI$3)=0,"",SUMIFS(Journal!$D$3:$D$143,Journal!$A$3:$A$143,$B83,Journal!$F$3:$F$143,AI$3))</f>
        <v/>
      </c>
      <c r="AK83" s="86" t="str">
        <f>IF(SUMIFS(Journal!$D$3:$D$143,Journal!$A$3:$A$143,$B83,Journal!$E$3:$E$143,AK$3)=0,"",SUMIFS(Journal!$D$3:$D$143,Journal!$A$3:$A$143,$B83,Journal!$E$3:$E$143,AK$3))</f>
        <v/>
      </c>
      <c r="AL83" s="86" t="str">
        <f>IF(SUMIFS(Journal!$D$3:$D$143,Journal!$A$3:$A$143,$B83,Journal!$F$3:$F$143,AK$3)=0,"",SUMIFS(Journal!$D$3:$D$143,Journal!$A$3:$A$143,$B83,Journal!$F$3:$F$143,AK$3))</f>
        <v/>
      </c>
      <c r="AM83" s="86" t="str">
        <f>IF(SUMIFS(Journal!$D$3:$D$143,Journal!$A$3:$A$143,$B83,Journal!$E$3:$E$143,AM$3)=0,"",SUMIFS(Journal!$D$3:$D$143,Journal!$A$3:$A$143,$B83,Journal!$E$3:$E$143,AM$3))</f>
        <v/>
      </c>
      <c r="AN83" s="86" t="str">
        <f>IF(SUMIFS(Journal!$D$3:$D$143,Journal!$A$3:$A$143,$B83,Journal!$F$3:$F$143,AM$3)=0,"",SUMIFS(Journal!$D$3:$D$143,Journal!$A$3:$A$143,$B83,Journal!$F$3:$F$143,AM$3))</f>
        <v/>
      </c>
      <c r="AO83" s="86" t="str">
        <f>IF(SUMIFS(Journal!$D$3:$D$143,Journal!$A$3:$A$143,$B83,Journal!$E$3:$E$143,AO$3)=0,"",SUMIFS(Journal!$D$3:$D$143,Journal!$A$3:$A$143,$B83,Journal!$E$3:$E$143,AO$3))</f>
        <v/>
      </c>
      <c r="AP83" s="86" t="str">
        <f>IF(SUMIFS(Journal!$D$3:$D$143,Journal!$A$3:$A$143,$B83,Journal!$F$3:$F$143,AO$3)=0,"",SUMIFS(Journal!$D$3:$D$143,Journal!$A$3:$A$143,$B83,Journal!$F$3:$F$143,AO$3))</f>
        <v/>
      </c>
      <c r="AQ83" s="86" t="str">
        <f>IF(SUMIFS(Journal!$D$3:$D$143,Journal!$A$3:$A$143,$B83,Journal!$E$3:$E$143,AQ$3)=0,"",SUMIFS(Journal!$D$3:$D$143,Journal!$A$3:$A$143,$B83,Journal!$E$3:$E$143,AQ$3))</f>
        <v/>
      </c>
      <c r="AR83" s="86" t="str">
        <f>IF(SUMIFS(Journal!$D$3:$D$143,Journal!$A$3:$A$143,$B83,Journal!$F$3:$F$143,AQ$3)=0,"",SUMIFS(Journal!$D$3:$D$143,Journal!$A$3:$A$143,$B83,Journal!$F$3:$F$143,AQ$3))</f>
        <v/>
      </c>
      <c r="AS83" s="86" t="str">
        <f>IF(SUMIFS(Journal!$D$3:$D$143,Journal!$A$3:$A$143,$B83,Journal!$E$3:$E$143,AS$3)=0,"",SUMIFS(Journal!$D$3:$D$143,Journal!$A$3:$A$143,$B83,Journal!$E$3:$E$143,AS$3))</f>
        <v/>
      </c>
      <c r="AT83" s="86" t="str">
        <f>IF(SUMIFS(Journal!$D$3:$D$143,Journal!$A$3:$A$143,$B83,Journal!$F$3:$F$143,AS$3)=0,"",SUMIFS(Journal!$D$3:$D$143,Journal!$A$3:$A$143,$B83,Journal!$F$3:$F$143,AS$3))</f>
        <v/>
      </c>
      <c r="AU83" s="86" t="str">
        <f>IF(SUMIFS(Journal!$D$3:$D$143,Journal!$A$3:$A$143,$B83,Journal!$E$3:$E$143,AU$3)=0,"",SUMIFS(Journal!$D$3:$D$143,Journal!$A$3:$A$143,$B83,Journal!$E$3:$E$143,AU$3))</f>
        <v/>
      </c>
      <c r="AV83" s="86" t="str">
        <f>IF(SUMIFS(Journal!$D$3:$D$143,Journal!$A$3:$A$143,$B83,Journal!$F$3:$F$143,AU$3)=0,"",SUMIFS(Journal!$D$3:$D$143,Journal!$A$3:$A$143,$B83,Journal!$F$3:$F$143,AU$3))</f>
        <v/>
      </c>
      <c r="AW83" s="86" t="str">
        <f>IF(SUMIFS(Journal!$D$3:$D$143,Journal!$A$3:$A$143,$B83,Journal!$E$3:$E$143,AW$3)=0,"",SUMIFS(Journal!$D$3:$D$143,Journal!$A$3:$A$143,$B83,Journal!$E$3:$E$143,AW$3))</f>
        <v/>
      </c>
      <c r="AX83" s="86" t="str">
        <f>IF(SUMIFS(Journal!$D$3:$D$143,Journal!$A$3:$A$143,$B83,Journal!$F$3:$F$143,AW$3)=0,"",SUMIFS(Journal!$D$3:$D$143,Journal!$A$3:$A$143,$B83,Journal!$F$3:$F$143,AW$3))</f>
        <v/>
      </c>
      <c r="AY83" s="86" t="str">
        <f>IF(SUMIFS(Journal!$D$3:$D$143,Journal!$A$3:$A$143,$B83,Journal!$E$3:$E$143,AY$3)=0,"",SUMIFS(Journal!$D$3:$D$143,Journal!$A$3:$A$143,$B83,Journal!$E$3:$E$143,AY$3))</f>
        <v/>
      </c>
      <c r="AZ83" s="86" t="str">
        <f>IF(SUMIFS(Journal!$D$3:$D$143,Journal!$A$3:$A$143,$B83,Journal!$F$3:$F$143,AY$3)=0,"",SUMIFS(Journal!$D$3:$D$143,Journal!$A$3:$A$143,$B83,Journal!$F$3:$F$143,AY$3))</f>
        <v/>
      </c>
      <c r="BA83" s="86" t="str">
        <f>IF(SUMIFS(Journal!$D$3:$D$143,Journal!$A$3:$A$143,$B83,Journal!$E$3:$E$143,BA$3)=0,"",SUMIFS(Journal!$D$3:$D$143,Journal!$A$3:$A$143,$B83,Journal!$E$3:$E$143,BA$3))</f>
        <v/>
      </c>
      <c r="BB83" s="86" t="str">
        <f>IF(SUMIFS(Journal!$D$3:$D$143,Journal!$A$3:$A$143,$B83,Journal!$F$3:$F$143,BA$3)=0,"",SUMIFS(Journal!$D$3:$D$143,Journal!$A$3:$A$143,$B83,Journal!$F$3:$F$143,BA$3))</f>
        <v/>
      </c>
    </row>
    <row r="84">
      <c r="A84" s="84">
        <f>VLOOKUP(B84,Journal!$A$3:$C$143,2,FALSE)</f>
        <v>45498</v>
      </c>
      <c r="B84" s="85" t="s">
        <v>508</v>
      </c>
      <c r="C84" s="86" t="str">
        <f>VLOOKUP(B84,Journal!$A$3:$C$143,3,FALSE)</f>
        <v>Bank loan instalment and interest paid</v>
      </c>
      <c r="D84" s="86">
        <f>SUMIF(Journal!$A$3:$A$143,B84,Journal!$D$3:$D$143)</f>
        <v>9000</v>
      </c>
      <c r="E84" s="86" t="str">
        <f>IF(SUMIFS(Journal!$D$3:$D$143,Journal!$A$3:$A$143,$B84,Journal!$E$3:$E$143,E$3)=0,"",SUMIFS(Journal!$D$3:$D$143,Journal!$A$3:$A$143,$B84,Journal!$E$3:$E$143,E$3))</f>
        <v/>
      </c>
      <c r="F84" s="86">
        <f>IF(SUMIFS(Journal!$D$3:$D$143,Journal!$A$3:$A$143,$B84,Journal!$F$3:$F$143,E$3)=0,"",SUMIFS(Journal!$D$3:$D$143,Journal!$A$3:$A$143,$B84,Journal!$F$3:$F$143,E$3))</f>
        <v>9000</v>
      </c>
      <c r="G84" s="86" t="str">
        <f>IF(SUMIFS(Journal!$D$3:$D$143,Journal!$A$3:$A$143,$B84,Journal!$E$3:$E$143,G$3)=0,"",SUMIFS(Journal!$D$3:$D$143,Journal!$A$3:$A$143,$B84,Journal!$E$3:$E$143,G$3))</f>
        <v/>
      </c>
      <c r="H84" s="86" t="str">
        <f>IF(SUMIFS(Journal!$D$3:$D$143,Journal!$A$3:$A$143,$B84,Journal!$F$3:$F$143,G$3)=0,"",SUMIFS(Journal!$D$3:$D$143,Journal!$A$3:$A$143,$B84,Journal!$F$3:$F$143,G$3))</f>
        <v/>
      </c>
      <c r="I84" s="86" t="str">
        <f>IF(SUMIFS(Journal!$D$3:$D$143,Journal!$A$3:$A$143,$B84,Journal!$E$3:$E$143,I$3)=0,"",SUMIFS(Journal!$D$3:$D$143,Journal!$A$3:$A$143,$B84,Journal!$E$3:$E$143,I$3))</f>
        <v/>
      </c>
      <c r="J84" s="86" t="str">
        <f>IF(SUMIFS(Journal!$D$3:$D$143,Journal!$A$3:$A$143,$B84,Journal!$F$3:$F$143,I$3)=0,"",SUMIFS(Journal!$D$3:$D$143,Journal!$A$3:$A$143,$B84,Journal!$F$3:$F$143,I$3))</f>
        <v/>
      </c>
      <c r="K84" s="86" t="str">
        <f>IF(SUMIFS(Journal!$D$3:$D$143,Journal!$A$3:$A$143,$B84,Journal!$E$3:$E$143,K$3)=0,"",SUMIFS(Journal!$D$3:$D$143,Journal!$A$3:$A$143,$B84,Journal!$E$3:$E$143,K$3))</f>
        <v/>
      </c>
      <c r="L84" s="86" t="str">
        <f>IF(SUMIFS(Journal!$D$3:$D$143,Journal!$A$3:$A$143,$B84,Journal!$F$3:$F$143,K$3)=0,"",SUMIFS(Journal!$D$3:$D$143,Journal!$A$3:$A$143,$B84,Journal!$F$3:$F$143,K$3))</f>
        <v/>
      </c>
      <c r="M84" s="86" t="str">
        <f>IF(SUMIFS(Journal!$D$3:$D$143,Journal!$A$3:$A$143,$B84,Journal!$E$3:$E$143,M$3)=0,"",SUMIFS(Journal!$D$3:$D$143,Journal!$A$3:$A$143,$B84,Journal!$E$3:$E$143,M$3))</f>
        <v/>
      </c>
      <c r="N84" s="86" t="str">
        <f>IF(SUMIFS(Journal!$D$3:$D$143,Journal!$A$3:$A$143,$B84,Journal!$F$3:$F$143,M$3)=0,"",SUMIFS(Journal!$D$3:$D$143,Journal!$A$3:$A$143,$B84,Journal!$F$3:$F$143,M$3))</f>
        <v/>
      </c>
      <c r="O84" s="86" t="str">
        <f>IF(SUMIFS(Journal!$D$3:$D$143,Journal!$A$3:$A$143,$B84,Journal!$E$3:$E$143,O$3)=0,"",SUMIFS(Journal!$D$3:$D$143,Journal!$A$3:$A$143,$B84,Journal!$E$3:$E$143,O$3))</f>
        <v/>
      </c>
      <c r="P84" s="86" t="str">
        <f>IF(SUMIFS(Journal!$D$3:$D$143,Journal!$A$3:$A$143,$B84,Journal!$F$3:$F$143,O$3)=0,"",SUMIFS(Journal!$D$3:$D$143,Journal!$A$3:$A$143,$B84,Journal!$F$3:$F$143,O$3))</f>
        <v/>
      </c>
      <c r="Q84" s="86" t="str">
        <f>IF(SUMIFS(Journal!$D$3:$D$143,Journal!$A$3:$A$143,$B84,Journal!$E$3:$E$143,Q$3)=0,"",SUMIFS(Journal!$D$3:$D$143,Journal!$A$3:$A$143,$B84,Journal!$E$3:$E$143,Q$3))</f>
        <v/>
      </c>
      <c r="R84" s="86" t="str">
        <f>IF(SUMIFS(Journal!$D$3:$D$143,Journal!$A$3:$A$143,$B84,Journal!$F$3:$F$143,Q$3)=0,"",SUMIFS(Journal!$D$3:$D$143,Journal!$A$3:$A$143,$B84,Journal!$F$3:$F$143,Q$3))</f>
        <v/>
      </c>
      <c r="S84" s="86">
        <f>IF(SUMIFS(Journal!$D$3:$D$143,Journal!$A$3:$A$143,$B84,Journal!$E$3:$E$143,S$3)=0,"",SUMIFS(Journal!$D$3:$D$143,Journal!$A$3:$A$143,$B84,Journal!$E$3:$E$143,S$3))</f>
        <v>7500</v>
      </c>
      <c r="T84" s="86" t="str">
        <f>IF(SUMIFS(Journal!$D$3:$D$143,Journal!$A$3:$A$143,$B84,Journal!$F$3:$F$143,S$3)=0,"",SUMIFS(Journal!$D$3:$D$143,Journal!$A$3:$A$143,$B84,Journal!$F$3:$F$143,S$3))</f>
        <v/>
      </c>
      <c r="U84" s="86" t="str">
        <f>IF(SUMIFS(Journal!$D$3:$D$143,Journal!$A$3:$A$143,$B84,Journal!$E$3:$E$143,U$3)=0,"",SUMIFS(Journal!$D$3:$D$143,Journal!$A$3:$A$143,$B84,Journal!$E$3:$E$143,U$3))</f>
        <v/>
      </c>
      <c r="V84" s="86" t="str">
        <f>IF(SUMIFS(Journal!$D$3:$D$143,Journal!$A$3:$A$143,$B84,Journal!$F$3:$F$143,U$3)=0,"",SUMIFS(Journal!$D$3:$D$143,Journal!$A$3:$A$143,$B84,Journal!$F$3:$F$143,U$3))</f>
        <v/>
      </c>
      <c r="W84" s="86" t="str">
        <f>IF(SUMIFS(Journal!$D$3:$D$143,Journal!$A$3:$A$143,$B84,Journal!$E$3:$E$143,W$3)=0,"",SUMIFS(Journal!$D$3:$D$143,Journal!$A$3:$A$143,$B84,Journal!$E$3:$E$143,W$3))</f>
        <v/>
      </c>
      <c r="X84" s="86" t="str">
        <f>IF(SUMIFS(Journal!$D$3:$D$143,Journal!$A$3:$A$143,$B84,Journal!$F$3:$F$143,W$3)=0,"",SUMIFS(Journal!$D$3:$D$143,Journal!$A$3:$A$143,$B84,Journal!$F$3:$F$143,W$3))</f>
        <v/>
      </c>
      <c r="Y84" s="86" t="str">
        <f>IF(SUMIFS(Journal!$D$3:$D$143,Journal!$A$3:$A$143,$B84,Journal!$E$3:$E$143,Y$3)=0,"",SUMIFS(Journal!$D$3:$D$143,Journal!$A$3:$A$143,$B84,Journal!$E$3:$E$143,Y$3))</f>
        <v/>
      </c>
      <c r="Z84" s="86" t="str">
        <f>IF(SUMIFS(Journal!$D$3:$D$143,Journal!$A$3:$A$143,$B84,Journal!$F$3:$F$143,Y$3)=0,"",SUMIFS(Journal!$D$3:$D$143,Journal!$A$3:$A$143,$B84,Journal!$F$3:$F$143,Y$3))</f>
        <v/>
      </c>
      <c r="AA84" s="86" t="str">
        <f>IF(SUMIFS(Journal!$D$3:$D$143,Journal!$A$3:$A$143,$B84,Journal!$E$3:$E$143,AA$3)=0,"",SUMIFS(Journal!$D$3:$D$143,Journal!$A$3:$A$143,$B84,Journal!$E$3:$E$143,AA$3))</f>
        <v/>
      </c>
      <c r="AB84" s="86" t="str">
        <f>IF(SUMIFS(Journal!$D$3:$D$143,Journal!$A$3:$A$143,$B84,Journal!$F$3:$F$143,AA$3)=0,"",SUMIFS(Journal!$D$3:$D$143,Journal!$A$3:$A$143,$B84,Journal!$F$3:$F$143,AA$3))</f>
        <v/>
      </c>
      <c r="AC84" s="86" t="str">
        <f>IF(SUMIFS(Journal!$D$3:$D$143,Journal!$A$3:$A$143,$B84,Journal!$E$3:$E$143,AC$3)=0,"",SUMIFS(Journal!$D$3:$D$143,Journal!$A$3:$A$143,$B84,Journal!$E$3:$E$143,AC$3))</f>
        <v/>
      </c>
      <c r="AD84" s="86" t="str">
        <f>IF(SUMIFS(Journal!$D$3:$D$143,Journal!$A$3:$A$143,$B84,Journal!$F$3:$F$143,AC$3)=0,"",SUMIFS(Journal!$D$3:$D$143,Journal!$A$3:$A$143,$B84,Journal!$F$3:$F$143,AC$3))</f>
        <v/>
      </c>
      <c r="AE84" s="86" t="str">
        <f>IF(SUMIFS(Journal!$D$3:$D$143,Journal!$A$3:$A$143,$B84,Journal!$E$3:$E$143,AE$3)=0,"",SUMIFS(Journal!$D$3:$D$143,Journal!$A$3:$A$143,$B84,Journal!$E$3:$E$143,AE$3))</f>
        <v/>
      </c>
      <c r="AF84" s="86" t="str">
        <f>IF(SUMIFS(Journal!$D$3:$D$143,Journal!$A$3:$A$143,$B84,Journal!$F$3:$F$143,AE$3)=0,"",SUMIFS(Journal!$D$3:$D$143,Journal!$A$3:$A$143,$B84,Journal!$F$3:$F$143,AE$3))</f>
        <v/>
      </c>
      <c r="AG84" s="86" t="str">
        <f>IF(SUMIFS(Journal!$D$3:$D$143,Journal!$A$3:$A$143,$B84,Journal!$E$3:$E$143,AG$3)=0,"",SUMIFS(Journal!$D$3:$D$143,Journal!$A$3:$A$143,$B84,Journal!$E$3:$E$143,AG$3))</f>
        <v/>
      </c>
      <c r="AH84" s="86" t="str">
        <f>IF(SUMIFS(Journal!$D$3:$D$143,Journal!$A$3:$A$143,$B84,Journal!$F$3:$F$143,AG$3)=0,"",SUMIFS(Journal!$D$3:$D$143,Journal!$A$3:$A$143,$B84,Journal!$F$3:$F$143,AG$3))</f>
        <v/>
      </c>
      <c r="AI84" s="86" t="str">
        <f>IF(SUMIFS(Journal!$D$3:$D$143,Journal!$A$3:$A$143,$B84,Journal!$E$3:$E$143,AI$3)=0,"",SUMIFS(Journal!$D$3:$D$143,Journal!$A$3:$A$143,$B84,Journal!$E$3:$E$143,AI$3))</f>
        <v/>
      </c>
      <c r="AJ84" s="86" t="str">
        <f>IF(SUMIFS(Journal!$D$3:$D$143,Journal!$A$3:$A$143,$B84,Journal!$F$3:$F$143,AI$3)=0,"",SUMIFS(Journal!$D$3:$D$143,Journal!$A$3:$A$143,$B84,Journal!$F$3:$F$143,AI$3))</f>
        <v/>
      </c>
      <c r="AK84" s="86" t="str">
        <f>IF(SUMIFS(Journal!$D$3:$D$143,Journal!$A$3:$A$143,$B84,Journal!$E$3:$E$143,AK$3)=0,"",SUMIFS(Journal!$D$3:$D$143,Journal!$A$3:$A$143,$B84,Journal!$E$3:$E$143,AK$3))</f>
        <v/>
      </c>
      <c r="AL84" s="86" t="str">
        <f>IF(SUMIFS(Journal!$D$3:$D$143,Journal!$A$3:$A$143,$B84,Journal!$F$3:$F$143,AK$3)=0,"",SUMIFS(Journal!$D$3:$D$143,Journal!$A$3:$A$143,$B84,Journal!$F$3:$F$143,AK$3))</f>
        <v/>
      </c>
      <c r="AM84" s="86" t="str">
        <f>IF(SUMIFS(Journal!$D$3:$D$143,Journal!$A$3:$A$143,$B84,Journal!$E$3:$E$143,AM$3)=0,"",SUMIFS(Journal!$D$3:$D$143,Journal!$A$3:$A$143,$B84,Journal!$E$3:$E$143,AM$3))</f>
        <v/>
      </c>
      <c r="AN84" s="86" t="str">
        <f>IF(SUMIFS(Journal!$D$3:$D$143,Journal!$A$3:$A$143,$B84,Journal!$F$3:$F$143,AM$3)=0,"",SUMIFS(Journal!$D$3:$D$143,Journal!$A$3:$A$143,$B84,Journal!$F$3:$F$143,AM$3))</f>
        <v/>
      </c>
      <c r="AO84" s="86" t="str">
        <f>IF(SUMIFS(Journal!$D$3:$D$143,Journal!$A$3:$A$143,$B84,Journal!$E$3:$E$143,AO$3)=0,"",SUMIFS(Journal!$D$3:$D$143,Journal!$A$3:$A$143,$B84,Journal!$E$3:$E$143,AO$3))</f>
        <v/>
      </c>
      <c r="AP84" s="86" t="str">
        <f>IF(SUMIFS(Journal!$D$3:$D$143,Journal!$A$3:$A$143,$B84,Journal!$F$3:$F$143,AO$3)=0,"",SUMIFS(Journal!$D$3:$D$143,Journal!$A$3:$A$143,$B84,Journal!$F$3:$F$143,AO$3))</f>
        <v/>
      </c>
      <c r="AQ84" s="86" t="str">
        <f>IF(SUMIFS(Journal!$D$3:$D$143,Journal!$A$3:$A$143,$B84,Journal!$E$3:$E$143,AQ$3)=0,"",SUMIFS(Journal!$D$3:$D$143,Journal!$A$3:$A$143,$B84,Journal!$E$3:$E$143,AQ$3))</f>
        <v/>
      </c>
      <c r="AR84" s="86" t="str">
        <f>IF(SUMIFS(Journal!$D$3:$D$143,Journal!$A$3:$A$143,$B84,Journal!$F$3:$F$143,AQ$3)=0,"",SUMIFS(Journal!$D$3:$D$143,Journal!$A$3:$A$143,$B84,Journal!$F$3:$F$143,AQ$3))</f>
        <v/>
      </c>
      <c r="AS84" s="86" t="str">
        <f>IF(SUMIFS(Journal!$D$3:$D$143,Journal!$A$3:$A$143,$B84,Journal!$E$3:$E$143,AS$3)=0,"",SUMIFS(Journal!$D$3:$D$143,Journal!$A$3:$A$143,$B84,Journal!$E$3:$E$143,AS$3))</f>
        <v/>
      </c>
      <c r="AT84" s="86" t="str">
        <f>IF(SUMIFS(Journal!$D$3:$D$143,Journal!$A$3:$A$143,$B84,Journal!$F$3:$F$143,AS$3)=0,"",SUMIFS(Journal!$D$3:$D$143,Journal!$A$3:$A$143,$B84,Journal!$F$3:$F$143,AS$3))</f>
        <v/>
      </c>
      <c r="AU84" s="86" t="str">
        <f>IF(SUMIFS(Journal!$D$3:$D$143,Journal!$A$3:$A$143,$B84,Journal!$E$3:$E$143,AU$3)=0,"",SUMIFS(Journal!$D$3:$D$143,Journal!$A$3:$A$143,$B84,Journal!$E$3:$E$143,AU$3))</f>
        <v/>
      </c>
      <c r="AV84" s="86" t="str">
        <f>IF(SUMIFS(Journal!$D$3:$D$143,Journal!$A$3:$A$143,$B84,Journal!$F$3:$F$143,AU$3)=0,"",SUMIFS(Journal!$D$3:$D$143,Journal!$A$3:$A$143,$B84,Journal!$F$3:$F$143,AU$3))</f>
        <v/>
      </c>
      <c r="AW84" s="86" t="str">
        <f>IF(SUMIFS(Journal!$D$3:$D$143,Journal!$A$3:$A$143,$B84,Journal!$E$3:$E$143,AW$3)=0,"",SUMIFS(Journal!$D$3:$D$143,Journal!$A$3:$A$143,$B84,Journal!$E$3:$E$143,AW$3))</f>
        <v/>
      </c>
      <c r="AX84" s="86" t="str">
        <f>IF(SUMIFS(Journal!$D$3:$D$143,Journal!$A$3:$A$143,$B84,Journal!$F$3:$F$143,AW$3)=0,"",SUMIFS(Journal!$D$3:$D$143,Journal!$A$3:$A$143,$B84,Journal!$F$3:$F$143,AW$3))</f>
        <v/>
      </c>
      <c r="AY84" s="86" t="str">
        <f>IF(SUMIFS(Journal!$D$3:$D$143,Journal!$A$3:$A$143,$B84,Journal!$E$3:$E$143,AY$3)=0,"",SUMIFS(Journal!$D$3:$D$143,Journal!$A$3:$A$143,$B84,Journal!$E$3:$E$143,AY$3))</f>
        <v/>
      </c>
      <c r="AZ84" s="86" t="str">
        <f>IF(SUMIFS(Journal!$D$3:$D$143,Journal!$A$3:$A$143,$B84,Journal!$F$3:$F$143,AY$3)=0,"",SUMIFS(Journal!$D$3:$D$143,Journal!$A$3:$A$143,$B84,Journal!$F$3:$F$143,AY$3))</f>
        <v/>
      </c>
      <c r="BA84" s="86">
        <f>IF(SUMIFS(Journal!$D$3:$D$143,Journal!$A$3:$A$143,$B84,Journal!$E$3:$E$143,BA$3)=0,"",SUMIFS(Journal!$D$3:$D$143,Journal!$A$3:$A$143,$B84,Journal!$E$3:$E$143,BA$3))</f>
        <v>1500</v>
      </c>
      <c r="BB84" s="86" t="str">
        <f>IF(SUMIFS(Journal!$D$3:$D$143,Journal!$A$3:$A$143,$B84,Journal!$F$3:$F$143,BA$3)=0,"",SUMIFS(Journal!$D$3:$D$143,Journal!$A$3:$A$143,$B84,Journal!$F$3:$F$143,BA$3))</f>
        <v/>
      </c>
    </row>
    <row r="85">
      <c r="A85" s="84">
        <f>VLOOKUP(B85,Journal!$A$3:$C$143,2,FALSE)</f>
        <v>45504</v>
      </c>
      <c r="B85" s="85" t="s">
        <v>513</v>
      </c>
      <c r="C85" s="86" t="str">
        <f>VLOOKUP(B85,Journal!$A$3:$C$143,3,FALSE)</f>
        <v>Monthly utility settlement</v>
      </c>
      <c r="D85" s="86">
        <f>SUMIF(Journal!$A$3:$A$143,B85,Journal!$D$3:$D$143)</f>
        <v>1354</v>
      </c>
      <c r="E85" s="86" t="str">
        <f>IF(SUMIFS(Journal!$D$3:$D$143,Journal!$A$3:$A$143,$B85,Journal!$E$3:$E$143,E$3)=0,"",SUMIFS(Journal!$D$3:$D$143,Journal!$A$3:$A$143,$B85,Journal!$E$3:$E$143,E$3))</f>
        <v/>
      </c>
      <c r="F85" s="86">
        <f>IF(SUMIFS(Journal!$D$3:$D$143,Journal!$A$3:$A$143,$B85,Journal!$F$3:$F$143,E$3)=0,"",SUMIFS(Journal!$D$3:$D$143,Journal!$A$3:$A$143,$B85,Journal!$F$3:$F$143,E$3))</f>
        <v>1354</v>
      </c>
      <c r="G85" s="86" t="str">
        <f>IF(SUMIFS(Journal!$D$3:$D$143,Journal!$A$3:$A$143,$B85,Journal!$E$3:$E$143,G$3)=0,"",SUMIFS(Journal!$D$3:$D$143,Journal!$A$3:$A$143,$B85,Journal!$E$3:$E$143,G$3))</f>
        <v/>
      </c>
      <c r="H85" s="86" t="str">
        <f>IF(SUMIFS(Journal!$D$3:$D$143,Journal!$A$3:$A$143,$B85,Journal!$F$3:$F$143,G$3)=0,"",SUMIFS(Journal!$D$3:$D$143,Journal!$A$3:$A$143,$B85,Journal!$F$3:$F$143,G$3))</f>
        <v/>
      </c>
      <c r="I85" s="86" t="str">
        <f>IF(SUMIFS(Journal!$D$3:$D$143,Journal!$A$3:$A$143,$B85,Journal!$E$3:$E$143,I$3)=0,"",SUMIFS(Journal!$D$3:$D$143,Journal!$A$3:$A$143,$B85,Journal!$E$3:$E$143,I$3))</f>
        <v/>
      </c>
      <c r="J85" s="86" t="str">
        <f>IF(SUMIFS(Journal!$D$3:$D$143,Journal!$A$3:$A$143,$B85,Journal!$F$3:$F$143,I$3)=0,"",SUMIFS(Journal!$D$3:$D$143,Journal!$A$3:$A$143,$B85,Journal!$F$3:$F$143,I$3))</f>
        <v/>
      </c>
      <c r="K85" s="86" t="str">
        <f>IF(SUMIFS(Journal!$D$3:$D$143,Journal!$A$3:$A$143,$B85,Journal!$E$3:$E$143,K$3)=0,"",SUMIFS(Journal!$D$3:$D$143,Journal!$A$3:$A$143,$B85,Journal!$E$3:$E$143,K$3))</f>
        <v/>
      </c>
      <c r="L85" s="86" t="str">
        <f>IF(SUMIFS(Journal!$D$3:$D$143,Journal!$A$3:$A$143,$B85,Journal!$F$3:$F$143,K$3)=0,"",SUMIFS(Journal!$D$3:$D$143,Journal!$A$3:$A$143,$B85,Journal!$F$3:$F$143,K$3))</f>
        <v/>
      </c>
      <c r="M85" s="86" t="str">
        <f>IF(SUMIFS(Journal!$D$3:$D$143,Journal!$A$3:$A$143,$B85,Journal!$E$3:$E$143,M$3)=0,"",SUMIFS(Journal!$D$3:$D$143,Journal!$A$3:$A$143,$B85,Journal!$E$3:$E$143,M$3))</f>
        <v/>
      </c>
      <c r="N85" s="86" t="str">
        <f>IF(SUMIFS(Journal!$D$3:$D$143,Journal!$A$3:$A$143,$B85,Journal!$F$3:$F$143,M$3)=0,"",SUMIFS(Journal!$D$3:$D$143,Journal!$A$3:$A$143,$B85,Journal!$F$3:$F$143,M$3))</f>
        <v/>
      </c>
      <c r="O85" s="86" t="str">
        <f>IF(SUMIFS(Journal!$D$3:$D$143,Journal!$A$3:$A$143,$B85,Journal!$E$3:$E$143,O$3)=0,"",SUMIFS(Journal!$D$3:$D$143,Journal!$A$3:$A$143,$B85,Journal!$E$3:$E$143,O$3))</f>
        <v/>
      </c>
      <c r="P85" s="86" t="str">
        <f>IF(SUMIFS(Journal!$D$3:$D$143,Journal!$A$3:$A$143,$B85,Journal!$F$3:$F$143,O$3)=0,"",SUMIFS(Journal!$D$3:$D$143,Journal!$A$3:$A$143,$B85,Journal!$F$3:$F$143,O$3))</f>
        <v/>
      </c>
      <c r="Q85" s="86" t="str">
        <f>IF(SUMIFS(Journal!$D$3:$D$143,Journal!$A$3:$A$143,$B85,Journal!$E$3:$E$143,Q$3)=0,"",SUMIFS(Journal!$D$3:$D$143,Journal!$A$3:$A$143,$B85,Journal!$E$3:$E$143,Q$3))</f>
        <v/>
      </c>
      <c r="R85" s="86" t="str">
        <f>IF(SUMIFS(Journal!$D$3:$D$143,Journal!$A$3:$A$143,$B85,Journal!$F$3:$F$143,Q$3)=0,"",SUMIFS(Journal!$D$3:$D$143,Journal!$A$3:$A$143,$B85,Journal!$F$3:$F$143,Q$3))</f>
        <v/>
      </c>
      <c r="S85" s="86" t="str">
        <f>IF(SUMIFS(Journal!$D$3:$D$143,Journal!$A$3:$A$143,$B85,Journal!$E$3:$E$143,S$3)=0,"",SUMIFS(Journal!$D$3:$D$143,Journal!$A$3:$A$143,$B85,Journal!$E$3:$E$143,S$3))</f>
        <v/>
      </c>
      <c r="T85" s="86" t="str">
        <f>IF(SUMIFS(Journal!$D$3:$D$143,Journal!$A$3:$A$143,$B85,Journal!$F$3:$F$143,S$3)=0,"",SUMIFS(Journal!$D$3:$D$143,Journal!$A$3:$A$143,$B85,Journal!$F$3:$F$143,S$3))</f>
        <v/>
      </c>
      <c r="U85" s="86" t="str">
        <f>IF(SUMIFS(Journal!$D$3:$D$143,Journal!$A$3:$A$143,$B85,Journal!$E$3:$E$143,U$3)=0,"",SUMIFS(Journal!$D$3:$D$143,Journal!$A$3:$A$143,$B85,Journal!$E$3:$E$143,U$3))</f>
        <v/>
      </c>
      <c r="V85" s="86" t="str">
        <f>IF(SUMIFS(Journal!$D$3:$D$143,Journal!$A$3:$A$143,$B85,Journal!$F$3:$F$143,U$3)=0,"",SUMIFS(Journal!$D$3:$D$143,Journal!$A$3:$A$143,$B85,Journal!$F$3:$F$143,U$3))</f>
        <v/>
      </c>
      <c r="W85" s="86" t="str">
        <f>IF(SUMIFS(Journal!$D$3:$D$143,Journal!$A$3:$A$143,$B85,Journal!$E$3:$E$143,W$3)=0,"",SUMIFS(Journal!$D$3:$D$143,Journal!$A$3:$A$143,$B85,Journal!$E$3:$E$143,W$3))</f>
        <v/>
      </c>
      <c r="X85" s="86" t="str">
        <f>IF(SUMIFS(Journal!$D$3:$D$143,Journal!$A$3:$A$143,$B85,Journal!$F$3:$F$143,W$3)=0,"",SUMIFS(Journal!$D$3:$D$143,Journal!$A$3:$A$143,$B85,Journal!$F$3:$F$143,W$3))</f>
        <v/>
      </c>
      <c r="Y85" s="86" t="str">
        <f>IF(SUMIFS(Journal!$D$3:$D$143,Journal!$A$3:$A$143,$B85,Journal!$E$3:$E$143,Y$3)=0,"",SUMIFS(Journal!$D$3:$D$143,Journal!$A$3:$A$143,$B85,Journal!$E$3:$E$143,Y$3))</f>
        <v/>
      </c>
      <c r="Z85" s="86" t="str">
        <f>IF(SUMIFS(Journal!$D$3:$D$143,Journal!$A$3:$A$143,$B85,Journal!$F$3:$F$143,Y$3)=0,"",SUMIFS(Journal!$D$3:$D$143,Journal!$A$3:$A$143,$B85,Journal!$F$3:$F$143,Y$3))</f>
        <v/>
      </c>
      <c r="AA85" s="86" t="str">
        <f>IF(SUMIFS(Journal!$D$3:$D$143,Journal!$A$3:$A$143,$B85,Journal!$E$3:$E$143,AA$3)=0,"",SUMIFS(Journal!$D$3:$D$143,Journal!$A$3:$A$143,$B85,Journal!$E$3:$E$143,AA$3))</f>
        <v/>
      </c>
      <c r="AB85" s="86" t="str">
        <f>IF(SUMIFS(Journal!$D$3:$D$143,Journal!$A$3:$A$143,$B85,Journal!$F$3:$F$143,AA$3)=0,"",SUMIFS(Journal!$D$3:$D$143,Journal!$A$3:$A$143,$B85,Journal!$F$3:$F$143,AA$3))</f>
        <v/>
      </c>
      <c r="AC85" s="86" t="str">
        <f>IF(SUMIFS(Journal!$D$3:$D$143,Journal!$A$3:$A$143,$B85,Journal!$E$3:$E$143,AC$3)=0,"",SUMIFS(Journal!$D$3:$D$143,Journal!$A$3:$A$143,$B85,Journal!$E$3:$E$143,AC$3))</f>
        <v/>
      </c>
      <c r="AD85" s="86" t="str">
        <f>IF(SUMIFS(Journal!$D$3:$D$143,Journal!$A$3:$A$143,$B85,Journal!$F$3:$F$143,AC$3)=0,"",SUMIFS(Journal!$D$3:$D$143,Journal!$A$3:$A$143,$B85,Journal!$F$3:$F$143,AC$3))</f>
        <v/>
      </c>
      <c r="AE85" s="86" t="str">
        <f>IF(SUMIFS(Journal!$D$3:$D$143,Journal!$A$3:$A$143,$B85,Journal!$E$3:$E$143,AE$3)=0,"",SUMIFS(Journal!$D$3:$D$143,Journal!$A$3:$A$143,$B85,Journal!$E$3:$E$143,AE$3))</f>
        <v/>
      </c>
      <c r="AF85" s="86" t="str">
        <f>IF(SUMIFS(Journal!$D$3:$D$143,Journal!$A$3:$A$143,$B85,Journal!$F$3:$F$143,AE$3)=0,"",SUMIFS(Journal!$D$3:$D$143,Journal!$A$3:$A$143,$B85,Journal!$F$3:$F$143,AE$3))</f>
        <v/>
      </c>
      <c r="AG85" s="86" t="str">
        <f>IF(SUMIFS(Journal!$D$3:$D$143,Journal!$A$3:$A$143,$B85,Journal!$E$3:$E$143,AG$3)=0,"",SUMIFS(Journal!$D$3:$D$143,Journal!$A$3:$A$143,$B85,Journal!$E$3:$E$143,AG$3))</f>
        <v/>
      </c>
      <c r="AH85" s="86" t="str">
        <f>IF(SUMIFS(Journal!$D$3:$D$143,Journal!$A$3:$A$143,$B85,Journal!$F$3:$F$143,AG$3)=0,"",SUMIFS(Journal!$D$3:$D$143,Journal!$A$3:$A$143,$B85,Journal!$F$3:$F$143,AG$3))</f>
        <v/>
      </c>
      <c r="AI85" s="86" t="str">
        <f>IF(SUMIFS(Journal!$D$3:$D$143,Journal!$A$3:$A$143,$B85,Journal!$E$3:$E$143,AI$3)=0,"",SUMIFS(Journal!$D$3:$D$143,Journal!$A$3:$A$143,$B85,Journal!$E$3:$E$143,AI$3))</f>
        <v/>
      </c>
      <c r="AJ85" s="86" t="str">
        <f>IF(SUMIFS(Journal!$D$3:$D$143,Journal!$A$3:$A$143,$B85,Journal!$F$3:$F$143,AI$3)=0,"",SUMIFS(Journal!$D$3:$D$143,Journal!$A$3:$A$143,$B85,Journal!$F$3:$F$143,AI$3))</f>
        <v/>
      </c>
      <c r="AK85" s="86" t="str">
        <f>IF(SUMIFS(Journal!$D$3:$D$143,Journal!$A$3:$A$143,$B85,Journal!$E$3:$E$143,AK$3)=0,"",SUMIFS(Journal!$D$3:$D$143,Journal!$A$3:$A$143,$B85,Journal!$E$3:$E$143,AK$3))</f>
        <v/>
      </c>
      <c r="AL85" s="86" t="str">
        <f>IF(SUMIFS(Journal!$D$3:$D$143,Journal!$A$3:$A$143,$B85,Journal!$F$3:$F$143,AK$3)=0,"",SUMIFS(Journal!$D$3:$D$143,Journal!$A$3:$A$143,$B85,Journal!$F$3:$F$143,AK$3))</f>
        <v/>
      </c>
      <c r="AM85" s="86">
        <f>IF(SUMIFS(Journal!$D$3:$D$143,Journal!$A$3:$A$143,$B85,Journal!$E$3:$E$143,AM$3)=0,"",SUMIFS(Journal!$D$3:$D$143,Journal!$A$3:$A$143,$B85,Journal!$E$3:$E$143,AM$3))</f>
        <v>1354</v>
      </c>
      <c r="AN85" s="86" t="str">
        <f>IF(SUMIFS(Journal!$D$3:$D$143,Journal!$A$3:$A$143,$B85,Journal!$F$3:$F$143,AM$3)=0,"",SUMIFS(Journal!$D$3:$D$143,Journal!$A$3:$A$143,$B85,Journal!$F$3:$F$143,AM$3))</f>
        <v/>
      </c>
      <c r="AO85" s="86" t="str">
        <f>IF(SUMIFS(Journal!$D$3:$D$143,Journal!$A$3:$A$143,$B85,Journal!$E$3:$E$143,AO$3)=0,"",SUMIFS(Journal!$D$3:$D$143,Journal!$A$3:$A$143,$B85,Journal!$E$3:$E$143,AO$3))</f>
        <v/>
      </c>
      <c r="AP85" s="86" t="str">
        <f>IF(SUMIFS(Journal!$D$3:$D$143,Journal!$A$3:$A$143,$B85,Journal!$F$3:$F$143,AO$3)=0,"",SUMIFS(Journal!$D$3:$D$143,Journal!$A$3:$A$143,$B85,Journal!$F$3:$F$143,AO$3))</f>
        <v/>
      </c>
      <c r="AQ85" s="86" t="str">
        <f>IF(SUMIFS(Journal!$D$3:$D$143,Journal!$A$3:$A$143,$B85,Journal!$E$3:$E$143,AQ$3)=0,"",SUMIFS(Journal!$D$3:$D$143,Journal!$A$3:$A$143,$B85,Journal!$E$3:$E$143,AQ$3))</f>
        <v/>
      </c>
      <c r="AR85" s="86" t="str">
        <f>IF(SUMIFS(Journal!$D$3:$D$143,Journal!$A$3:$A$143,$B85,Journal!$F$3:$F$143,AQ$3)=0,"",SUMIFS(Journal!$D$3:$D$143,Journal!$A$3:$A$143,$B85,Journal!$F$3:$F$143,AQ$3))</f>
        <v/>
      </c>
      <c r="AS85" s="86" t="str">
        <f>IF(SUMIFS(Journal!$D$3:$D$143,Journal!$A$3:$A$143,$B85,Journal!$E$3:$E$143,AS$3)=0,"",SUMIFS(Journal!$D$3:$D$143,Journal!$A$3:$A$143,$B85,Journal!$E$3:$E$143,AS$3))</f>
        <v/>
      </c>
      <c r="AT85" s="86" t="str">
        <f>IF(SUMIFS(Journal!$D$3:$D$143,Journal!$A$3:$A$143,$B85,Journal!$F$3:$F$143,AS$3)=0,"",SUMIFS(Journal!$D$3:$D$143,Journal!$A$3:$A$143,$B85,Journal!$F$3:$F$143,AS$3))</f>
        <v/>
      </c>
      <c r="AU85" s="86" t="str">
        <f>IF(SUMIFS(Journal!$D$3:$D$143,Journal!$A$3:$A$143,$B85,Journal!$E$3:$E$143,AU$3)=0,"",SUMIFS(Journal!$D$3:$D$143,Journal!$A$3:$A$143,$B85,Journal!$E$3:$E$143,AU$3))</f>
        <v/>
      </c>
      <c r="AV85" s="86" t="str">
        <f>IF(SUMIFS(Journal!$D$3:$D$143,Journal!$A$3:$A$143,$B85,Journal!$F$3:$F$143,AU$3)=0,"",SUMIFS(Journal!$D$3:$D$143,Journal!$A$3:$A$143,$B85,Journal!$F$3:$F$143,AU$3))</f>
        <v/>
      </c>
      <c r="AW85" s="86" t="str">
        <f>IF(SUMIFS(Journal!$D$3:$D$143,Journal!$A$3:$A$143,$B85,Journal!$E$3:$E$143,AW$3)=0,"",SUMIFS(Journal!$D$3:$D$143,Journal!$A$3:$A$143,$B85,Journal!$E$3:$E$143,AW$3))</f>
        <v/>
      </c>
      <c r="AX85" s="86" t="str">
        <f>IF(SUMIFS(Journal!$D$3:$D$143,Journal!$A$3:$A$143,$B85,Journal!$F$3:$F$143,AW$3)=0,"",SUMIFS(Journal!$D$3:$D$143,Journal!$A$3:$A$143,$B85,Journal!$F$3:$F$143,AW$3))</f>
        <v/>
      </c>
      <c r="AY85" s="86" t="str">
        <f>IF(SUMIFS(Journal!$D$3:$D$143,Journal!$A$3:$A$143,$B85,Journal!$E$3:$E$143,AY$3)=0,"",SUMIFS(Journal!$D$3:$D$143,Journal!$A$3:$A$143,$B85,Journal!$E$3:$E$143,AY$3))</f>
        <v/>
      </c>
      <c r="AZ85" s="86" t="str">
        <f>IF(SUMIFS(Journal!$D$3:$D$143,Journal!$A$3:$A$143,$B85,Journal!$F$3:$F$143,AY$3)=0,"",SUMIFS(Journal!$D$3:$D$143,Journal!$A$3:$A$143,$B85,Journal!$F$3:$F$143,AY$3))</f>
        <v/>
      </c>
      <c r="BA85" s="86" t="str">
        <f>IF(SUMIFS(Journal!$D$3:$D$143,Journal!$A$3:$A$143,$B85,Journal!$E$3:$E$143,BA$3)=0,"",SUMIFS(Journal!$D$3:$D$143,Journal!$A$3:$A$143,$B85,Journal!$E$3:$E$143,BA$3))</f>
        <v/>
      </c>
      <c r="BB85" s="86" t="str">
        <f>IF(SUMIFS(Journal!$D$3:$D$143,Journal!$A$3:$A$143,$B85,Journal!$F$3:$F$143,BA$3)=0,"",SUMIFS(Journal!$D$3:$D$143,Journal!$A$3:$A$143,$B85,Journal!$F$3:$F$143,BA$3))</f>
        <v/>
      </c>
    </row>
    <row r="86">
      <c r="A86" s="84">
        <f>VLOOKUP(B86,Journal!$A$3:$C$143,2,FALSE)</f>
        <v>45505</v>
      </c>
      <c r="B86" s="85" t="s">
        <v>517</v>
      </c>
      <c r="C86" s="86" t="str">
        <f>VLOOKUP(B86,Journal!$A$3:$C$143,3,FALSE)</f>
        <v>Monthly facility rent</v>
      </c>
      <c r="D86" s="86">
        <f>SUMIF(Journal!$A$3:$A$143,B86,Journal!$D$3:$D$143)</f>
        <v>5400</v>
      </c>
      <c r="E86" s="86" t="str">
        <f>IF(SUMIFS(Journal!$D$3:$D$143,Journal!$A$3:$A$143,$B86,Journal!$E$3:$E$143,E$3)=0,"",SUMIFS(Journal!$D$3:$D$143,Journal!$A$3:$A$143,$B86,Journal!$E$3:$E$143,E$3))</f>
        <v/>
      </c>
      <c r="F86" s="86">
        <f>IF(SUMIFS(Journal!$D$3:$D$143,Journal!$A$3:$A$143,$B86,Journal!$F$3:$F$143,E$3)=0,"",SUMIFS(Journal!$D$3:$D$143,Journal!$A$3:$A$143,$B86,Journal!$F$3:$F$143,E$3))</f>
        <v>5400</v>
      </c>
      <c r="G86" s="86" t="str">
        <f>IF(SUMIFS(Journal!$D$3:$D$143,Journal!$A$3:$A$143,$B86,Journal!$E$3:$E$143,G$3)=0,"",SUMIFS(Journal!$D$3:$D$143,Journal!$A$3:$A$143,$B86,Journal!$E$3:$E$143,G$3))</f>
        <v/>
      </c>
      <c r="H86" s="86" t="str">
        <f>IF(SUMIFS(Journal!$D$3:$D$143,Journal!$A$3:$A$143,$B86,Journal!$F$3:$F$143,G$3)=0,"",SUMIFS(Journal!$D$3:$D$143,Journal!$A$3:$A$143,$B86,Journal!$F$3:$F$143,G$3))</f>
        <v/>
      </c>
      <c r="I86" s="86" t="str">
        <f>IF(SUMIFS(Journal!$D$3:$D$143,Journal!$A$3:$A$143,$B86,Journal!$E$3:$E$143,I$3)=0,"",SUMIFS(Journal!$D$3:$D$143,Journal!$A$3:$A$143,$B86,Journal!$E$3:$E$143,I$3))</f>
        <v/>
      </c>
      <c r="J86" s="86" t="str">
        <f>IF(SUMIFS(Journal!$D$3:$D$143,Journal!$A$3:$A$143,$B86,Journal!$F$3:$F$143,I$3)=0,"",SUMIFS(Journal!$D$3:$D$143,Journal!$A$3:$A$143,$B86,Journal!$F$3:$F$143,I$3))</f>
        <v/>
      </c>
      <c r="K86" s="86" t="str">
        <f>IF(SUMIFS(Journal!$D$3:$D$143,Journal!$A$3:$A$143,$B86,Journal!$E$3:$E$143,K$3)=0,"",SUMIFS(Journal!$D$3:$D$143,Journal!$A$3:$A$143,$B86,Journal!$E$3:$E$143,K$3))</f>
        <v/>
      </c>
      <c r="L86" s="86" t="str">
        <f>IF(SUMIFS(Journal!$D$3:$D$143,Journal!$A$3:$A$143,$B86,Journal!$F$3:$F$143,K$3)=0,"",SUMIFS(Journal!$D$3:$D$143,Journal!$A$3:$A$143,$B86,Journal!$F$3:$F$143,K$3))</f>
        <v/>
      </c>
      <c r="M86" s="86" t="str">
        <f>IF(SUMIFS(Journal!$D$3:$D$143,Journal!$A$3:$A$143,$B86,Journal!$E$3:$E$143,M$3)=0,"",SUMIFS(Journal!$D$3:$D$143,Journal!$A$3:$A$143,$B86,Journal!$E$3:$E$143,M$3))</f>
        <v/>
      </c>
      <c r="N86" s="86" t="str">
        <f>IF(SUMIFS(Journal!$D$3:$D$143,Journal!$A$3:$A$143,$B86,Journal!$F$3:$F$143,M$3)=0,"",SUMIFS(Journal!$D$3:$D$143,Journal!$A$3:$A$143,$B86,Journal!$F$3:$F$143,M$3))</f>
        <v/>
      </c>
      <c r="O86" s="86" t="str">
        <f>IF(SUMIFS(Journal!$D$3:$D$143,Journal!$A$3:$A$143,$B86,Journal!$E$3:$E$143,O$3)=0,"",SUMIFS(Journal!$D$3:$D$143,Journal!$A$3:$A$143,$B86,Journal!$E$3:$E$143,O$3))</f>
        <v/>
      </c>
      <c r="P86" s="86" t="str">
        <f>IF(SUMIFS(Journal!$D$3:$D$143,Journal!$A$3:$A$143,$B86,Journal!$F$3:$F$143,O$3)=0,"",SUMIFS(Journal!$D$3:$D$143,Journal!$A$3:$A$143,$B86,Journal!$F$3:$F$143,O$3))</f>
        <v/>
      </c>
      <c r="Q86" s="86" t="str">
        <f>IF(SUMIFS(Journal!$D$3:$D$143,Journal!$A$3:$A$143,$B86,Journal!$E$3:$E$143,Q$3)=0,"",SUMIFS(Journal!$D$3:$D$143,Journal!$A$3:$A$143,$B86,Journal!$E$3:$E$143,Q$3))</f>
        <v/>
      </c>
      <c r="R86" s="86" t="str">
        <f>IF(SUMIFS(Journal!$D$3:$D$143,Journal!$A$3:$A$143,$B86,Journal!$F$3:$F$143,Q$3)=0,"",SUMIFS(Journal!$D$3:$D$143,Journal!$A$3:$A$143,$B86,Journal!$F$3:$F$143,Q$3))</f>
        <v/>
      </c>
      <c r="S86" s="86" t="str">
        <f>IF(SUMIFS(Journal!$D$3:$D$143,Journal!$A$3:$A$143,$B86,Journal!$E$3:$E$143,S$3)=0,"",SUMIFS(Journal!$D$3:$D$143,Journal!$A$3:$A$143,$B86,Journal!$E$3:$E$143,S$3))</f>
        <v/>
      </c>
      <c r="T86" s="86" t="str">
        <f>IF(SUMIFS(Journal!$D$3:$D$143,Journal!$A$3:$A$143,$B86,Journal!$F$3:$F$143,S$3)=0,"",SUMIFS(Journal!$D$3:$D$143,Journal!$A$3:$A$143,$B86,Journal!$F$3:$F$143,S$3))</f>
        <v/>
      </c>
      <c r="U86" s="86" t="str">
        <f>IF(SUMIFS(Journal!$D$3:$D$143,Journal!$A$3:$A$143,$B86,Journal!$E$3:$E$143,U$3)=0,"",SUMIFS(Journal!$D$3:$D$143,Journal!$A$3:$A$143,$B86,Journal!$E$3:$E$143,U$3))</f>
        <v/>
      </c>
      <c r="V86" s="86" t="str">
        <f>IF(SUMIFS(Journal!$D$3:$D$143,Journal!$A$3:$A$143,$B86,Journal!$F$3:$F$143,U$3)=0,"",SUMIFS(Journal!$D$3:$D$143,Journal!$A$3:$A$143,$B86,Journal!$F$3:$F$143,U$3))</f>
        <v/>
      </c>
      <c r="W86" s="86" t="str">
        <f>IF(SUMIFS(Journal!$D$3:$D$143,Journal!$A$3:$A$143,$B86,Journal!$E$3:$E$143,W$3)=0,"",SUMIFS(Journal!$D$3:$D$143,Journal!$A$3:$A$143,$B86,Journal!$E$3:$E$143,W$3))</f>
        <v/>
      </c>
      <c r="X86" s="86" t="str">
        <f>IF(SUMIFS(Journal!$D$3:$D$143,Journal!$A$3:$A$143,$B86,Journal!$F$3:$F$143,W$3)=0,"",SUMIFS(Journal!$D$3:$D$143,Journal!$A$3:$A$143,$B86,Journal!$F$3:$F$143,W$3))</f>
        <v/>
      </c>
      <c r="Y86" s="86" t="str">
        <f>IF(SUMIFS(Journal!$D$3:$D$143,Journal!$A$3:$A$143,$B86,Journal!$E$3:$E$143,Y$3)=0,"",SUMIFS(Journal!$D$3:$D$143,Journal!$A$3:$A$143,$B86,Journal!$E$3:$E$143,Y$3))</f>
        <v/>
      </c>
      <c r="Z86" s="86" t="str">
        <f>IF(SUMIFS(Journal!$D$3:$D$143,Journal!$A$3:$A$143,$B86,Journal!$F$3:$F$143,Y$3)=0,"",SUMIFS(Journal!$D$3:$D$143,Journal!$A$3:$A$143,$B86,Journal!$F$3:$F$143,Y$3))</f>
        <v/>
      </c>
      <c r="AA86" s="86" t="str">
        <f>IF(SUMIFS(Journal!$D$3:$D$143,Journal!$A$3:$A$143,$B86,Journal!$E$3:$E$143,AA$3)=0,"",SUMIFS(Journal!$D$3:$D$143,Journal!$A$3:$A$143,$B86,Journal!$E$3:$E$143,AA$3))</f>
        <v/>
      </c>
      <c r="AB86" s="86" t="str">
        <f>IF(SUMIFS(Journal!$D$3:$D$143,Journal!$A$3:$A$143,$B86,Journal!$F$3:$F$143,AA$3)=0,"",SUMIFS(Journal!$D$3:$D$143,Journal!$A$3:$A$143,$B86,Journal!$F$3:$F$143,AA$3))</f>
        <v/>
      </c>
      <c r="AC86" s="86" t="str">
        <f>IF(SUMIFS(Journal!$D$3:$D$143,Journal!$A$3:$A$143,$B86,Journal!$E$3:$E$143,AC$3)=0,"",SUMIFS(Journal!$D$3:$D$143,Journal!$A$3:$A$143,$B86,Journal!$E$3:$E$143,AC$3))</f>
        <v/>
      </c>
      <c r="AD86" s="86" t="str">
        <f>IF(SUMIFS(Journal!$D$3:$D$143,Journal!$A$3:$A$143,$B86,Journal!$F$3:$F$143,AC$3)=0,"",SUMIFS(Journal!$D$3:$D$143,Journal!$A$3:$A$143,$B86,Journal!$F$3:$F$143,AC$3))</f>
        <v/>
      </c>
      <c r="AE86" s="86" t="str">
        <f>IF(SUMIFS(Journal!$D$3:$D$143,Journal!$A$3:$A$143,$B86,Journal!$E$3:$E$143,AE$3)=0,"",SUMIFS(Journal!$D$3:$D$143,Journal!$A$3:$A$143,$B86,Journal!$E$3:$E$143,AE$3))</f>
        <v/>
      </c>
      <c r="AF86" s="86" t="str">
        <f>IF(SUMIFS(Journal!$D$3:$D$143,Journal!$A$3:$A$143,$B86,Journal!$F$3:$F$143,AE$3)=0,"",SUMIFS(Journal!$D$3:$D$143,Journal!$A$3:$A$143,$B86,Journal!$F$3:$F$143,AE$3))</f>
        <v/>
      </c>
      <c r="AG86" s="86" t="str">
        <f>IF(SUMIFS(Journal!$D$3:$D$143,Journal!$A$3:$A$143,$B86,Journal!$E$3:$E$143,AG$3)=0,"",SUMIFS(Journal!$D$3:$D$143,Journal!$A$3:$A$143,$B86,Journal!$E$3:$E$143,AG$3))</f>
        <v/>
      </c>
      <c r="AH86" s="86" t="str">
        <f>IF(SUMIFS(Journal!$D$3:$D$143,Journal!$A$3:$A$143,$B86,Journal!$F$3:$F$143,AG$3)=0,"",SUMIFS(Journal!$D$3:$D$143,Journal!$A$3:$A$143,$B86,Journal!$F$3:$F$143,AG$3))</f>
        <v/>
      </c>
      <c r="AI86" s="86">
        <f>IF(SUMIFS(Journal!$D$3:$D$143,Journal!$A$3:$A$143,$B86,Journal!$E$3:$E$143,AI$3)=0,"",SUMIFS(Journal!$D$3:$D$143,Journal!$A$3:$A$143,$B86,Journal!$E$3:$E$143,AI$3))</f>
        <v>5400</v>
      </c>
      <c r="AJ86" s="86" t="str">
        <f>IF(SUMIFS(Journal!$D$3:$D$143,Journal!$A$3:$A$143,$B86,Journal!$F$3:$F$143,AI$3)=0,"",SUMIFS(Journal!$D$3:$D$143,Journal!$A$3:$A$143,$B86,Journal!$F$3:$F$143,AI$3))</f>
        <v/>
      </c>
      <c r="AK86" s="86" t="str">
        <f>IF(SUMIFS(Journal!$D$3:$D$143,Journal!$A$3:$A$143,$B86,Journal!$E$3:$E$143,AK$3)=0,"",SUMIFS(Journal!$D$3:$D$143,Journal!$A$3:$A$143,$B86,Journal!$E$3:$E$143,AK$3))</f>
        <v/>
      </c>
      <c r="AL86" s="86" t="str">
        <f>IF(SUMIFS(Journal!$D$3:$D$143,Journal!$A$3:$A$143,$B86,Journal!$F$3:$F$143,AK$3)=0,"",SUMIFS(Journal!$D$3:$D$143,Journal!$A$3:$A$143,$B86,Journal!$F$3:$F$143,AK$3))</f>
        <v/>
      </c>
      <c r="AM86" s="86" t="str">
        <f>IF(SUMIFS(Journal!$D$3:$D$143,Journal!$A$3:$A$143,$B86,Journal!$E$3:$E$143,AM$3)=0,"",SUMIFS(Journal!$D$3:$D$143,Journal!$A$3:$A$143,$B86,Journal!$E$3:$E$143,AM$3))</f>
        <v/>
      </c>
      <c r="AN86" s="86" t="str">
        <f>IF(SUMIFS(Journal!$D$3:$D$143,Journal!$A$3:$A$143,$B86,Journal!$F$3:$F$143,AM$3)=0,"",SUMIFS(Journal!$D$3:$D$143,Journal!$A$3:$A$143,$B86,Journal!$F$3:$F$143,AM$3))</f>
        <v/>
      </c>
      <c r="AO86" s="86" t="str">
        <f>IF(SUMIFS(Journal!$D$3:$D$143,Journal!$A$3:$A$143,$B86,Journal!$E$3:$E$143,AO$3)=0,"",SUMIFS(Journal!$D$3:$D$143,Journal!$A$3:$A$143,$B86,Journal!$E$3:$E$143,AO$3))</f>
        <v/>
      </c>
      <c r="AP86" s="86" t="str">
        <f>IF(SUMIFS(Journal!$D$3:$D$143,Journal!$A$3:$A$143,$B86,Journal!$F$3:$F$143,AO$3)=0,"",SUMIFS(Journal!$D$3:$D$143,Journal!$A$3:$A$143,$B86,Journal!$F$3:$F$143,AO$3))</f>
        <v/>
      </c>
      <c r="AQ86" s="86" t="str">
        <f>IF(SUMIFS(Journal!$D$3:$D$143,Journal!$A$3:$A$143,$B86,Journal!$E$3:$E$143,AQ$3)=0,"",SUMIFS(Journal!$D$3:$D$143,Journal!$A$3:$A$143,$B86,Journal!$E$3:$E$143,AQ$3))</f>
        <v/>
      </c>
      <c r="AR86" s="86" t="str">
        <f>IF(SUMIFS(Journal!$D$3:$D$143,Journal!$A$3:$A$143,$B86,Journal!$F$3:$F$143,AQ$3)=0,"",SUMIFS(Journal!$D$3:$D$143,Journal!$A$3:$A$143,$B86,Journal!$F$3:$F$143,AQ$3))</f>
        <v/>
      </c>
      <c r="AS86" s="86" t="str">
        <f>IF(SUMIFS(Journal!$D$3:$D$143,Journal!$A$3:$A$143,$B86,Journal!$E$3:$E$143,AS$3)=0,"",SUMIFS(Journal!$D$3:$D$143,Journal!$A$3:$A$143,$B86,Journal!$E$3:$E$143,AS$3))</f>
        <v/>
      </c>
      <c r="AT86" s="86" t="str">
        <f>IF(SUMIFS(Journal!$D$3:$D$143,Journal!$A$3:$A$143,$B86,Journal!$F$3:$F$143,AS$3)=0,"",SUMIFS(Journal!$D$3:$D$143,Journal!$A$3:$A$143,$B86,Journal!$F$3:$F$143,AS$3))</f>
        <v/>
      </c>
      <c r="AU86" s="86" t="str">
        <f>IF(SUMIFS(Journal!$D$3:$D$143,Journal!$A$3:$A$143,$B86,Journal!$E$3:$E$143,AU$3)=0,"",SUMIFS(Journal!$D$3:$D$143,Journal!$A$3:$A$143,$B86,Journal!$E$3:$E$143,AU$3))</f>
        <v/>
      </c>
      <c r="AV86" s="86" t="str">
        <f>IF(SUMIFS(Journal!$D$3:$D$143,Journal!$A$3:$A$143,$B86,Journal!$F$3:$F$143,AU$3)=0,"",SUMIFS(Journal!$D$3:$D$143,Journal!$A$3:$A$143,$B86,Journal!$F$3:$F$143,AU$3))</f>
        <v/>
      </c>
      <c r="AW86" s="86" t="str">
        <f>IF(SUMIFS(Journal!$D$3:$D$143,Journal!$A$3:$A$143,$B86,Journal!$E$3:$E$143,AW$3)=0,"",SUMIFS(Journal!$D$3:$D$143,Journal!$A$3:$A$143,$B86,Journal!$E$3:$E$143,AW$3))</f>
        <v/>
      </c>
      <c r="AX86" s="86" t="str">
        <f>IF(SUMIFS(Journal!$D$3:$D$143,Journal!$A$3:$A$143,$B86,Journal!$F$3:$F$143,AW$3)=0,"",SUMIFS(Journal!$D$3:$D$143,Journal!$A$3:$A$143,$B86,Journal!$F$3:$F$143,AW$3))</f>
        <v/>
      </c>
      <c r="AY86" s="86" t="str">
        <f>IF(SUMIFS(Journal!$D$3:$D$143,Journal!$A$3:$A$143,$B86,Journal!$E$3:$E$143,AY$3)=0,"",SUMIFS(Journal!$D$3:$D$143,Journal!$A$3:$A$143,$B86,Journal!$E$3:$E$143,AY$3))</f>
        <v/>
      </c>
      <c r="AZ86" s="86" t="str">
        <f>IF(SUMIFS(Journal!$D$3:$D$143,Journal!$A$3:$A$143,$B86,Journal!$F$3:$F$143,AY$3)=0,"",SUMIFS(Journal!$D$3:$D$143,Journal!$A$3:$A$143,$B86,Journal!$F$3:$F$143,AY$3))</f>
        <v/>
      </c>
      <c r="BA86" s="86" t="str">
        <f>IF(SUMIFS(Journal!$D$3:$D$143,Journal!$A$3:$A$143,$B86,Journal!$E$3:$E$143,BA$3)=0,"",SUMIFS(Journal!$D$3:$D$143,Journal!$A$3:$A$143,$B86,Journal!$E$3:$E$143,BA$3))</f>
        <v/>
      </c>
      <c r="BB86" s="86" t="str">
        <f>IF(SUMIFS(Journal!$D$3:$D$143,Journal!$A$3:$A$143,$B86,Journal!$F$3:$F$143,BA$3)=0,"",SUMIFS(Journal!$D$3:$D$143,Journal!$A$3:$A$143,$B86,Journal!$F$3:$F$143,BA$3))</f>
        <v/>
      </c>
    </row>
    <row r="87">
      <c r="A87" s="84">
        <f>VLOOKUP(B87,Journal!$A$3:$C$143,2,FALSE)</f>
        <v>45510</v>
      </c>
      <c r="B87" s="85" t="s">
        <v>520</v>
      </c>
      <c r="C87" s="86" t="str">
        <f>VLOOKUP(B87,Journal!$A$3:$C$143,3,FALSE)</f>
        <v>Monthly business insurance premium</v>
      </c>
      <c r="D87" s="86">
        <f>SUMIF(Journal!$A$3:$A$143,B87,Journal!$D$3:$D$143)</f>
        <v>600</v>
      </c>
      <c r="E87" s="86" t="str">
        <f>IF(SUMIFS(Journal!$D$3:$D$143,Journal!$A$3:$A$143,$B87,Journal!$E$3:$E$143,E$3)=0,"",SUMIFS(Journal!$D$3:$D$143,Journal!$A$3:$A$143,$B87,Journal!$E$3:$E$143,E$3))</f>
        <v/>
      </c>
      <c r="F87" s="86">
        <f>IF(SUMIFS(Journal!$D$3:$D$143,Journal!$A$3:$A$143,$B87,Journal!$F$3:$F$143,E$3)=0,"",SUMIFS(Journal!$D$3:$D$143,Journal!$A$3:$A$143,$B87,Journal!$F$3:$F$143,E$3))</f>
        <v>600</v>
      </c>
      <c r="G87" s="86" t="str">
        <f>IF(SUMIFS(Journal!$D$3:$D$143,Journal!$A$3:$A$143,$B87,Journal!$E$3:$E$143,G$3)=0,"",SUMIFS(Journal!$D$3:$D$143,Journal!$A$3:$A$143,$B87,Journal!$E$3:$E$143,G$3))</f>
        <v/>
      </c>
      <c r="H87" s="86" t="str">
        <f>IF(SUMIFS(Journal!$D$3:$D$143,Journal!$A$3:$A$143,$B87,Journal!$F$3:$F$143,G$3)=0,"",SUMIFS(Journal!$D$3:$D$143,Journal!$A$3:$A$143,$B87,Journal!$F$3:$F$143,G$3))</f>
        <v/>
      </c>
      <c r="I87" s="86" t="str">
        <f>IF(SUMIFS(Journal!$D$3:$D$143,Journal!$A$3:$A$143,$B87,Journal!$E$3:$E$143,I$3)=0,"",SUMIFS(Journal!$D$3:$D$143,Journal!$A$3:$A$143,$B87,Journal!$E$3:$E$143,I$3))</f>
        <v/>
      </c>
      <c r="J87" s="86" t="str">
        <f>IF(SUMIFS(Journal!$D$3:$D$143,Journal!$A$3:$A$143,$B87,Journal!$F$3:$F$143,I$3)=0,"",SUMIFS(Journal!$D$3:$D$143,Journal!$A$3:$A$143,$B87,Journal!$F$3:$F$143,I$3))</f>
        <v/>
      </c>
      <c r="K87" s="86" t="str">
        <f>IF(SUMIFS(Journal!$D$3:$D$143,Journal!$A$3:$A$143,$B87,Journal!$E$3:$E$143,K$3)=0,"",SUMIFS(Journal!$D$3:$D$143,Journal!$A$3:$A$143,$B87,Journal!$E$3:$E$143,K$3))</f>
        <v/>
      </c>
      <c r="L87" s="86" t="str">
        <f>IF(SUMIFS(Journal!$D$3:$D$143,Journal!$A$3:$A$143,$B87,Journal!$F$3:$F$143,K$3)=0,"",SUMIFS(Journal!$D$3:$D$143,Journal!$A$3:$A$143,$B87,Journal!$F$3:$F$143,K$3))</f>
        <v/>
      </c>
      <c r="M87" s="86" t="str">
        <f>IF(SUMIFS(Journal!$D$3:$D$143,Journal!$A$3:$A$143,$B87,Journal!$E$3:$E$143,M$3)=0,"",SUMIFS(Journal!$D$3:$D$143,Journal!$A$3:$A$143,$B87,Journal!$E$3:$E$143,M$3))</f>
        <v/>
      </c>
      <c r="N87" s="86" t="str">
        <f>IF(SUMIFS(Journal!$D$3:$D$143,Journal!$A$3:$A$143,$B87,Journal!$F$3:$F$143,M$3)=0,"",SUMIFS(Journal!$D$3:$D$143,Journal!$A$3:$A$143,$B87,Journal!$F$3:$F$143,M$3))</f>
        <v/>
      </c>
      <c r="O87" s="86" t="str">
        <f>IF(SUMIFS(Journal!$D$3:$D$143,Journal!$A$3:$A$143,$B87,Journal!$E$3:$E$143,O$3)=0,"",SUMIFS(Journal!$D$3:$D$143,Journal!$A$3:$A$143,$B87,Journal!$E$3:$E$143,O$3))</f>
        <v/>
      </c>
      <c r="P87" s="86" t="str">
        <f>IF(SUMIFS(Journal!$D$3:$D$143,Journal!$A$3:$A$143,$B87,Journal!$F$3:$F$143,O$3)=0,"",SUMIFS(Journal!$D$3:$D$143,Journal!$A$3:$A$143,$B87,Journal!$F$3:$F$143,O$3))</f>
        <v/>
      </c>
      <c r="Q87" s="86" t="str">
        <f>IF(SUMIFS(Journal!$D$3:$D$143,Journal!$A$3:$A$143,$B87,Journal!$E$3:$E$143,Q$3)=0,"",SUMIFS(Journal!$D$3:$D$143,Journal!$A$3:$A$143,$B87,Journal!$E$3:$E$143,Q$3))</f>
        <v/>
      </c>
      <c r="R87" s="86" t="str">
        <f>IF(SUMIFS(Journal!$D$3:$D$143,Journal!$A$3:$A$143,$B87,Journal!$F$3:$F$143,Q$3)=0,"",SUMIFS(Journal!$D$3:$D$143,Journal!$A$3:$A$143,$B87,Journal!$F$3:$F$143,Q$3))</f>
        <v/>
      </c>
      <c r="S87" s="86" t="str">
        <f>IF(SUMIFS(Journal!$D$3:$D$143,Journal!$A$3:$A$143,$B87,Journal!$E$3:$E$143,S$3)=0,"",SUMIFS(Journal!$D$3:$D$143,Journal!$A$3:$A$143,$B87,Journal!$E$3:$E$143,S$3))</f>
        <v/>
      </c>
      <c r="T87" s="86" t="str">
        <f>IF(SUMIFS(Journal!$D$3:$D$143,Journal!$A$3:$A$143,$B87,Journal!$F$3:$F$143,S$3)=0,"",SUMIFS(Journal!$D$3:$D$143,Journal!$A$3:$A$143,$B87,Journal!$F$3:$F$143,S$3))</f>
        <v/>
      </c>
      <c r="U87" s="86" t="str">
        <f>IF(SUMIFS(Journal!$D$3:$D$143,Journal!$A$3:$A$143,$B87,Journal!$E$3:$E$143,U$3)=0,"",SUMIFS(Journal!$D$3:$D$143,Journal!$A$3:$A$143,$B87,Journal!$E$3:$E$143,U$3))</f>
        <v/>
      </c>
      <c r="V87" s="86" t="str">
        <f>IF(SUMIFS(Journal!$D$3:$D$143,Journal!$A$3:$A$143,$B87,Journal!$F$3:$F$143,U$3)=0,"",SUMIFS(Journal!$D$3:$D$143,Journal!$A$3:$A$143,$B87,Journal!$F$3:$F$143,U$3))</f>
        <v/>
      </c>
      <c r="W87" s="86" t="str">
        <f>IF(SUMIFS(Journal!$D$3:$D$143,Journal!$A$3:$A$143,$B87,Journal!$E$3:$E$143,W$3)=0,"",SUMIFS(Journal!$D$3:$D$143,Journal!$A$3:$A$143,$B87,Journal!$E$3:$E$143,W$3))</f>
        <v/>
      </c>
      <c r="X87" s="86" t="str">
        <f>IF(SUMIFS(Journal!$D$3:$D$143,Journal!$A$3:$A$143,$B87,Journal!$F$3:$F$143,W$3)=0,"",SUMIFS(Journal!$D$3:$D$143,Journal!$A$3:$A$143,$B87,Journal!$F$3:$F$143,W$3))</f>
        <v/>
      </c>
      <c r="Y87" s="86" t="str">
        <f>IF(SUMIFS(Journal!$D$3:$D$143,Journal!$A$3:$A$143,$B87,Journal!$E$3:$E$143,Y$3)=0,"",SUMIFS(Journal!$D$3:$D$143,Journal!$A$3:$A$143,$B87,Journal!$E$3:$E$143,Y$3))</f>
        <v/>
      </c>
      <c r="Z87" s="86" t="str">
        <f>IF(SUMIFS(Journal!$D$3:$D$143,Journal!$A$3:$A$143,$B87,Journal!$F$3:$F$143,Y$3)=0,"",SUMIFS(Journal!$D$3:$D$143,Journal!$A$3:$A$143,$B87,Journal!$F$3:$F$143,Y$3))</f>
        <v/>
      </c>
      <c r="AA87" s="86" t="str">
        <f>IF(SUMIFS(Journal!$D$3:$D$143,Journal!$A$3:$A$143,$B87,Journal!$E$3:$E$143,AA$3)=0,"",SUMIFS(Journal!$D$3:$D$143,Journal!$A$3:$A$143,$B87,Journal!$E$3:$E$143,AA$3))</f>
        <v/>
      </c>
      <c r="AB87" s="86" t="str">
        <f>IF(SUMIFS(Journal!$D$3:$D$143,Journal!$A$3:$A$143,$B87,Journal!$F$3:$F$143,AA$3)=0,"",SUMIFS(Journal!$D$3:$D$143,Journal!$A$3:$A$143,$B87,Journal!$F$3:$F$143,AA$3))</f>
        <v/>
      </c>
      <c r="AC87" s="86" t="str">
        <f>IF(SUMIFS(Journal!$D$3:$D$143,Journal!$A$3:$A$143,$B87,Journal!$E$3:$E$143,AC$3)=0,"",SUMIFS(Journal!$D$3:$D$143,Journal!$A$3:$A$143,$B87,Journal!$E$3:$E$143,AC$3))</f>
        <v/>
      </c>
      <c r="AD87" s="86" t="str">
        <f>IF(SUMIFS(Journal!$D$3:$D$143,Journal!$A$3:$A$143,$B87,Journal!$F$3:$F$143,AC$3)=0,"",SUMIFS(Journal!$D$3:$D$143,Journal!$A$3:$A$143,$B87,Journal!$F$3:$F$143,AC$3))</f>
        <v/>
      </c>
      <c r="AE87" s="86" t="str">
        <f>IF(SUMIFS(Journal!$D$3:$D$143,Journal!$A$3:$A$143,$B87,Journal!$E$3:$E$143,AE$3)=0,"",SUMIFS(Journal!$D$3:$D$143,Journal!$A$3:$A$143,$B87,Journal!$E$3:$E$143,AE$3))</f>
        <v/>
      </c>
      <c r="AF87" s="86" t="str">
        <f>IF(SUMIFS(Journal!$D$3:$D$143,Journal!$A$3:$A$143,$B87,Journal!$F$3:$F$143,AE$3)=0,"",SUMIFS(Journal!$D$3:$D$143,Journal!$A$3:$A$143,$B87,Journal!$F$3:$F$143,AE$3))</f>
        <v/>
      </c>
      <c r="AG87" s="86" t="str">
        <f>IF(SUMIFS(Journal!$D$3:$D$143,Journal!$A$3:$A$143,$B87,Journal!$E$3:$E$143,AG$3)=0,"",SUMIFS(Journal!$D$3:$D$143,Journal!$A$3:$A$143,$B87,Journal!$E$3:$E$143,AG$3))</f>
        <v/>
      </c>
      <c r="AH87" s="86" t="str">
        <f>IF(SUMIFS(Journal!$D$3:$D$143,Journal!$A$3:$A$143,$B87,Journal!$F$3:$F$143,AG$3)=0,"",SUMIFS(Journal!$D$3:$D$143,Journal!$A$3:$A$143,$B87,Journal!$F$3:$F$143,AG$3))</f>
        <v/>
      </c>
      <c r="AI87" s="86" t="str">
        <f>IF(SUMIFS(Journal!$D$3:$D$143,Journal!$A$3:$A$143,$B87,Journal!$E$3:$E$143,AI$3)=0,"",SUMIFS(Journal!$D$3:$D$143,Journal!$A$3:$A$143,$B87,Journal!$E$3:$E$143,AI$3))</f>
        <v/>
      </c>
      <c r="AJ87" s="86" t="str">
        <f>IF(SUMIFS(Journal!$D$3:$D$143,Journal!$A$3:$A$143,$B87,Journal!$F$3:$F$143,AI$3)=0,"",SUMIFS(Journal!$D$3:$D$143,Journal!$A$3:$A$143,$B87,Journal!$F$3:$F$143,AI$3))</f>
        <v/>
      </c>
      <c r="AK87" s="86">
        <f>IF(SUMIFS(Journal!$D$3:$D$143,Journal!$A$3:$A$143,$B87,Journal!$E$3:$E$143,AK$3)=0,"",SUMIFS(Journal!$D$3:$D$143,Journal!$A$3:$A$143,$B87,Journal!$E$3:$E$143,AK$3))</f>
        <v>600</v>
      </c>
      <c r="AL87" s="86" t="str">
        <f>IF(SUMIFS(Journal!$D$3:$D$143,Journal!$A$3:$A$143,$B87,Journal!$F$3:$F$143,AK$3)=0,"",SUMIFS(Journal!$D$3:$D$143,Journal!$A$3:$A$143,$B87,Journal!$F$3:$F$143,AK$3))</f>
        <v/>
      </c>
      <c r="AM87" s="86" t="str">
        <f>IF(SUMIFS(Journal!$D$3:$D$143,Journal!$A$3:$A$143,$B87,Journal!$E$3:$E$143,AM$3)=0,"",SUMIFS(Journal!$D$3:$D$143,Journal!$A$3:$A$143,$B87,Journal!$E$3:$E$143,AM$3))</f>
        <v/>
      </c>
      <c r="AN87" s="86" t="str">
        <f>IF(SUMIFS(Journal!$D$3:$D$143,Journal!$A$3:$A$143,$B87,Journal!$F$3:$F$143,AM$3)=0,"",SUMIFS(Journal!$D$3:$D$143,Journal!$A$3:$A$143,$B87,Journal!$F$3:$F$143,AM$3))</f>
        <v/>
      </c>
      <c r="AO87" s="86" t="str">
        <f>IF(SUMIFS(Journal!$D$3:$D$143,Journal!$A$3:$A$143,$B87,Journal!$E$3:$E$143,AO$3)=0,"",SUMIFS(Journal!$D$3:$D$143,Journal!$A$3:$A$143,$B87,Journal!$E$3:$E$143,AO$3))</f>
        <v/>
      </c>
      <c r="AP87" s="86" t="str">
        <f>IF(SUMIFS(Journal!$D$3:$D$143,Journal!$A$3:$A$143,$B87,Journal!$F$3:$F$143,AO$3)=0,"",SUMIFS(Journal!$D$3:$D$143,Journal!$A$3:$A$143,$B87,Journal!$F$3:$F$143,AO$3))</f>
        <v/>
      </c>
      <c r="AQ87" s="86" t="str">
        <f>IF(SUMIFS(Journal!$D$3:$D$143,Journal!$A$3:$A$143,$B87,Journal!$E$3:$E$143,AQ$3)=0,"",SUMIFS(Journal!$D$3:$D$143,Journal!$A$3:$A$143,$B87,Journal!$E$3:$E$143,AQ$3))</f>
        <v/>
      </c>
      <c r="AR87" s="86" t="str">
        <f>IF(SUMIFS(Journal!$D$3:$D$143,Journal!$A$3:$A$143,$B87,Journal!$F$3:$F$143,AQ$3)=0,"",SUMIFS(Journal!$D$3:$D$143,Journal!$A$3:$A$143,$B87,Journal!$F$3:$F$143,AQ$3))</f>
        <v/>
      </c>
      <c r="AS87" s="86" t="str">
        <f>IF(SUMIFS(Journal!$D$3:$D$143,Journal!$A$3:$A$143,$B87,Journal!$E$3:$E$143,AS$3)=0,"",SUMIFS(Journal!$D$3:$D$143,Journal!$A$3:$A$143,$B87,Journal!$E$3:$E$143,AS$3))</f>
        <v/>
      </c>
      <c r="AT87" s="86" t="str">
        <f>IF(SUMIFS(Journal!$D$3:$D$143,Journal!$A$3:$A$143,$B87,Journal!$F$3:$F$143,AS$3)=0,"",SUMIFS(Journal!$D$3:$D$143,Journal!$A$3:$A$143,$B87,Journal!$F$3:$F$143,AS$3))</f>
        <v/>
      </c>
      <c r="AU87" s="86" t="str">
        <f>IF(SUMIFS(Journal!$D$3:$D$143,Journal!$A$3:$A$143,$B87,Journal!$E$3:$E$143,AU$3)=0,"",SUMIFS(Journal!$D$3:$D$143,Journal!$A$3:$A$143,$B87,Journal!$E$3:$E$143,AU$3))</f>
        <v/>
      </c>
      <c r="AV87" s="86" t="str">
        <f>IF(SUMIFS(Journal!$D$3:$D$143,Journal!$A$3:$A$143,$B87,Journal!$F$3:$F$143,AU$3)=0,"",SUMIFS(Journal!$D$3:$D$143,Journal!$A$3:$A$143,$B87,Journal!$F$3:$F$143,AU$3))</f>
        <v/>
      </c>
      <c r="AW87" s="86" t="str">
        <f>IF(SUMIFS(Journal!$D$3:$D$143,Journal!$A$3:$A$143,$B87,Journal!$E$3:$E$143,AW$3)=0,"",SUMIFS(Journal!$D$3:$D$143,Journal!$A$3:$A$143,$B87,Journal!$E$3:$E$143,AW$3))</f>
        <v/>
      </c>
      <c r="AX87" s="86" t="str">
        <f>IF(SUMIFS(Journal!$D$3:$D$143,Journal!$A$3:$A$143,$B87,Journal!$F$3:$F$143,AW$3)=0,"",SUMIFS(Journal!$D$3:$D$143,Journal!$A$3:$A$143,$B87,Journal!$F$3:$F$143,AW$3))</f>
        <v/>
      </c>
      <c r="AY87" s="86" t="str">
        <f>IF(SUMIFS(Journal!$D$3:$D$143,Journal!$A$3:$A$143,$B87,Journal!$E$3:$E$143,AY$3)=0,"",SUMIFS(Journal!$D$3:$D$143,Journal!$A$3:$A$143,$B87,Journal!$E$3:$E$143,AY$3))</f>
        <v/>
      </c>
      <c r="AZ87" s="86" t="str">
        <f>IF(SUMIFS(Journal!$D$3:$D$143,Journal!$A$3:$A$143,$B87,Journal!$F$3:$F$143,AY$3)=0,"",SUMIFS(Journal!$D$3:$D$143,Journal!$A$3:$A$143,$B87,Journal!$F$3:$F$143,AY$3))</f>
        <v/>
      </c>
      <c r="BA87" s="86" t="str">
        <f>IF(SUMIFS(Journal!$D$3:$D$143,Journal!$A$3:$A$143,$B87,Journal!$E$3:$E$143,BA$3)=0,"",SUMIFS(Journal!$D$3:$D$143,Journal!$A$3:$A$143,$B87,Journal!$E$3:$E$143,BA$3))</f>
        <v/>
      </c>
      <c r="BB87" s="86" t="str">
        <f>IF(SUMIFS(Journal!$D$3:$D$143,Journal!$A$3:$A$143,$B87,Journal!$F$3:$F$143,BA$3)=0,"",SUMIFS(Journal!$D$3:$D$143,Journal!$A$3:$A$143,$B87,Journal!$F$3:$F$143,BA$3))</f>
        <v/>
      </c>
    </row>
    <row r="88">
      <c r="A88" s="84">
        <f>VLOOKUP(B88,Journal!$A$3:$C$143,2,FALSE)</f>
        <v>45516</v>
      </c>
      <c r="B88" s="85" t="s">
        <v>523</v>
      </c>
      <c r="C88" s="86" t="str">
        <f>VLOOKUP(B88,Journal!$A$3:$C$143,3,FALSE)</f>
        <v>Equipment rental receipts batch</v>
      </c>
      <c r="D88" s="86">
        <f>SUMIF(Journal!$A$3:$A$143,B88,Journal!$D$3:$D$143)</f>
        <v>15000</v>
      </c>
      <c r="E88" s="86">
        <f>IF(SUMIFS(Journal!$D$3:$D$143,Journal!$A$3:$A$143,$B88,Journal!$E$3:$E$143,E$3)=0,"",SUMIFS(Journal!$D$3:$D$143,Journal!$A$3:$A$143,$B88,Journal!$E$3:$E$143,E$3))</f>
        <v>15000</v>
      </c>
      <c r="F88" s="86" t="str">
        <f>IF(SUMIFS(Journal!$D$3:$D$143,Journal!$A$3:$A$143,$B88,Journal!$F$3:$F$143,E$3)=0,"",SUMIFS(Journal!$D$3:$D$143,Journal!$A$3:$A$143,$B88,Journal!$F$3:$F$143,E$3))</f>
        <v/>
      </c>
      <c r="G88" s="86" t="str">
        <f>IF(SUMIFS(Journal!$D$3:$D$143,Journal!$A$3:$A$143,$B88,Journal!$E$3:$E$143,G$3)=0,"",SUMIFS(Journal!$D$3:$D$143,Journal!$A$3:$A$143,$B88,Journal!$E$3:$E$143,G$3))</f>
        <v/>
      </c>
      <c r="H88" s="86" t="str">
        <f>IF(SUMIFS(Journal!$D$3:$D$143,Journal!$A$3:$A$143,$B88,Journal!$F$3:$F$143,G$3)=0,"",SUMIFS(Journal!$D$3:$D$143,Journal!$A$3:$A$143,$B88,Journal!$F$3:$F$143,G$3))</f>
        <v/>
      </c>
      <c r="I88" s="86" t="str">
        <f>IF(SUMIFS(Journal!$D$3:$D$143,Journal!$A$3:$A$143,$B88,Journal!$E$3:$E$143,I$3)=0,"",SUMIFS(Journal!$D$3:$D$143,Journal!$A$3:$A$143,$B88,Journal!$E$3:$E$143,I$3))</f>
        <v/>
      </c>
      <c r="J88" s="86" t="str">
        <f>IF(SUMIFS(Journal!$D$3:$D$143,Journal!$A$3:$A$143,$B88,Journal!$F$3:$F$143,I$3)=0,"",SUMIFS(Journal!$D$3:$D$143,Journal!$A$3:$A$143,$B88,Journal!$F$3:$F$143,I$3))</f>
        <v/>
      </c>
      <c r="K88" s="86" t="str">
        <f>IF(SUMIFS(Journal!$D$3:$D$143,Journal!$A$3:$A$143,$B88,Journal!$E$3:$E$143,K$3)=0,"",SUMIFS(Journal!$D$3:$D$143,Journal!$A$3:$A$143,$B88,Journal!$E$3:$E$143,K$3))</f>
        <v/>
      </c>
      <c r="L88" s="86" t="str">
        <f>IF(SUMIFS(Journal!$D$3:$D$143,Journal!$A$3:$A$143,$B88,Journal!$F$3:$F$143,K$3)=0,"",SUMIFS(Journal!$D$3:$D$143,Journal!$A$3:$A$143,$B88,Journal!$F$3:$F$143,K$3))</f>
        <v/>
      </c>
      <c r="M88" s="86" t="str">
        <f>IF(SUMIFS(Journal!$D$3:$D$143,Journal!$A$3:$A$143,$B88,Journal!$E$3:$E$143,M$3)=0,"",SUMIFS(Journal!$D$3:$D$143,Journal!$A$3:$A$143,$B88,Journal!$E$3:$E$143,M$3))</f>
        <v/>
      </c>
      <c r="N88" s="86" t="str">
        <f>IF(SUMIFS(Journal!$D$3:$D$143,Journal!$A$3:$A$143,$B88,Journal!$F$3:$F$143,M$3)=0,"",SUMIFS(Journal!$D$3:$D$143,Journal!$A$3:$A$143,$B88,Journal!$F$3:$F$143,M$3))</f>
        <v/>
      </c>
      <c r="O88" s="86" t="str">
        <f>IF(SUMIFS(Journal!$D$3:$D$143,Journal!$A$3:$A$143,$B88,Journal!$E$3:$E$143,O$3)=0,"",SUMIFS(Journal!$D$3:$D$143,Journal!$A$3:$A$143,$B88,Journal!$E$3:$E$143,O$3))</f>
        <v/>
      </c>
      <c r="P88" s="86" t="str">
        <f>IF(SUMIFS(Journal!$D$3:$D$143,Journal!$A$3:$A$143,$B88,Journal!$F$3:$F$143,O$3)=0,"",SUMIFS(Journal!$D$3:$D$143,Journal!$A$3:$A$143,$B88,Journal!$F$3:$F$143,O$3))</f>
        <v/>
      </c>
      <c r="Q88" s="86" t="str">
        <f>IF(SUMIFS(Journal!$D$3:$D$143,Journal!$A$3:$A$143,$B88,Journal!$E$3:$E$143,Q$3)=0,"",SUMIFS(Journal!$D$3:$D$143,Journal!$A$3:$A$143,$B88,Journal!$E$3:$E$143,Q$3))</f>
        <v/>
      </c>
      <c r="R88" s="86" t="str">
        <f>IF(SUMIFS(Journal!$D$3:$D$143,Journal!$A$3:$A$143,$B88,Journal!$F$3:$F$143,Q$3)=0,"",SUMIFS(Journal!$D$3:$D$143,Journal!$A$3:$A$143,$B88,Journal!$F$3:$F$143,Q$3))</f>
        <v/>
      </c>
      <c r="S88" s="86" t="str">
        <f>IF(SUMIFS(Journal!$D$3:$D$143,Journal!$A$3:$A$143,$B88,Journal!$E$3:$E$143,S$3)=0,"",SUMIFS(Journal!$D$3:$D$143,Journal!$A$3:$A$143,$B88,Journal!$E$3:$E$143,S$3))</f>
        <v/>
      </c>
      <c r="T88" s="86" t="str">
        <f>IF(SUMIFS(Journal!$D$3:$D$143,Journal!$A$3:$A$143,$B88,Journal!$F$3:$F$143,S$3)=0,"",SUMIFS(Journal!$D$3:$D$143,Journal!$A$3:$A$143,$B88,Journal!$F$3:$F$143,S$3))</f>
        <v/>
      </c>
      <c r="U88" s="86" t="str">
        <f>IF(SUMIFS(Journal!$D$3:$D$143,Journal!$A$3:$A$143,$B88,Journal!$E$3:$E$143,U$3)=0,"",SUMIFS(Journal!$D$3:$D$143,Journal!$A$3:$A$143,$B88,Journal!$E$3:$E$143,U$3))</f>
        <v/>
      </c>
      <c r="V88" s="86" t="str">
        <f>IF(SUMIFS(Journal!$D$3:$D$143,Journal!$A$3:$A$143,$B88,Journal!$F$3:$F$143,U$3)=0,"",SUMIFS(Journal!$D$3:$D$143,Journal!$A$3:$A$143,$B88,Journal!$F$3:$F$143,U$3))</f>
        <v/>
      </c>
      <c r="W88" s="86" t="str">
        <f>IF(SUMIFS(Journal!$D$3:$D$143,Journal!$A$3:$A$143,$B88,Journal!$E$3:$E$143,W$3)=0,"",SUMIFS(Journal!$D$3:$D$143,Journal!$A$3:$A$143,$B88,Journal!$E$3:$E$143,W$3))</f>
        <v/>
      </c>
      <c r="X88" s="86">
        <f>IF(SUMIFS(Journal!$D$3:$D$143,Journal!$A$3:$A$143,$B88,Journal!$F$3:$F$143,W$3)=0,"",SUMIFS(Journal!$D$3:$D$143,Journal!$A$3:$A$143,$B88,Journal!$F$3:$F$143,W$3))</f>
        <v>15000</v>
      </c>
      <c r="Y88" s="86" t="str">
        <f>IF(SUMIFS(Journal!$D$3:$D$143,Journal!$A$3:$A$143,$B88,Journal!$E$3:$E$143,Y$3)=0,"",SUMIFS(Journal!$D$3:$D$143,Journal!$A$3:$A$143,$B88,Journal!$E$3:$E$143,Y$3))</f>
        <v/>
      </c>
      <c r="Z88" s="86" t="str">
        <f>IF(SUMIFS(Journal!$D$3:$D$143,Journal!$A$3:$A$143,$B88,Journal!$F$3:$F$143,Y$3)=0,"",SUMIFS(Journal!$D$3:$D$143,Journal!$A$3:$A$143,$B88,Journal!$F$3:$F$143,Y$3))</f>
        <v/>
      </c>
      <c r="AA88" s="86" t="str">
        <f>IF(SUMIFS(Journal!$D$3:$D$143,Journal!$A$3:$A$143,$B88,Journal!$E$3:$E$143,AA$3)=0,"",SUMIFS(Journal!$D$3:$D$143,Journal!$A$3:$A$143,$B88,Journal!$E$3:$E$143,AA$3))</f>
        <v/>
      </c>
      <c r="AB88" s="86" t="str">
        <f>IF(SUMIFS(Journal!$D$3:$D$143,Journal!$A$3:$A$143,$B88,Journal!$F$3:$F$143,AA$3)=0,"",SUMIFS(Journal!$D$3:$D$143,Journal!$A$3:$A$143,$B88,Journal!$F$3:$F$143,AA$3))</f>
        <v/>
      </c>
      <c r="AC88" s="86" t="str">
        <f>IF(SUMIFS(Journal!$D$3:$D$143,Journal!$A$3:$A$143,$B88,Journal!$E$3:$E$143,AC$3)=0,"",SUMIFS(Journal!$D$3:$D$143,Journal!$A$3:$A$143,$B88,Journal!$E$3:$E$143,AC$3))</f>
        <v/>
      </c>
      <c r="AD88" s="86" t="str">
        <f>IF(SUMIFS(Journal!$D$3:$D$143,Journal!$A$3:$A$143,$B88,Journal!$F$3:$F$143,AC$3)=0,"",SUMIFS(Journal!$D$3:$D$143,Journal!$A$3:$A$143,$B88,Journal!$F$3:$F$143,AC$3))</f>
        <v/>
      </c>
      <c r="AE88" s="86" t="str">
        <f>IF(SUMIFS(Journal!$D$3:$D$143,Journal!$A$3:$A$143,$B88,Journal!$E$3:$E$143,AE$3)=0,"",SUMIFS(Journal!$D$3:$D$143,Journal!$A$3:$A$143,$B88,Journal!$E$3:$E$143,AE$3))</f>
        <v/>
      </c>
      <c r="AF88" s="86" t="str">
        <f>IF(SUMIFS(Journal!$D$3:$D$143,Journal!$A$3:$A$143,$B88,Journal!$F$3:$F$143,AE$3)=0,"",SUMIFS(Journal!$D$3:$D$143,Journal!$A$3:$A$143,$B88,Journal!$F$3:$F$143,AE$3))</f>
        <v/>
      </c>
      <c r="AG88" s="86" t="str">
        <f>IF(SUMIFS(Journal!$D$3:$D$143,Journal!$A$3:$A$143,$B88,Journal!$E$3:$E$143,AG$3)=0,"",SUMIFS(Journal!$D$3:$D$143,Journal!$A$3:$A$143,$B88,Journal!$E$3:$E$143,AG$3))</f>
        <v/>
      </c>
      <c r="AH88" s="86" t="str">
        <f>IF(SUMIFS(Journal!$D$3:$D$143,Journal!$A$3:$A$143,$B88,Journal!$F$3:$F$143,AG$3)=0,"",SUMIFS(Journal!$D$3:$D$143,Journal!$A$3:$A$143,$B88,Journal!$F$3:$F$143,AG$3))</f>
        <v/>
      </c>
      <c r="AI88" s="86" t="str">
        <f>IF(SUMIFS(Journal!$D$3:$D$143,Journal!$A$3:$A$143,$B88,Journal!$E$3:$E$143,AI$3)=0,"",SUMIFS(Journal!$D$3:$D$143,Journal!$A$3:$A$143,$B88,Journal!$E$3:$E$143,AI$3))</f>
        <v/>
      </c>
      <c r="AJ88" s="86" t="str">
        <f>IF(SUMIFS(Journal!$D$3:$D$143,Journal!$A$3:$A$143,$B88,Journal!$F$3:$F$143,AI$3)=0,"",SUMIFS(Journal!$D$3:$D$143,Journal!$A$3:$A$143,$B88,Journal!$F$3:$F$143,AI$3))</f>
        <v/>
      </c>
      <c r="AK88" s="86" t="str">
        <f>IF(SUMIFS(Journal!$D$3:$D$143,Journal!$A$3:$A$143,$B88,Journal!$E$3:$E$143,AK$3)=0,"",SUMIFS(Journal!$D$3:$D$143,Journal!$A$3:$A$143,$B88,Journal!$E$3:$E$143,AK$3))</f>
        <v/>
      </c>
      <c r="AL88" s="86" t="str">
        <f>IF(SUMIFS(Journal!$D$3:$D$143,Journal!$A$3:$A$143,$B88,Journal!$F$3:$F$143,AK$3)=0,"",SUMIFS(Journal!$D$3:$D$143,Journal!$A$3:$A$143,$B88,Journal!$F$3:$F$143,AK$3))</f>
        <v/>
      </c>
      <c r="AM88" s="86" t="str">
        <f>IF(SUMIFS(Journal!$D$3:$D$143,Journal!$A$3:$A$143,$B88,Journal!$E$3:$E$143,AM$3)=0,"",SUMIFS(Journal!$D$3:$D$143,Journal!$A$3:$A$143,$B88,Journal!$E$3:$E$143,AM$3))</f>
        <v/>
      </c>
      <c r="AN88" s="86" t="str">
        <f>IF(SUMIFS(Journal!$D$3:$D$143,Journal!$A$3:$A$143,$B88,Journal!$F$3:$F$143,AM$3)=0,"",SUMIFS(Journal!$D$3:$D$143,Journal!$A$3:$A$143,$B88,Journal!$F$3:$F$143,AM$3))</f>
        <v/>
      </c>
      <c r="AO88" s="86" t="str">
        <f>IF(SUMIFS(Journal!$D$3:$D$143,Journal!$A$3:$A$143,$B88,Journal!$E$3:$E$143,AO$3)=0,"",SUMIFS(Journal!$D$3:$D$143,Journal!$A$3:$A$143,$B88,Journal!$E$3:$E$143,AO$3))</f>
        <v/>
      </c>
      <c r="AP88" s="86" t="str">
        <f>IF(SUMIFS(Journal!$D$3:$D$143,Journal!$A$3:$A$143,$B88,Journal!$F$3:$F$143,AO$3)=0,"",SUMIFS(Journal!$D$3:$D$143,Journal!$A$3:$A$143,$B88,Journal!$F$3:$F$143,AO$3))</f>
        <v/>
      </c>
      <c r="AQ88" s="86" t="str">
        <f>IF(SUMIFS(Journal!$D$3:$D$143,Journal!$A$3:$A$143,$B88,Journal!$E$3:$E$143,AQ$3)=0,"",SUMIFS(Journal!$D$3:$D$143,Journal!$A$3:$A$143,$B88,Journal!$E$3:$E$143,AQ$3))</f>
        <v/>
      </c>
      <c r="AR88" s="86" t="str">
        <f>IF(SUMIFS(Journal!$D$3:$D$143,Journal!$A$3:$A$143,$B88,Journal!$F$3:$F$143,AQ$3)=0,"",SUMIFS(Journal!$D$3:$D$143,Journal!$A$3:$A$143,$B88,Journal!$F$3:$F$143,AQ$3))</f>
        <v/>
      </c>
      <c r="AS88" s="86" t="str">
        <f>IF(SUMIFS(Journal!$D$3:$D$143,Journal!$A$3:$A$143,$B88,Journal!$E$3:$E$143,AS$3)=0,"",SUMIFS(Journal!$D$3:$D$143,Journal!$A$3:$A$143,$B88,Journal!$E$3:$E$143,AS$3))</f>
        <v/>
      </c>
      <c r="AT88" s="86" t="str">
        <f>IF(SUMIFS(Journal!$D$3:$D$143,Journal!$A$3:$A$143,$B88,Journal!$F$3:$F$143,AS$3)=0,"",SUMIFS(Journal!$D$3:$D$143,Journal!$A$3:$A$143,$B88,Journal!$F$3:$F$143,AS$3))</f>
        <v/>
      </c>
      <c r="AU88" s="86" t="str">
        <f>IF(SUMIFS(Journal!$D$3:$D$143,Journal!$A$3:$A$143,$B88,Journal!$E$3:$E$143,AU$3)=0,"",SUMIFS(Journal!$D$3:$D$143,Journal!$A$3:$A$143,$B88,Journal!$E$3:$E$143,AU$3))</f>
        <v/>
      </c>
      <c r="AV88" s="86" t="str">
        <f>IF(SUMIFS(Journal!$D$3:$D$143,Journal!$A$3:$A$143,$B88,Journal!$F$3:$F$143,AU$3)=0,"",SUMIFS(Journal!$D$3:$D$143,Journal!$A$3:$A$143,$B88,Journal!$F$3:$F$143,AU$3))</f>
        <v/>
      </c>
      <c r="AW88" s="86" t="str">
        <f>IF(SUMIFS(Journal!$D$3:$D$143,Journal!$A$3:$A$143,$B88,Journal!$E$3:$E$143,AW$3)=0,"",SUMIFS(Journal!$D$3:$D$143,Journal!$A$3:$A$143,$B88,Journal!$E$3:$E$143,AW$3))</f>
        <v/>
      </c>
      <c r="AX88" s="86" t="str">
        <f>IF(SUMIFS(Journal!$D$3:$D$143,Journal!$A$3:$A$143,$B88,Journal!$F$3:$F$143,AW$3)=0,"",SUMIFS(Journal!$D$3:$D$143,Journal!$A$3:$A$143,$B88,Journal!$F$3:$F$143,AW$3))</f>
        <v/>
      </c>
      <c r="AY88" s="86" t="str">
        <f>IF(SUMIFS(Journal!$D$3:$D$143,Journal!$A$3:$A$143,$B88,Journal!$E$3:$E$143,AY$3)=0,"",SUMIFS(Journal!$D$3:$D$143,Journal!$A$3:$A$143,$B88,Journal!$E$3:$E$143,AY$3))</f>
        <v/>
      </c>
      <c r="AZ88" s="86" t="str">
        <f>IF(SUMIFS(Journal!$D$3:$D$143,Journal!$A$3:$A$143,$B88,Journal!$F$3:$F$143,AY$3)=0,"",SUMIFS(Journal!$D$3:$D$143,Journal!$A$3:$A$143,$B88,Journal!$F$3:$F$143,AY$3))</f>
        <v/>
      </c>
      <c r="BA88" s="86" t="str">
        <f>IF(SUMIFS(Journal!$D$3:$D$143,Journal!$A$3:$A$143,$B88,Journal!$E$3:$E$143,BA$3)=0,"",SUMIFS(Journal!$D$3:$D$143,Journal!$A$3:$A$143,$B88,Journal!$E$3:$E$143,BA$3))</f>
        <v/>
      </c>
      <c r="BB88" s="86" t="str">
        <f>IF(SUMIFS(Journal!$D$3:$D$143,Journal!$A$3:$A$143,$B88,Journal!$F$3:$F$143,BA$3)=0,"",SUMIFS(Journal!$D$3:$D$143,Journal!$A$3:$A$143,$B88,Journal!$F$3:$F$143,BA$3))</f>
        <v/>
      </c>
    </row>
    <row r="89">
      <c r="A89" s="84">
        <f>VLOOKUP(B89,Journal!$A$3:$C$143,2,FALSE)</f>
        <v>45522</v>
      </c>
      <c r="B89" s="85" t="s">
        <v>525</v>
      </c>
      <c r="C89" s="86" t="str">
        <f>VLOOKUP(B89,Journal!$A$3:$C$143,3,FALSE)</f>
        <v>Retail camping-supply sales</v>
      </c>
      <c r="D89" s="86">
        <f>SUMIF(Journal!$A$3:$A$143,B89,Journal!$D$3:$D$143)</f>
        <v>14400</v>
      </c>
      <c r="E89" s="86">
        <f>IF(SUMIFS(Journal!$D$3:$D$143,Journal!$A$3:$A$143,$B89,Journal!$E$3:$E$143,E$3)=0,"",SUMIFS(Journal!$D$3:$D$143,Journal!$A$3:$A$143,$B89,Journal!$E$3:$E$143,E$3))</f>
        <v>9000</v>
      </c>
      <c r="F89" s="86" t="str">
        <f>IF(SUMIFS(Journal!$D$3:$D$143,Journal!$A$3:$A$143,$B89,Journal!$F$3:$F$143,E$3)=0,"",SUMIFS(Journal!$D$3:$D$143,Journal!$A$3:$A$143,$B89,Journal!$F$3:$F$143,E$3))</f>
        <v/>
      </c>
      <c r="G89" s="86" t="str">
        <f>IF(SUMIFS(Journal!$D$3:$D$143,Journal!$A$3:$A$143,$B89,Journal!$E$3:$E$143,G$3)=0,"",SUMIFS(Journal!$D$3:$D$143,Journal!$A$3:$A$143,$B89,Journal!$E$3:$E$143,G$3))</f>
        <v/>
      </c>
      <c r="H89" s="86" t="str">
        <f>IF(SUMIFS(Journal!$D$3:$D$143,Journal!$A$3:$A$143,$B89,Journal!$F$3:$F$143,G$3)=0,"",SUMIFS(Journal!$D$3:$D$143,Journal!$A$3:$A$143,$B89,Journal!$F$3:$F$143,G$3))</f>
        <v/>
      </c>
      <c r="I89" s="86" t="str">
        <f>IF(SUMIFS(Journal!$D$3:$D$143,Journal!$A$3:$A$143,$B89,Journal!$E$3:$E$143,I$3)=0,"",SUMIFS(Journal!$D$3:$D$143,Journal!$A$3:$A$143,$B89,Journal!$E$3:$E$143,I$3))</f>
        <v/>
      </c>
      <c r="J89" s="86">
        <f>IF(SUMIFS(Journal!$D$3:$D$143,Journal!$A$3:$A$143,$B89,Journal!$F$3:$F$143,I$3)=0,"",SUMIFS(Journal!$D$3:$D$143,Journal!$A$3:$A$143,$B89,Journal!$F$3:$F$143,I$3))</f>
        <v>5400</v>
      </c>
      <c r="K89" s="86" t="str">
        <f>IF(SUMIFS(Journal!$D$3:$D$143,Journal!$A$3:$A$143,$B89,Journal!$E$3:$E$143,K$3)=0,"",SUMIFS(Journal!$D$3:$D$143,Journal!$A$3:$A$143,$B89,Journal!$E$3:$E$143,K$3))</f>
        <v/>
      </c>
      <c r="L89" s="86" t="str">
        <f>IF(SUMIFS(Journal!$D$3:$D$143,Journal!$A$3:$A$143,$B89,Journal!$F$3:$F$143,K$3)=0,"",SUMIFS(Journal!$D$3:$D$143,Journal!$A$3:$A$143,$B89,Journal!$F$3:$F$143,K$3))</f>
        <v/>
      </c>
      <c r="M89" s="86" t="str">
        <f>IF(SUMIFS(Journal!$D$3:$D$143,Journal!$A$3:$A$143,$B89,Journal!$E$3:$E$143,M$3)=0,"",SUMIFS(Journal!$D$3:$D$143,Journal!$A$3:$A$143,$B89,Journal!$E$3:$E$143,M$3))</f>
        <v/>
      </c>
      <c r="N89" s="86" t="str">
        <f>IF(SUMIFS(Journal!$D$3:$D$143,Journal!$A$3:$A$143,$B89,Journal!$F$3:$F$143,M$3)=0,"",SUMIFS(Journal!$D$3:$D$143,Journal!$A$3:$A$143,$B89,Journal!$F$3:$F$143,M$3))</f>
        <v/>
      </c>
      <c r="O89" s="86" t="str">
        <f>IF(SUMIFS(Journal!$D$3:$D$143,Journal!$A$3:$A$143,$B89,Journal!$E$3:$E$143,O$3)=0,"",SUMIFS(Journal!$D$3:$D$143,Journal!$A$3:$A$143,$B89,Journal!$E$3:$E$143,O$3))</f>
        <v/>
      </c>
      <c r="P89" s="86" t="str">
        <f>IF(SUMIFS(Journal!$D$3:$D$143,Journal!$A$3:$A$143,$B89,Journal!$F$3:$F$143,O$3)=0,"",SUMIFS(Journal!$D$3:$D$143,Journal!$A$3:$A$143,$B89,Journal!$F$3:$F$143,O$3))</f>
        <v/>
      </c>
      <c r="Q89" s="86" t="str">
        <f>IF(SUMIFS(Journal!$D$3:$D$143,Journal!$A$3:$A$143,$B89,Journal!$E$3:$E$143,Q$3)=0,"",SUMIFS(Journal!$D$3:$D$143,Journal!$A$3:$A$143,$B89,Journal!$E$3:$E$143,Q$3))</f>
        <v/>
      </c>
      <c r="R89" s="86" t="str">
        <f>IF(SUMIFS(Journal!$D$3:$D$143,Journal!$A$3:$A$143,$B89,Journal!$F$3:$F$143,Q$3)=0,"",SUMIFS(Journal!$D$3:$D$143,Journal!$A$3:$A$143,$B89,Journal!$F$3:$F$143,Q$3))</f>
        <v/>
      </c>
      <c r="S89" s="86" t="str">
        <f>IF(SUMIFS(Journal!$D$3:$D$143,Journal!$A$3:$A$143,$B89,Journal!$E$3:$E$143,S$3)=0,"",SUMIFS(Journal!$D$3:$D$143,Journal!$A$3:$A$143,$B89,Journal!$E$3:$E$143,S$3))</f>
        <v/>
      </c>
      <c r="T89" s="86" t="str">
        <f>IF(SUMIFS(Journal!$D$3:$D$143,Journal!$A$3:$A$143,$B89,Journal!$F$3:$F$143,S$3)=0,"",SUMIFS(Journal!$D$3:$D$143,Journal!$A$3:$A$143,$B89,Journal!$F$3:$F$143,S$3))</f>
        <v/>
      </c>
      <c r="U89" s="86" t="str">
        <f>IF(SUMIFS(Journal!$D$3:$D$143,Journal!$A$3:$A$143,$B89,Journal!$E$3:$E$143,U$3)=0,"",SUMIFS(Journal!$D$3:$D$143,Journal!$A$3:$A$143,$B89,Journal!$E$3:$E$143,U$3))</f>
        <v/>
      </c>
      <c r="V89" s="86" t="str">
        <f>IF(SUMIFS(Journal!$D$3:$D$143,Journal!$A$3:$A$143,$B89,Journal!$F$3:$F$143,U$3)=0,"",SUMIFS(Journal!$D$3:$D$143,Journal!$A$3:$A$143,$B89,Journal!$F$3:$F$143,U$3))</f>
        <v/>
      </c>
      <c r="W89" s="86" t="str">
        <f>IF(SUMIFS(Journal!$D$3:$D$143,Journal!$A$3:$A$143,$B89,Journal!$E$3:$E$143,W$3)=0,"",SUMIFS(Journal!$D$3:$D$143,Journal!$A$3:$A$143,$B89,Journal!$E$3:$E$143,W$3))</f>
        <v/>
      </c>
      <c r="X89" s="86" t="str">
        <f>IF(SUMIFS(Journal!$D$3:$D$143,Journal!$A$3:$A$143,$B89,Journal!$F$3:$F$143,W$3)=0,"",SUMIFS(Journal!$D$3:$D$143,Journal!$A$3:$A$143,$B89,Journal!$F$3:$F$143,W$3))</f>
        <v/>
      </c>
      <c r="Y89" s="86" t="str">
        <f>IF(SUMIFS(Journal!$D$3:$D$143,Journal!$A$3:$A$143,$B89,Journal!$E$3:$E$143,Y$3)=0,"",SUMIFS(Journal!$D$3:$D$143,Journal!$A$3:$A$143,$B89,Journal!$E$3:$E$143,Y$3))</f>
        <v/>
      </c>
      <c r="Z89" s="86" t="str">
        <f>IF(SUMIFS(Journal!$D$3:$D$143,Journal!$A$3:$A$143,$B89,Journal!$F$3:$F$143,Y$3)=0,"",SUMIFS(Journal!$D$3:$D$143,Journal!$A$3:$A$143,$B89,Journal!$F$3:$F$143,Y$3))</f>
        <v/>
      </c>
      <c r="AA89" s="86" t="str">
        <f>IF(SUMIFS(Journal!$D$3:$D$143,Journal!$A$3:$A$143,$B89,Journal!$E$3:$E$143,AA$3)=0,"",SUMIFS(Journal!$D$3:$D$143,Journal!$A$3:$A$143,$B89,Journal!$E$3:$E$143,AA$3))</f>
        <v/>
      </c>
      <c r="AB89" s="86">
        <f>IF(SUMIFS(Journal!$D$3:$D$143,Journal!$A$3:$A$143,$B89,Journal!$F$3:$F$143,AA$3)=0,"",SUMIFS(Journal!$D$3:$D$143,Journal!$A$3:$A$143,$B89,Journal!$F$3:$F$143,AA$3))</f>
        <v>9000</v>
      </c>
      <c r="AC89" s="86" t="str">
        <f>IF(SUMIFS(Journal!$D$3:$D$143,Journal!$A$3:$A$143,$B89,Journal!$E$3:$E$143,AC$3)=0,"",SUMIFS(Journal!$D$3:$D$143,Journal!$A$3:$A$143,$B89,Journal!$E$3:$E$143,AC$3))</f>
        <v/>
      </c>
      <c r="AD89" s="86" t="str">
        <f>IF(SUMIFS(Journal!$D$3:$D$143,Journal!$A$3:$A$143,$B89,Journal!$F$3:$F$143,AC$3)=0,"",SUMIFS(Journal!$D$3:$D$143,Journal!$A$3:$A$143,$B89,Journal!$F$3:$F$143,AC$3))</f>
        <v/>
      </c>
      <c r="AE89" s="86">
        <f>IF(SUMIFS(Journal!$D$3:$D$143,Journal!$A$3:$A$143,$B89,Journal!$E$3:$E$143,AE$3)=0,"",SUMIFS(Journal!$D$3:$D$143,Journal!$A$3:$A$143,$B89,Journal!$E$3:$E$143,AE$3))</f>
        <v>5400</v>
      </c>
      <c r="AF89" s="86" t="str">
        <f>IF(SUMIFS(Journal!$D$3:$D$143,Journal!$A$3:$A$143,$B89,Journal!$F$3:$F$143,AE$3)=0,"",SUMIFS(Journal!$D$3:$D$143,Journal!$A$3:$A$143,$B89,Journal!$F$3:$F$143,AE$3))</f>
        <v/>
      </c>
      <c r="AG89" s="86" t="str">
        <f>IF(SUMIFS(Journal!$D$3:$D$143,Journal!$A$3:$A$143,$B89,Journal!$E$3:$E$143,AG$3)=0,"",SUMIFS(Journal!$D$3:$D$143,Journal!$A$3:$A$143,$B89,Journal!$E$3:$E$143,AG$3))</f>
        <v/>
      </c>
      <c r="AH89" s="86" t="str">
        <f>IF(SUMIFS(Journal!$D$3:$D$143,Journal!$A$3:$A$143,$B89,Journal!$F$3:$F$143,AG$3)=0,"",SUMIFS(Journal!$D$3:$D$143,Journal!$A$3:$A$143,$B89,Journal!$F$3:$F$143,AG$3))</f>
        <v/>
      </c>
      <c r="AI89" s="86" t="str">
        <f>IF(SUMIFS(Journal!$D$3:$D$143,Journal!$A$3:$A$143,$B89,Journal!$E$3:$E$143,AI$3)=0,"",SUMIFS(Journal!$D$3:$D$143,Journal!$A$3:$A$143,$B89,Journal!$E$3:$E$143,AI$3))</f>
        <v/>
      </c>
      <c r="AJ89" s="86" t="str">
        <f>IF(SUMIFS(Journal!$D$3:$D$143,Journal!$A$3:$A$143,$B89,Journal!$F$3:$F$143,AI$3)=0,"",SUMIFS(Journal!$D$3:$D$143,Journal!$A$3:$A$143,$B89,Journal!$F$3:$F$143,AI$3))</f>
        <v/>
      </c>
      <c r="AK89" s="86" t="str">
        <f>IF(SUMIFS(Journal!$D$3:$D$143,Journal!$A$3:$A$143,$B89,Journal!$E$3:$E$143,AK$3)=0,"",SUMIFS(Journal!$D$3:$D$143,Journal!$A$3:$A$143,$B89,Journal!$E$3:$E$143,AK$3))</f>
        <v/>
      </c>
      <c r="AL89" s="86" t="str">
        <f>IF(SUMIFS(Journal!$D$3:$D$143,Journal!$A$3:$A$143,$B89,Journal!$F$3:$F$143,AK$3)=0,"",SUMIFS(Journal!$D$3:$D$143,Journal!$A$3:$A$143,$B89,Journal!$F$3:$F$143,AK$3))</f>
        <v/>
      </c>
      <c r="AM89" s="86" t="str">
        <f>IF(SUMIFS(Journal!$D$3:$D$143,Journal!$A$3:$A$143,$B89,Journal!$E$3:$E$143,AM$3)=0,"",SUMIFS(Journal!$D$3:$D$143,Journal!$A$3:$A$143,$B89,Journal!$E$3:$E$143,AM$3))</f>
        <v/>
      </c>
      <c r="AN89" s="86" t="str">
        <f>IF(SUMIFS(Journal!$D$3:$D$143,Journal!$A$3:$A$143,$B89,Journal!$F$3:$F$143,AM$3)=0,"",SUMIFS(Journal!$D$3:$D$143,Journal!$A$3:$A$143,$B89,Journal!$F$3:$F$143,AM$3))</f>
        <v/>
      </c>
      <c r="AO89" s="86" t="str">
        <f>IF(SUMIFS(Journal!$D$3:$D$143,Journal!$A$3:$A$143,$B89,Journal!$E$3:$E$143,AO$3)=0,"",SUMIFS(Journal!$D$3:$D$143,Journal!$A$3:$A$143,$B89,Journal!$E$3:$E$143,AO$3))</f>
        <v/>
      </c>
      <c r="AP89" s="86" t="str">
        <f>IF(SUMIFS(Journal!$D$3:$D$143,Journal!$A$3:$A$143,$B89,Journal!$F$3:$F$143,AO$3)=0,"",SUMIFS(Journal!$D$3:$D$143,Journal!$A$3:$A$143,$B89,Journal!$F$3:$F$143,AO$3))</f>
        <v/>
      </c>
      <c r="AQ89" s="86" t="str">
        <f>IF(SUMIFS(Journal!$D$3:$D$143,Journal!$A$3:$A$143,$B89,Journal!$E$3:$E$143,AQ$3)=0,"",SUMIFS(Journal!$D$3:$D$143,Journal!$A$3:$A$143,$B89,Journal!$E$3:$E$143,AQ$3))</f>
        <v/>
      </c>
      <c r="AR89" s="86" t="str">
        <f>IF(SUMIFS(Journal!$D$3:$D$143,Journal!$A$3:$A$143,$B89,Journal!$F$3:$F$143,AQ$3)=0,"",SUMIFS(Journal!$D$3:$D$143,Journal!$A$3:$A$143,$B89,Journal!$F$3:$F$143,AQ$3))</f>
        <v/>
      </c>
      <c r="AS89" s="86" t="str">
        <f>IF(SUMIFS(Journal!$D$3:$D$143,Journal!$A$3:$A$143,$B89,Journal!$E$3:$E$143,AS$3)=0,"",SUMIFS(Journal!$D$3:$D$143,Journal!$A$3:$A$143,$B89,Journal!$E$3:$E$143,AS$3))</f>
        <v/>
      </c>
      <c r="AT89" s="86" t="str">
        <f>IF(SUMIFS(Journal!$D$3:$D$143,Journal!$A$3:$A$143,$B89,Journal!$F$3:$F$143,AS$3)=0,"",SUMIFS(Journal!$D$3:$D$143,Journal!$A$3:$A$143,$B89,Journal!$F$3:$F$143,AS$3))</f>
        <v/>
      </c>
      <c r="AU89" s="86" t="str">
        <f>IF(SUMIFS(Journal!$D$3:$D$143,Journal!$A$3:$A$143,$B89,Journal!$E$3:$E$143,AU$3)=0,"",SUMIFS(Journal!$D$3:$D$143,Journal!$A$3:$A$143,$B89,Journal!$E$3:$E$143,AU$3))</f>
        <v/>
      </c>
      <c r="AV89" s="86" t="str">
        <f>IF(SUMIFS(Journal!$D$3:$D$143,Journal!$A$3:$A$143,$B89,Journal!$F$3:$F$143,AU$3)=0,"",SUMIFS(Journal!$D$3:$D$143,Journal!$A$3:$A$143,$B89,Journal!$F$3:$F$143,AU$3))</f>
        <v/>
      </c>
      <c r="AW89" s="86" t="str">
        <f>IF(SUMIFS(Journal!$D$3:$D$143,Journal!$A$3:$A$143,$B89,Journal!$E$3:$E$143,AW$3)=0,"",SUMIFS(Journal!$D$3:$D$143,Journal!$A$3:$A$143,$B89,Journal!$E$3:$E$143,AW$3))</f>
        <v/>
      </c>
      <c r="AX89" s="86" t="str">
        <f>IF(SUMIFS(Journal!$D$3:$D$143,Journal!$A$3:$A$143,$B89,Journal!$F$3:$F$143,AW$3)=0,"",SUMIFS(Journal!$D$3:$D$143,Journal!$A$3:$A$143,$B89,Journal!$F$3:$F$143,AW$3))</f>
        <v/>
      </c>
      <c r="AY89" s="86" t="str">
        <f>IF(SUMIFS(Journal!$D$3:$D$143,Journal!$A$3:$A$143,$B89,Journal!$E$3:$E$143,AY$3)=0,"",SUMIFS(Journal!$D$3:$D$143,Journal!$A$3:$A$143,$B89,Journal!$E$3:$E$143,AY$3))</f>
        <v/>
      </c>
      <c r="AZ89" s="86" t="str">
        <f>IF(SUMIFS(Journal!$D$3:$D$143,Journal!$A$3:$A$143,$B89,Journal!$F$3:$F$143,AY$3)=0,"",SUMIFS(Journal!$D$3:$D$143,Journal!$A$3:$A$143,$B89,Journal!$F$3:$F$143,AY$3))</f>
        <v/>
      </c>
      <c r="BA89" s="86" t="str">
        <f>IF(SUMIFS(Journal!$D$3:$D$143,Journal!$A$3:$A$143,$B89,Journal!$E$3:$E$143,BA$3)=0,"",SUMIFS(Journal!$D$3:$D$143,Journal!$A$3:$A$143,$B89,Journal!$E$3:$E$143,BA$3))</f>
        <v/>
      </c>
      <c r="BB89" s="86" t="str">
        <f>IF(SUMIFS(Journal!$D$3:$D$143,Journal!$A$3:$A$143,$B89,Journal!$F$3:$F$143,BA$3)=0,"",SUMIFS(Journal!$D$3:$D$143,Journal!$A$3:$A$143,$B89,Journal!$F$3:$F$143,BA$3))</f>
        <v/>
      </c>
    </row>
    <row r="90">
      <c r="A90" s="84">
        <f>VLOOKUP(B90,Journal!$A$3:$C$143,2,FALSE)</f>
        <v>45524</v>
      </c>
      <c r="B90" s="85" t="s">
        <v>527</v>
      </c>
      <c r="C90" s="86" t="str">
        <f>VLOOKUP(B90,Journal!$A$3:$C$143,3,FALSE)</f>
        <v>Guided tour revenue</v>
      </c>
      <c r="D90" s="86">
        <f>SUMIF(Journal!$A$3:$A$143,B90,Journal!$D$3:$D$143)</f>
        <v>12000</v>
      </c>
      <c r="E90" s="86">
        <f>IF(SUMIFS(Journal!$D$3:$D$143,Journal!$A$3:$A$143,$B90,Journal!$E$3:$E$143,E$3)=0,"",SUMIFS(Journal!$D$3:$D$143,Journal!$A$3:$A$143,$B90,Journal!$E$3:$E$143,E$3))</f>
        <v>12000</v>
      </c>
      <c r="F90" s="86" t="str">
        <f>IF(SUMIFS(Journal!$D$3:$D$143,Journal!$A$3:$A$143,$B90,Journal!$F$3:$F$143,E$3)=0,"",SUMIFS(Journal!$D$3:$D$143,Journal!$A$3:$A$143,$B90,Journal!$F$3:$F$143,E$3))</f>
        <v/>
      </c>
      <c r="G90" s="86" t="str">
        <f>IF(SUMIFS(Journal!$D$3:$D$143,Journal!$A$3:$A$143,$B90,Journal!$E$3:$E$143,G$3)=0,"",SUMIFS(Journal!$D$3:$D$143,Journal!$A$3:$A$143,$B90,Journal!$E$3:$E$143,G$3))</f>
        <v/>
      </c>
      <c r="H90" s="86" t="str">
        <f>IF(SUMIFS(Journal!$D$3:$D$143,Journal!$A$3:$A$143,$B90,Journal!$F$3:$F$143,G$3)=0,"",SUMIFS(Journal!$D$3:$D$143,Journal!$A$3:$A$143,$B90,Journal!$F$3:$F$143,G$3))</f>
        <v/>
      </c>
      <c r="I90" s="86" t="str">
        <f>IF(SUMIFS(Journal!$D$3:$D$143,Journal!$A$3:$A$143,$B90,Journal!$E$3:$E$143,I$3)=0,"",SUMIFS(Journal!$D$3:$D$143,Journal!$A$3:$A$143,$B90,Journal!$E$3:$E$143,I$3))</f>
        <v/>
      </c>
      <c r="J90" s="86" t="str">
        <f>IF(SUMIFS(Journal!$D$3:$D$143,Journal!$A$3:$A$143,$B90,Journal!$F$3:$F$143,I$3)=0,"",SUMIFS(Journal!$D$3:$D$143,Journal!$A$3:$A$143,$B90,Journal!$F$3:$F$143,I$3))</f>
        <v/>
      </c>
      <c r="K90" s="86" t="str">
        <f>IF(SUMIFS(Journal!$D$3:$D$143,Journal!$A$3:$A$143,$B90,Journal!$E$3:$E$143,K$3)=0,"",SUMIFS(Journal!$D$3:$D$143,Journal!$A$3:$A$143,$B90,Journal!$E$3:$E$143,K$3))</f>
        <v/>
      </c>
      <c r="L90" s="86" t="str">
        <f>IF(SUMIFS(Journal!$D$3:$D$143,Journal!$A$3:$A$143,$B90,Journal!$F$3:$F$143,K$3)=0,"",SUMIFS(Journal!$D$3:$D$143,Journal!$A$3:$A$143,$B90,Journal!$F$3:$F$143,K$3))</f>
        <v/>
      </c>
      <c r="M90" s="86" t="str">
        <f>IF(SUMIFS(Journal!$D$3:$D$143,Journal!$A$3:$A$143,$B90,Journal!$E$3:$E$143,M$3)=0,"",SUMIFS(Journal!$D$3:$D$143,Journal!$A$3:$A$143,$B90,Journal!$E$3:$E$143,M$3))</f>
        <v/>
      </c>
      <c r="N90" s="86" t="str">
        <f>IF(SUMIFS(Journal!$D$3:$D$143,Journal!$A$3:$A$143,$B90,Journal!$F$3:$F$143,M$3)=0,"",SUMIFS(Journal!$D$3:$D$143,Journal!$A$3:$A$143,$B90,Journal!$F$3:$F$143,M$3))</f>
        <v/>
      </c>
      <c r="O90" s="86" t="str">
        <f>IF(SUMIFS(Journal!$D$3:$D$143,Journal!$A$3:$A$143,$B90,Journal!$E$3:$E$143,O$3)=0,"",SUMIFS(Journal!$D$3:$D$143,Journal!$A$3:$A$143,$B90,Journal!$E$3:$E$143,O$3))</f>
        <v/>
      </c>
      <c r="P90" s="86" t="str">
        <f>IF(SUMIFS(Journal!$D$3:$D$143,Journal!$A$3:$A$143,$B90,Journal!$F$3:$F$143,O$3)=0,"",SUMIFS(Journal!$D$3:$D$143,Journal!$A$3:$A$143,$B90,Journal!$F$3:$F$143,O$3))</f>
        <v/>
      </c>
      <c r="Q90" s="86" t="str">
        <f>IF(SUMIFS(Journal!$D$3:$D$143,Journal!$A$3:$A$143,$B90,Journal!$E$3:$E$143,Q$3)=0,"",SUMIFS(Journal!$D$3:$D$143,Journal!$A$3:$A$143,$B90,Journal!$E$3:$E$143,Q$3))</f>
        <v/>
      </c>
      <c r="R90" s="86" t="str">
        <f>IF(SUMIFS(Journal!$D$3:$D$143,Journal!$A$3:$A$143,$B90,Journal!$F$3:$F$143,Q$3)=0,"",SUMIFS(Journal!$D$3:$D$143,Journal!$A$3:$A$143,$B90,Journal!$F$3:$F$143,Q$3))</f>
        <v/>
      </c>
      <c r="S90" s="86" t="str">
        <f>IF(SUMIFS(Journal!$D$3:$D$143,Journal!$A$3:$A$143,$B90,Journal!$E$3:$E$143,S$3)=0,"",SUMIFS(Journal!$D$3:$D$143,Journal!$A$3:$A$143,$B90,Journal!$E$3:$E$143,S$3))</f>
        <v/>
      </c>
      <c r="T90" s="86" t="str">
        <f>IF(SUMIFS(Journal!$D$3:$D$143,Journal!$A$3:$A$143,$B90,Journal!$F$3:$F$143,S$3)=0,"",SUMIFS(Journal!$D$3:$D$143,Journal!$A$3:$A$143,$B90,Journal!$F$3:$F$143,S$3))</f>
        <v/>
      </c>
      <c r="U90" s="86" t="str">
        <f>IF(SUMIFS(Journal!$D$3:$D$143,Journal!$A$3:$A$143,$B90,Journal!$E$3:$E$143,U$3)=0,"",SUMIFS(Journal!$D$3:$D$143,Journal!$A$3:$A$143,$B90,Journal!$E$3:$E$143,U$3))</f>
        <v/>
      </c>
      <c r="V90" s="86" t="str">
        <f>IF(SUMIFS(Journal!$D$3:$D$143,Journal!$A$3:$A$143,$B90,Journal!$F$3:$F$143,U$3)=0,"",SUMIFS(Journal!$D$3:$D$143,Journal!$A$3:$A$143,$B90,Journal!$F$3:$F$143,U$3))</f>
        <v/>
      </c>
      <c r="W90" s="86" t="str">
        <f>IF(SUMIFS(Journal!$D$3:$D$143,Journal!$A$3:$A$143,$B90,Journal!$E$3:$E$143,W$3)=0,"",SUMIFS(Journal!$D$3:$D$143,Journal!$A$3:$A$143,$B90,Journal!$E$3:$E$143,W$3))</f>
        <v/>
      </c>
      <c r="X90" s="86" t="str">
        <f>IF(SUMIFS(Journal!$D$3:$D$143,Journal!$A$3:$A$143,$B90,Journal!$F$3:$F$143,W$3)=0,"",SUMIFS(Journal!$D$3:$D$143,Journal!$A$3:$A$143,$B90,Journal!$F$3:$F$143,W$3))</f>
        <v/>
      </c>
      <c r="Y90" s="86" t="str">
        <f>IF(SUMIFS(Journal!$D$3:$D$143,Journal!$A$3:$A$143,$B90,Journal!$E$3:$E$143,Y$3)=0,"",SUMIFS(Journal!$D$3:$D$143,Journal!$A$3:$A$143,$B90,Journal!$E$3:$E$143,Y$3))</f>
        <v/>
      </c>
      <c r="Z90" s="86">
        <f>IF(SUMIFS(Journal!$D$3:$D$143,Journal!$A$3:$A$143,$B90,Journal!$F$3:$F$143,Y$3)=0,"",SUMIFS(Journal!$D$3:$D$143,Journal!$A$3:$A$143,$B90,Journal!$F$3:$F$143,Y$3))</f>
        <v>12000</v>
      </c>
      <c r="AA90" s="86" t="str">
        <f>IF(SUMIFS(Journal!$D$3:$D$143,Journal!$A$3:$A$143,$B90,Journal!$E$3:$E$143,AA$3)=0,"",SUMIFS(Journal!$D$3:$D$143,Journal!$A$3:$A$143,$B90,Journal!$E$3:$E$143,AA$3))</f>
        <v/>
      </c>
      <c r="AB90" s="86" t="str">
        <f>IF(SUMIFS(Journal!$D$3:$D$143,Journal!$A$3:$A$143,$B90,Journal!$F$3:$F$143,AA$3)=0,"",SUMIFS(Journal!$D$3:$D$143,Journal!$A$3:$A$143,$B90,Journal!$F$3:$F$143,AA$3))</f>
        <v/>
      </c>
      <c r="AC90" s="86" t="str">
        <f>IF(SUMIFS(Journal!$D$3:$D$143,Journal!$A$3:$A$143,$B90,Journal!$E$3:$E$143,AC$3)=0,"",SUMIFS(Journal!$D$3:$D$143,Journal!$A$3:$A$143,$B90,Journal!$E$3:$E$143,AC$3))</f>
        <v/>
      </c>
      <c r="AD90" s="86" t="str">
        <f>IF(SUMIFS(Journal!$D$3:$D$143,Journal!$A$3:$A$143,$B90,Journal!$F$3:$F$143,AC$3)=0,"",SUMIFS(Journal!$D$3:$D$143,Journal!$A$3:$A$143,$B90,Journal!$F$3:$F$143,AC$3))</f>
        <v/>
      </c>
      <c r="AE90" s="86" t="str">
        <f>IF(SUMIFS(Journal!$D$3:$D$143,Journal!$A$3:$A$143,$B90,Journal!$E$3:$E$143,AE$3)=0,"",SUMIFS(Journal!$D$3:$D$143,Journal!$A$3:$A$143,$B90,Journal!$E$3:$E$143,AE$3))</f>
        <v/>
      </c>
      <c r="AF90" s="86" t="str">
        <f>IF(SUMIFS(Journal!$D$3:$D$143,Journal!$A$3:$A$143,$B90,Journal!$F$3:$F$143,AE$3)=0,"",SUMIFS(Journal!$D$3:$D$143,Journal!$A$3:$A$143,$B90,Journal!$F$3:$F$143,AE$3))</f>
        <v/>
      </c>
      <c r="AG90" s="86" t="str">
        <f>IF(SUMIFS(Journal!$D$3:$D$143,Journal!$A$3:$A$143,$B90,Journal!$E$3:$E$143,AG$3)=0,"",SUMIFS(Journal!$D$3:$D$143,Journal!$A$3:$A$143,$B90,Journal!$E$3:$E$143,AG$3))</f>
        <v/>
      </c>
      <c r="AH90" s="86" t="str">
        <f>IF(SUMIFS(Journal!$D$3:$D$143,Journal!$A$3:$A$143,$B90,Journal!$F$3:$F$143,AG$3)=0,"",SUMIFS(Journal!$D$3:$D$143,Journal!$A$3:$A$143,$B90,Journal!$F$3:$F$143,AG$3))</f>
        <v/>
      </c>
      <c r="AI90" s="86" t="str">
        <f>IF(SUMIFS(Journal!$D$3:$D$143,Journal!$A$3:$A$143,$B90,Journal!$E$3:$E$143,AI$3)=0,"",SUMIFS(Journal!$D$3:$D$143,Journal!$A$3:$A$143,$B90,Journal!$E$3:$E$143,AI$3))</f>
        <v/>
      </c>
      <c r="AJ90" s="86" t="str">
        <f>IF(SUMIFS(Journal!$D$3:$D$143,Journal!$A$3:$A$143,$B90,Journal!$F$3:$F$143,AI$3)=0,"",SUMIFS(Journal!$D$3:$D$143,Journal!$A$3:$A$143,$B90,Journal!$F$3:$F$143,AI$3))</f>
        <v/>
      </c>
      <c r="AK90" s="86" t="str">
        <f>IF(SUMIFS(Journal!$D$3:$D$143,Journal!$A$3:$A$143,$B90,Journal!$E$3:$E$143,AK$3)=0,"",SUMIFS(Journal!$D$3:$D$143,Journal!$A$3:$A$143,$B90,Journal!$E$3:$E$143,AK$3))</f>
        <v/>
      </c>
      <c r="AL90" s="86" t="str">
        <f>IF(SUMIFS(Journal!$D$3:$D$143,Journal!$A$3:$A$143,$B90,Journal!$F$3:$F$143,AK$3)=0,"",SUMIFS(Journal!$D$3:$D$143,Journal!$A$3:$A$143,$B90,Journal!$F$3:$F$143,AK$3))</f>
        <v/>
      </c>
      <c r="AM90" s="86" t="str">
        <f>IF(SUMIFS(Journal!$D$3:$D$143,Journal!$A$3:$A$143,$B90,Journal!$E$3:$E$143,AM$3)=0,"",SUMIFS(Journal!$D$3:$D$143,Journal!$A$3:$A$143,$B90,Journal!$E$3:$E$143,AM$3))</f>
        <v/>
      </c>
      <c r="AN90" s="86" t="str">
        <f>IF(SUMIFS(Journal!$D$3:$D$143,Journal!$A$3:$A$143,$B90,Journal!$F$3:$F$143,AM$3)=0,"",SUMIFS(Journal!$D$3:$D$143,Journal!$A$3:$A$143,$B90,Journal!$F$3:$F$143,AM$3))</f>
        <v/>
      </c>
      <c r="AO90" s="86" t="str">
        <f>IF(SUMIFS(Journal!$D$3:$D$143,Journal!$A$3:$A$143,$B90,Journal!$E$3:$E$143,AO$3)=0,"",SUMIFS(Journal!$D$3:$D$143,Journal!$A$3:$A$143,$B90,Journal!$E$3:$E$143,AO$3))</f>
        <v/>
      </c>
      <c r="AP90" s="86" t="str">
        <f>IF(SUMIFS(Journal!$D$3:$D$143,Journal!$A$3:$A$143,$B90,Journal!$F$3:$F$143,AO$3)=0,"",SUMIFS(Journal!$D$3:$D$143,Journal!$A$3:$A$143,$B90,Journal!$F$3:$F$143,AO$3))</f>
        <v/>
      </c>
      <c r="AQ90" s="86" t="str">
        <f>IF(SUMIFS(Journal!$D$3:$D$143,Journal!$A$3:$A$143,$B90,Journal!$E$3:$E$143,AQ$3)=0,"",SUMIFS(Journal!$D$3:$D$143,Journal!$A$3:$A$143,$B90,Journal!$E$3:$E$143,AQ$3))</f>
        <v/>
      </c>
      <c r="AR90" s="86" t="str">
        <f>IF(SUMIFS(Journal!$D$3:$D$143,Journal!$A$3:$A$143,$B90,Journal!$F$3:$F$143,AQ$3)=0,"",SUMIFS(Journal!$D$3:$D$143,Journal!$A$3:$A$143,$B90,Journal!$F$3:$F$143,AQ$3))</f>
        <v/>
      </c>
      <c r="AS90" s="86" t="str">
        <f>IF(SUMIFS(Journal!$D$3:$D$143,Journal!$A$3:$A$143,$B90,Journal!$E$3:$E$143,AS$3)=0,"",SUMIFS(Journal!$D$3:$D$143,Journal!$A$3:$A$143,$B90,Journal!$E$3:$E$143,AS$3))</f>
        <v/>
      </c>
      <c r="AT90" s="86" t="str">
        <f>IF(SUMIFS(Journal!$D$3:$D$143,Journal!$A$3:$A$143,$B90,Journal!$F$3:$F$143,AS$3)=0,"",SUMIFS(Journal!$D$3:$D$143,Journal!$A$3:$A$143,$B90,Journal!$F$3:$F$143,AS$3))</f>
        <v/>
      </c>
      <c r="AU90" s="86" t="str">
        <f>IF(SUMIFS(Journal!$D$3:$D$143,Journal!$A$3:$A$143,$B90,Journal!$E$3:$E$143,AU$3)=0,"",SUMIFS(Journal!$D$3:$D$143,Journal!$A$3:$A$143,$B90,Journal!$E$3:$E$143,AU$3))</f>
        <v/>
      </c>
      <c r="AV90" s="86" t="str">
        <f>IF(SUMIFS(Journal!$D$3:$D$143,Journal!$A$3:$A$143,$B90,Journal!$F$3:$F$143,AU$3)=0,"",SUMIFS(Journal!$D$3:$D$143,Journal!$A$3:$A$143,$B90,Journal!$F$3:$F$143,AU$3))</f>
        <v/>
      </c>
      <c r="AW90" s="86" t="str">
        <f>IF(SUMIFS(Journal!$D$3:$D$143,Journal!$A$3:$A$143,$B90,Journal!$E$3:$E$143,AW$3)=0,"",SUMIFS(Journal!$D$3:$D$143,Journal!$A$3:$A$143,$B90,Journal!$E$3:$E$143,AW$3))</f>
        <v/>
      </c>
      <c r="AX90" s="86" t="str">
        <f>IF(SUMIFS(Journal!$D$3:$D$143,Journal!$A$3:$A$143,$B90,Journal!$F$3:$F$143,AW$3)=0,"",SUMIFS(Journal!$D$3:$D$143,Journal!$A$3:$A$143,$B90,Journal!$F$3:$F$143,AW$3))</f>
        <v/>
      </c>
      <c r="AY90" s="86" t="str">
        <f>IF(SUMIFS(Journal!$D$3:$D$143,Journal!$A$3:$A$143,$B90,Journal!$E$3:$E$143,AY$3)=0,"",SUMIFS(Journal!$D$3:$D$143,Journal!$A$3:$A$143,$B90,Journal!$E$3:$E$143,AY$3))</f>
        <v/>
      </c>
      <c r="AZ90" s="86" t="str">
        <f>IF(SUMIFS(Journal!$D$3:$D$143,Journal!$A$3:$A$143,$B90,Journal!$F$3:$F$143,AY$3)=0,"",SUMIFS(Journal!$D$3:$D$143,Journal!$A$3:$A$143,$B90,Journal!$F$3:$F$143,AY$3))</f>
        <v/>
      </c>
      <c r="BA90" s="86" t="str">
        <f>IF(SUMIFS(Journal!$D$3:$D$143,Journal!$A$3:$A$143,$B90,Journal!$E$3:$E$143,BA$3)=0,"",SUMIFS(Journal!$D$3:$D$143,Journal!$A$3:$A$143,$B90,Journal!$E$3:$E$143,BA$3))</f>
        <v/>
      </c>
      <c r="BB90" s="86" t="str">
        <f>IF(SUMIFS(Journal!$D$3:$D$143,Journal!$A$3:$A$143,$B90,Journal!$F$3:$F$143,BA$3)=0,"",SUMIFS(Journal!$D$3:$D$143,Journal!$A$3:$A$143,$B90,Journal!$F$3:$F$143,BA$3))</f>
        <v/>
      </c>
    </row>
    <row r="91">
      <c r="A91" s="84">
        <f>VLOOKUP(B91,Journal!$A$3:$C$143,2,FALSE)</f>
        <v>45526</v>
      </c>
      <c r="B91" s="85" t="s">
        <v>529</v>
      </c>
      <c r="C91" s="86" t="str">
        <f>VLOOKUP(B91,Journal!$A$3:$C$143,3,FALSE)</f>
        <v>Collected remaining corporate tour receivables</v>
      </c>
      <c r="D91" s="86">
        <f>SUMIF(Journal!$A$3:$A$143,B91,Journal!$D$3:$D$143)</f>
        <v>4000</v>
      </c>
      <c r="E91" s="86">
        <f>IF(SUMIFS(Journal!$D$3:$D$143,Journal!$A$3:$A$143,$B91,Journal!$E$3:$E$143,E$3)=0,"",SUMIFS(Journal!$D$3:$D$143,Journal!$A$3:$A$143,$B91,Journal!$E$3:$E$143,E$3))</f>
        <v>4000</v>
      </c>
      <c r="F91" s="86" t="str">
        <f>IF(SUMIFS(Journal!$D$3:$D$143,Journal!$A$3:$A$143,$B91,Journal!$F$3:$F$143,E$3)=0,"",SUMIFS(Journal!$D$3:$D$143,Journal!$A$3:$A$143,$B91,Journal!$F$3:$F$143,E$3))</f>
        <v/>
      </c>
      <c r="G91" s="86" t="str">
        <f>IF(SUMIFS(Journal!$D$3:$D$143,Journal!$A$3:$A$143,$B91,Journal!$E$3:$E$143,G$3)=0,"",SUMIFS(Journal!$D$3:$D$143,Journal!$A$3:$A$143,$B91,Journal!$E$3:$E$143,G$3))</f>
        <v/>
      </c>
      <c r="H91" s="86">
        <f>IF(SUMIFS(Journal!$D$3:$D$143,Journal!$A$3:$A$143,$B91,Journal!$F$3:$F$143,G$3)=0,"",SUMIFS(Journal!$D$3:$D$143,Journal!$A$3:$A$143,$B91,Journal!$F$3:$F$143,G$3))</f>
        <v>4000</v>
      </c>
      <c r="I91" s="86" t="str">
        <f>IF(SUMIFS(Journal!$D$3:$D$143,Journal!$A$3:$A$143,$B91,Journal!$E$3:$E$143,I$3)=0,"",SUMIFS(Journal!$D$3:$D$143,Journal!$A$3:$A$143,$B91,Journal!$E$3:$E$143,I$3))</f>
        <v/>
      </c>
      <c r="J91" s="86" t="str">
        <f>IF(SUMIFS(Journal!$D$3:$D$143,Journal!$A$3:$A$143,$B91,Journal!$F$3:$F$143,I$3)=0,"",SUMIFS(Journal!$D$3:$D$143,Journal!$A$3:$A$143,$B91,Journal!$F$3:$F$143,I$3))</f>
        <v/>
      </c>
      <c r="K91" s="86" t="str">
        <f>IF(SUMIFS(Journal!$D$3:$D$143,Journal!$A$3:$A$143,$B91,Journal!$E$3:$E$143,K$3)=0,"",SUMIFS(Journal!$D$3:$D$143,Journal!$A$3:$A$143,$B91,Journal!$E$3:$E$143,K$3))</f>
        <v/>
      </c>
      <c r="L91" s="86" t="str">
        <f>IF(SUMIFS(Journal!$D$3:$D$143,Journal!$A$3:$A$143,$B91,Journal!$F$3:$F$143,K$3)=0,"",SUMIFS(Journal!$D$3:$D$143,Journal!$A$3:$A$143,$B91,Journal!$F$3:$F$143,K$3))</f>
        <v/>
      </c>
      <c r="M91" s="86" t="str">
        <f>IF(SUMIFS(Journal!$D$3:$D$143,Journal!$A$3:$A$143,$B91,Journal!$E$3:$E$143,M$3)=0,"",SUMIFS(Journal!$D$3:$D$143,Journal!$A$3:$A$143,$B91,Journal!$E$3:$E$143,M$3))</f>
        <v/>
      </c>
      <c r="N91" s="86" t="str">
        <f>IF(SUMIFS(Journal!$D$3:$D$143,Journal!$A$3:$A$143,$B91,Journal!$F$3:$F$143,M$3)=0,"",SUMIFS(Journal!$D$3:$D$143,Journal!$A$3:$A$143,$B91,Journal!$F$3:$F$143,M$3))</f>
        <v/>
      </c>
      <c r="O91" s="86" t="str">
        <f>IF(SUMIFS(Journal!$D$3:$D$143,Journal!$A$3:$A$143,$B91,Journal!$E$3:$E$143,O$3)=0,"",SUMIFS(Journal!$D$3:$D$143,Journal!$A$3:$A$143,$B91,Journal!$E$3:$E$143,O$3))</f>
        <v/>
      </c>
      <c r="P91" s="86" t="str">
        <f>IF(SUMIFS(Journal!$D$3:$D$143,Journal!$A$3:$A$143,$B91,Journal!$F$3:$F$143,O$3)=0,"",SUMIFS(Journal!$D$3:$D$143,Journal!$A$3:$A$143,$B91,Journal!$F$3:$F$143,O$3))</f>
        <v/>
      </c>
      <c r="Q91" s="86" t="str">
        <f>IF(SUMIFS(Journal!$D$3:$D$143,Journal!$A$3:$A$143,$B91,Journal!$E$3:$E$143,Q$3)=0,"",SUMIFS(Journal!$D$3:$D$143,Journal!$A$3:$A$143,$B91,Journal!$E$3:$E$143,Q$3))</f>
        <v/>
      </c>
      <c r="R91" s="86" t="str">
        <f>IF(SUMIFS(Journal!$D$3:$D$143,Journal!$A$3:$A$143,$B91,Journal!$F$3:$F$143,Q$3)=0,"",SUMIFS(Journal!$D$3:$D$143,Journal!$A$3:$A$143,$B91,Journal!$F$3:$F$143,Q$3))</f>
        <v/>
      </c>
      <c r="S91" s="86" t="str">
        <f>IF(SUMIFS(Journal!$D$3:$D$143,Journal!$A$3:$A$143,$B91,Journal!$E$3:$E$143,S$3)=0,"",SUMIFS(Journal!$D$3:$D$143,Journal!$A$3:$A$143,$B91,Journal!$E$3:$E$143,S$3))</f>
        <v/>
      </c>
      <c r="T91" s="86" t="str">
        <f>IF(SUMIFS(Journal!$D$3:$D$143,Journal!$A$3:$A$143,$B91,Journal!$F$3:$F$143,S$3)=0,"",SUMIFS(Journal!$D$3:$D$143,Journal!$A$3:$A$143,$B91,Journal!$F$3:$F$143,S$3))</f>
        <v/>
      </c>
      <c r="U91" s="86" t="str">
        <f>IF(SUMIFS(Journal!$D$3:$D$143,Journal!$A$3:$A$143,$B91,Journal!$E$3:$E$143,U$3)=0,"",SUMIFS(Journal!$D$3:$D$143,Journal!$A$3:$A$143,$B91,Journal!$E$3:$E$143,U$3))</f>
        <v/>
      </c>
      <c r="V91" s="86" t="str">
        <f>IF(SUMIFS(Journal!$D$3:$D$143,Journal!$A$3:$A$143,$B91,Journal!$F$3:$F$143,U$3)=0,"",SUMIFS(Journal!$D$3:$D$143,Journal!$A$3:$A$143,$B91,Journal!$F$3:$F$143,U$3))</f>
        <v/>
      </c>
      <c r="W91" s="86" t="str">
        <f>IF(SUMIFS(Journal!$D$3:$D$143,Journal!$A$3:$A$143,$B91,Journal!$E$3:$E$143,W$3)=0,"",SUMIFS(Journal!$D$3:$D$143,Journal!$A$3:$A$143,$B91,Journal!$E$3:$E$143,W$3))</f>
        <v/>
      </c>
      <c r="X91" s="86" t="str">
        <f>IF(SUMIFS(Journal!$D$3:$D$143,Journal!$A$3:$A$143,$B91,Journal!$F$3:$F$143,W$3)=0,"",SUMIFS(Journal!$D$3:$D$143,Journal!$A$3:$A$143,$B91,Journal!$F$3:$F$143,W$3))</f>
        <v/>
      </c>
      <c r="Y91" s="86" t="str">
        <f>IF(SUMIFS(Journal!$D$3:$D$143,Journal!$A$3:$A$143,$B91,Journal!$E$3:$E$143,Y$3)=0,"",SUMIFS(Journal!$D$3:$D$143,Journal!$A$3:$A$143,$B91,Journal!$E$3:$E$143,Y$3))</f>
        <v/>
      </c>
      <c r="Z91" s="86" t="str">
        <f>IF(SUMIFS(Journal!$D$3:$D$143,Journal!$A$3:$A$143,$B91,Journal!$F$3:$F$143,Y$3)=0,"",SUMIFS(Journal!$D$3:$D$143,Journal!$A$3:$A$143,$B91,Journal!$F$3:$F$143,Y$3))</f>
        <v/>
      </c>
      <c r="AA91" s="86" t="str">
        <f>IF(SUMIFS(Journal!$D$3:$D$143,Journal!$A$3:$A$143,$B91,Journal!$E$3:$E$143,AA$3)=0,"",SUMIFS(Journal!$D$3:$D$143,Journal!$A$3:$A$143,$B91,Journal!$E$3:$E$143,AA$3))</f>
        <v/>
      </c>
      <c r="AB91" s="86" t="str">
        <f>IF(SUMIFS(Journal!$D$3:$D$143,Journal!$A$3:$A$143,$B91,Journal!$F$3:$F$143,AA$3)=0,"",SUMIFS(Journal!$D$3:$D$143,Journal!$A$3:$A$143,$B91,Journal!$F$3:$F$143,AA$3))</f>
        <v/>
      </c>
      <c r="AC91" s="86" t="str">
        <f>IF(SUMIFS(Journal!$D$3:$D$143,Journal!$A$3:$A$143,$B91,Journal!$E$3:$E$143,AC$3)=0,"",SUMIFS(Journal!$D$3:$D$143,Journal!$A$3:$A$143,$B91,Journal!$E$3:$E$143,AC$3))</f>
        <v/>
      </c>
      <c r="AD91" s="86" t="str">
        <f>IF(SUMIFS(Journal!$D$3:$D$143,Journal!$A$3:$A$143,$B91,Journal!$F$3:$F$143,AC$3)=0,"",SUMIFS(Journal!$D$3:$D$143,Journal!$A$3:$A$143,$B91,Journal!$F$3:$F$143,AC$3))</f>
        <v/>
      </c>
      <c r="AE91" s="86" t="str">
        <f>IF(SUMIFS(Journal!$D$3:$D$143,Journal!$A$3:$A$143,$B91,Journal!$E$3:$E$143,AE$3)=0,"",SUMIFS(Journal!$D$3:$D$143,Journal!$A$3:$A$143,$B91,Journal!$E$3:$E$143,AE$3))</f>
        <v/>
      </c>
      <c r="AF91" s="86" t="str">
        <f>IF(SUMIFS(Journal!$D$3:$D$143,Journal!$A$3:$A$143,$B91,Journal!$F$3:$F$143,AE$3)=0,"",SUMIFS(Journal!$D$3:$D$143,Journal!$A$3:$A$143,$B91,Journal!$F$3:$F$143,AE$3))</f>
        <v/>
      </c>
      <c r="AG91" s="86" t="str">
        <f>IF(SUMIFS(Journal!$D$3:$D$143,Journal!$A$3:$A$143,$B91,Journal!$E$3:$E$143,AG$3)=0,"",SUMIFS(Journal!$D$3:$D$143,Journal!$A$3:$A$143,$B91,Journal!$E$3:$E$143,AG$3))</f>
        <v/>
      </c>
      <c r="AH91" s="86" t="str">
        <f>IF(SUMIFS(Journal!$D$3:$D$143,Journal!$A$3:$A$143,$B91,Journal!$F$3:$F$143,AG$3)=0,"",SUMIFS(Journal!$D$3:$D$143,Journal!$A$3:$A$143,$B91,Journal!$F$3:$F$143,AG$3))</f>
        <v/>
      </c>
      <c r="AI91" s="86" t="str">
        <f>IF(SUMIFS(Journal!$D$3:$D$143,Journal!$A$3:$A$143,$B91,Journal!$E$3:$E$143,AI$3)=0,"",SUMIFS(Journal!$D$3:$D$143,Journal!$A$3:$A$143,$B91,Journal!$E$3:$E$143,AI$3))</f>
        <v/>
      </c>
      <c r="AJ91" s="86" t="str">
        <f>IF(SUMIFS(Journal!$D$3:$D$143,Journal!$A$3:$A$143,$B91,Journal!$F$3:$F$143,AI$3)=0,"",SUMIFS(Journal!$D$3:$D$143,Journal!$A$3:$A$143,$B91,Journal!$F$3:$F$143,AI$3))</f>
        <v/>
      </c>
      <c r="AK91" s="86" t="str">
        <f>IF(SUMIFS(Journal!$D$3:$D$143,Journal!$A$3:$A$143,$B91,Journal!$E$3:$E$143,AK$3)=0,"",SUMIFS(Journal!$D$3:$D$143,Journal!$A$3:$A$143,$B91,Journal!$E$3:$E$143,AK$3))</f>
        <v/>
      </c>
      <c r="AL91" s="86" t="str">
        <f>IF(SUMIFS(Journal!$D$3:$D$143,Journal!$A$3:$A$143,$B91,Journal!$F$3:$F$143,AK$3)=0,"",SUMIFS(Journal!$D$3:$D$143,Journal!$A$3:$A$143,$B91,Journal!$F$3:$F$143,AK$3))</f>
        <v/>
      </c>
      <c r="AM91" s="86" t="str">
        <f>IF(SUMIFS(Journal!$D$3:$D$143,Journal!$A$3:$A$143,$B91,Journal!$E$3:$E$143,AM$3)=0,"",SUMIFS(Journal!$D$3:$D$143,Journal!$A$3:$A$143,$B91,Journal!$E$3:$E$143,AM$3))</f>
        <v/>
      </c>
      <c r="AN91" s="86" t="str">
        <f>IF(SUMIFS(Journal!$D$3:$D$143,Journal!$A$3:$A$143,$B91,Journal!$F$3:$F$143,AM$3)=0,"",SUMIFS(Journal!$D$3:$D$143,Journal!$A$3:$A$143,$B91,Journal!$F$3:$F$143,AM$3))</f>
        <v/>
      </c>
      <c r="AO91" s="86" t="str">
        <f>IF(SUMIFS(Journal!$D$3:$D$143,Journal!$A$3:$A$143,$B91,Journal!$E$3:$E$143,AO$3)=0,"",SUMIFS(Journal!$D$3:$D$143,Journal!$A$3:$A$143,$B91,Journal!$E$3:$E$143,AO$3))</f>
        <v/>
      </c>
      <c r="AP91" s="86" t="str">
        <f>IF(SUMIFS(Journal!$D$3:$D$143,Journal!$A$3:$A$143,$B91,Journal!$F$3:$F$143,AO$3)=0,"",SUMIFS(Journal!$D$3:$D$143,Journal!$A$3:$A$143,$B91,Journal!$F$3:$F$143,AO$3))</f>
        <v/>
      </c>
      <c r="AQ91" s="86" t="str">
        <f>IF(SUMIFS(Journal!$D$3:$D$143,Journal!$A$3:$A$143,$B91,Journal!$E$3:$E$143,AQ$3)=0,"",SUMIFS(Journal!$D$3:$D$143,Journal!$A$3:$A$143,$B91,Journal!$E$3:$E$143,AQ$3))</f>
        <v/>
      </c>
      <c r="AR91" s="86" t="str">
        <f>IF(SUMIFS(Journal!$D$3:$D$143,Journal!$A$3:$A$143,$B91,Journal!$F$3:$F$143,AQ$3)=0,"",SUMIFS(Journal!$D$3:$D$143,Journal!$A$3:$A$143,$B91,Journal!$F$3:$F$143,AQ$3))</f>
        <v/>
      </c>
      <c r="AS91" s="86" t="str">
        <f>IF(SUMIFS(Journal!$D$3:$D$143,Journal!$A$3:$A$143,$B91,Journal!$E$3:$E$143,AS$3)=0,"",SUMIFS(Journal!$D$3:$D$143,Journal!$A$3:$A$143,$B91,Journal!$E$3:$E$143,AS$3))</f>
        <v/>
      </c>
      <c r="AT91" s="86" t="str">
        <f>IF(SUMIFS(Journal!$D$3:$D$143,Journal!$A$3:$A$143,$B91,Journal!$F$3:$F$143,AS$3)=0,"",SUMIFS(Journal!$D$3:$D$143,Journal!$A$3:$A$143,$B91,Journal!$F$3:$F$143,AS$3))</f>
        <v/>
      </c>
      <c r="AU91" s="86" t="str">
        <f>IF(SUMIFS(Journal!$D$3:$D$143,Journal!$A$3:$A$143,$B91,Journal!$E$3:$E$143,AU$3)=0,"",SUMIFS(Journal!$D$3:$D$143,Journal!$A$3:$A$143,$B91,Journal!$E$3:$E$143,AU$3))</f>
        <v/>
      </c>
      <c r="AV91" s="86" t="str">
        <f>IF(SUMIFS(Journal!$D$3:$D$143,Journal!$A$3:$A$143,$B91,Journal!$F$3:$F$143,AU$3)=0,"",SUMIFS(Journal!$D$3:$D$143,Journal!$A$3:$A$143,$B91,Journal!$F$3:$F$143,AU$3))</f>
        <v/>
      </c>
      <c r="AW91" s="86" t="str">
        <f>IF(SUMIFS(Journal!$D$3:$D$143,Journal!$A$3:$A$143,$B91,Journal!$E$3:$E$143,AW$3)=0,"",SUMIFS(Journal!$D$3:$D$143,Journal!$A$3:$A$143,$B91,Journal!$E$3:$E$143,AW$3))</f>
        <v/>
      </c>
      <c r="AX91" s="86" t="str">
        <f>IF(SUMIFS(Journal!$D$3:$D$143,Journal!$A$3:$A$143,$B91,Journal!$F$3:$F$143,AW$3)=0,"",SUMIFS(Journal!$D$3:$D$143,Journal!$A$3:$A$143,$B91,Journal!$F$3:$F$143,AW$3))</f>
        <v/>
      </c>
      <c r="AY91" s="86" t="str">
        <f>IF(SUMIFS(Journal!$D$3:$D$143,Journal!$A$3:$A$143,$B91,Journal!$E$3:$E$143,AY$3)=0,"",SUMIFS(Journal!$D$3:$D$143,Journal!$A$3:$A$143,$B91,Journal!$E$3:$E$143,AY$3))</f>
        <v/>
      </c>
      <c r="AZ91" s="86" t="str">
        <f>IF(SUMIFS(Journal!$D$3:$D$143,Journal!$A$3:$A$143,$B91,Journal!$F$3:$F$143,AY$3)=0,"",SUMIFS(Journal!$D$3:$D$143,Journal!$A$3:$A$143,$B91,Journal!$F$3:$F$143,AY$3))</f>
        <v/>
      </c>
      <c r="BA91" s="86" t="str">
        <f>IF(SUMIFS(Journal!$D$3:$D$143,Journal!$A$3:$A$143,$B91,Journal!$E$3:$E$143,BA$3)=0,"",SUMIFS(Journal!$D$3:$D$143,Journal!$A$3:$A$143,$B91,Journal!$E$3:$E$143,BA$3))</f>
        <v/>
      </c>
      <c r="BB91" s="86" t="str">
        <f>IF(SUMIFS(Journal!$D$3:$D$143,Journal!$A$3:$A$143,$B91,Journal!$F$3:$F$143,BA$3)=0,"",SUMIFS(Journal!$D$3:$D$143,Journal!$A$3:$A$143,$B91,Journal!$F$3:$F$143,BA$3))</f>
        <v/>
      </c>
    </row>
    <row r="92">
      <c r="A92" s="84">
        <f>VLOOKUP(B92,Journal!$A$3:$C$143,2,FALSE)</f>
        <v>45527</v>
      </c>
      <c r="B92" s="85" t="s">
        <v>535</v>
      </c>
      <c r="C92" s="86" t="str">
        <f>VLOOKUP(B92,Journal!$A$3:$C$143,3,FALSE)</f>
        <v>Seasonal event revenue</v>
      </c>
      <c r="D92" s="86">
        <f>SUMIF(Journal!$A$3:$A$143,B92,Journal!$D$3:$D$143)</f>
        <v>7000</v>
      </c>
      <c r="E92" s="86">
        <f>IF(SUMIFS(Journal!$D$3:$D$143,Journal!$A$3:$A$143,$B92,Journal!$E$3:$E$143,E$3)=0,"",SUMIFS(Journal!$D$3:$D$143,Journal!$A$3:$A$143,$B92,Journal!$E$3:$E$143,E$3))</f>
        <v>7000</v>
      </c>
      <c r="F92" s="86" t="str">
        <f>IF(SUMIFS(Journal!$D$3:$D$143,Journal!$A$3:$A$143,$B92,Journal!$F$3:$F$143,E$3)=0,"",SUMIFS(Journal!$D$3:$D$143,Journal!$A$3:$A$143,$B92,Journal!$F$3:$F$143,E$3))</f>
        <v/>
      </c>
      <c r="G92" s="86" t="str">
        <f>IF(SUMIFS(Journal!$D$3:$D$143,Journal!$A$3:$A$143,$B92,Journal!$E$3:$E$143,G$3)=0,"",SUMIFS(Journal!$D$3:$D$143,Journal!$A$3:$A$143,$B92,Journal!$E$3:$E$143,G$3))</f>
        <v/>
      </c>
      <c r="H92" s="86" t="str">
        <f>IF(SUMIFS(Journal!$D$3:$D$143,Journal!$A$3:$A$143,$B92,Journal!$F$3:$F$143,G$3)=0,"",SUMIFS(Journal!$D$3:$D$143,Journal!$A$3:$A$143,$B92,Journal!$F$3:$F$143,G$3))</f>
        <v/>
      </c>
      <c r="I92" s="86" t="str">
        <f>IF(SUMIFS(Journal!$D$3:$D$143,Journal!$A$3:$A$143,$B92,Journal!$E$3:$E$143,I$3)=0,"",SUMIFS(Journal!$D$3:$D$143,Journal!$A$3:$A$143,$B92,Journal!$E$3:$E$143,I$3))</f>
        <v/>
      </c>
      <c r="J92" s="86" t="str">
        <f>IF(SUMIFS(Journal!$D$3:$D$143,Journal!$A$3:$A$143,$B92,Journal!$F$3:$F$143,I$3)=0,"",SUMIFS(Journal!$D$3:$D$143,Journal!$A$3:$A$143,$B92,Journal!$F$3:$F$143,I$3))</f>
        <v/>
      </c>
      <c r="K92" s="86" t="str">
        <f>IF(SUMIFS(Journal!$D$3:$D$143,Journal!$A$3:$A$143,$B92,Journal!$E$3:$E$143,K$3)=0,"",SUMIFS(Journal!$D$3:$D$143,Journal!$A$3:$A$143,$B92,Journal!$E$3:$E$143,K$3))</f>
        <v/>
      </c>
      <c r="L92" s="86" t="str">
        <f>IF(SUMIFS(Journal!$D$3:$D$143,Journal!$A$3:$A$143,$B92,Journal!$F$3:$F$143,K$3)=0,"",SUMIFS(Journal!$D$3:$D$143,Journal!$A$3:$A$143,$B92,Journal!$F$3:$F$143,K$3))</f>
        <v/>
      </c>
      <c r="M92" s="86" t="str">
        <f>IF(SUMIFS(Journal!$D$3:$D$143,Journal!$A$3:$A$143,$B92,Journal!$E$3:$E$143,M$3)=0,"",SUMIFS(Journal!$D$3:$D$143,Journal!$A$3:$A$143,$B92,Journal!$E$3:$E$143,M$3))</f>
        <v/>
      </c>
      <c r="N92" s="86" t="str">
        <f>IF(SUMIFS(Journal!$D$3:$D$143,Journal!$A$3:$A$143,$B92,Journal!$F$3:$F$143,M$3)=0,"",SUMIFS(Journal!$D$3:$D$143,Journal!$A$3:$A$143,$B92,Journal!$F$3:$F$143,M$3))</f>
        <v/>
      </c>
      <c r="O92" s="86" t="str">
        <f>IF(SUMIFS(Journal!$D$3:$D$143,Journal!$A$3:$A$143,$B92,Journal!$E$3:$E$143,O$3)=0,"",SUMIFS(Journal!$D$3:$D$143,Journal!$A$3:$A$143,$B92,Journal!$E$3:$E$143,O$3))</f>
        <v/>
      </c>
      <c r="P92" s="86" t="str">
        <f>IF(SUMIFS(Journal!$D$3:$D$143,Journal!$A$3:$A$143,$B92,Journal!$F$3:$F$143,O$3)=0,"",SUMIFS(Journal!$D$3:$D$143,Journal!$A$3:$A$143,$B92,Journal!$F$3:$F$143,O$3))</f>
        <v/>
      </c>
      <c r="Q92" s="86" t="str">
        <f>IF(SUMIFS(Journal!$D$3:$D$143,Journal!$A$3:$A$143,$B92,Journal!$E$3:$E$143,Q$3)=0,"",SUMIFS(Journal!$D$3:$D$143,Journal!$A$3:$A$143,$B92,Journal!$E$3:$E$143,Q$3))</f>
        <v/>
      </c>
      <c r="R92" s="86" t="str">
        <f>IF(SUMIFS(Journal!$D$3:$D$143,Journal!$A$3:$A$143,$B92,Journal!$F$3:$F$143,Q$3)=0,"",SUMIFS(Journal!$D$3:$D$143,Journal!$A$3:$A$143,$B92,Journal!$F$3:$F$143,Q$3))</f>
        <v/>
      </c>
      <c r="S92" s="86" t="str">
        <f>IF(SUMIFS(Journal!$D$3:$D$143,Journal!$A$3:$A$143,$B92,Journal!$E$3:$E$143,S$3)=0,"",SUMIFS(Journal!$D$3:$D$143,Journal!$A$3:$A$143,$B92,Journal!$E$3:$E$143,S$3))</f>
        <v/>
      </c>
      <c r="T92" s="86" t="str">
        <f>IF(SUMIFS(Journal!$D$3:$D$143,Journal!$A$3:$A$143,$B92,Journal!$F$3:$F$143,S$3)=0,"",SUMIFS(Journal!$D$3:$D$143,Journal!$A$3:$A$143,$B92,Journal!$F$3:$F$143,S$3))</f>
        <v/>
      </c>
      <c r="U92" s="86" t="str">
        <f>IF(SUMIFS(Journal!$D$3:$D$143,Journal!$A$3:$A$143,$B92,Journal!$E$3:$E$143,U$3)=0,"",SUMIFS(Journal!$D$3:$D$143,Journal!$A$3:$A$143,$B92,Journal!$E$3:$E$143,U$3))</f>
        <v/>
      </c>
      <c r="V92" s="86" t="str">
        <f>IF(SUMIFS(Journal!$D$3:$D$143,Journal!$A$3:$A$143,$B92,Journal!$F$3:$F$143,U$3)=0,"",SUMIFS(Journal!$D$3:$D$143,Journal!$A$3:$A$143,$B92,Journal!$F$3:$F$143,U$3))</f>
        <v/>
      </c>
      <c r="W92" s="86" t="str">
        <f>IF(SUMIFS(Journal!$D$3:$D$143,Journal!$A$3:$A$143,$B92,Journal!$E$3:$E$143,W$3)=0,"",SUMIFS(Journal!$D$3:$D$143,Journal!$A$3:$A$143,$B92,Journal!$E$3:$E$143,W$3))</f>
        <v/>
      </c>
      <c r="X92" s="86" t="str">
        <f>IF(SUMIFS(Journal!$D$3:$D$143,Journal!$A$3:$A$143,$B92,Journal!$F$3:$F$143,W$3)=0,"",SUMIFS(Journal!$D$3:$D$143,Journal!$A$3:$A$143,$B92,Journal!$F$3:$F$143,W$3))</f>
        <v/>
      </c>
      <c r="Y92" s="86" t="str">
        <f>IF(SUMIFS(Journal!$D$3:$D$143,Journal!$A$3:$A$143,$B92,Journal!$E$3:$E$143,Y$3)=0,"",SUMIFS(Journal!$D$3:$D$143,Journal!$A$3:$A$143,$B92,Journal!$E$3:$E$143,Y$3))</f>
        <v/>
      </c>
      <c r="Z92" s="86" t="str">
        <f>IF(SUMIFS(Journal!$D$3:$D$143,Journal!$A$3:$A$143,$B92,Journal!$F$3:$F$143,Y$3)=0,"",SUMIFS(Journal!$D$3:$D$143,Journal!$A$3:$A$143,$B92,Journal!$F$3:$F$143,Y$3))</f>
        <v/>
      </c>
      <c r="AA92" s="86" t="str">
        <f>IF(SUMIFS(Journal!$D$3:$D$143,Journal!$A$3:$A$143,$B92,Journal!$E$3:$E$143,AA$3)=0,"",SUMIFS(Journal!$D$3:$D$143,Journal!$A$3:$A$143,$B92,Journal!$E$3:$E$143,AA$3))</f>
        <v/>
      </c>
      <c r="AB92" s="86" t="str">
        <f>IF(SUMIFS(Journal!$D$3:$D$143,Journal!$A$3:$A$143,$B92,Journal!$F$3:$F$143,AA$3)=0,"",SUMIFS(Journal!$D$3:$D$143,Journal!$A$3:$A$143,$B92,Journal!$F$3:$F$143,AA$3))</f>
        <v/>
      </c>
      <c r="AC92" s="86" t="str">
        <f>IF(SUMIFS(Journal!$D$3:$D$143,Journal!$A$3:$A$143,$B92,Journal!$E$3:$E$143,AC$3)=0,"",SUMIFS(Journal!$D$3:$D$143,Journal!$A$3:$A$143,$B92,Journal!$E$3:$E$143,AC$3))</f>
        <v/>
      </c>
      <c r="AD92" s="86">
        <f>IF(SUMIFS(Journal!$D$3:$D$143,Journal!$A$3:$A$143,$B92,Journal!$F$3:$F$143,AC$3)=0,"",SUMIFS(Journal!$D$3:$D$143,Journal!$A$3:$A$143,$B92,Journal!$F$3:$F$143,AC$3))</f>
        <v>7000</v>
      </c>
      <c r="AE92" s="86" t="str">
        <f>IF(SUMIFS(Journal!$D$3:$D$143,Journal!$A$3:$A$143,$B92,Journal!$E$3:$E$143,AE$3)=0,"",SUMIFS(Journal!$D$3:$D$143,Journal!$A$3:$A$143,$B92,Journal!$E$3:$E$143,AE$3))</f>
        <v/>
      </c>
      <c r="AF92" s="86" t="str">
        <f>IF(SUMIFS(Journal!$D$3:$D$143,Journal!$A$3:$A$143,$B92,Journal!$F$3:$F$143,AE$3)=0,"",SUMIFS(Journal!$D$3:$D$143,Journal!$A$3:$A$143,$B92,Journal!$F$3:$F$143,AE$3))</f>
        <v/>
      </c>
      <c r="AG92" s="86" t="str">
        <f>IF(SUMIFS(Journal!$D$3:$D$143,Journal!$A$3:$A$143,$B92,Journal!$E$3:$E$143,AG$3)=0,"",SUMIFS(Journal!$D$3:$D$143,Journal!$A$3:$A$143,$B92,Journal!$E$3:$E$143,AG$3))</f>
        <v/>
      </c>
      <c r="AH92" s="86" t="str">
        <f>IF(SUMIFS(Journal!$D$3:$D$143,Journal!$A$3:$A$143,$B92,Journal!$F$3:$F$143,AG$3)=0,"",SUMIFS(Journal!$D$3:$D$143,Journal!$A$3:$A$143,$B92,Journal!$F$3:$F$143,AG$3))</f>
        <v/>
      </c>
      <c r="AI92" s="86" t="str">
        <f>IF(SUMIFS(Journal!$D$3:$D$143,Journal!$A$3:$A$143,$B92,Journal!$E$3:$E$143,AI$3)=0,"",SUMIFS(Journal!$D$3:$D$143,Journal!$A$3:$A$143,$B92,Journal!$E$3:$E$143,AI$3))</f>
        <v/>
      </c>
      <c r="AJ92" s="86" t="str">
        <f>IF(SUMIFS(Journal!$D$3:$D$143,Journal!$A$3:$A$143,$B92,Journal!$F$3:$F$143,AI$3)=0,"",SUMIFS(Journal!$D$3:$D$143,Journal!$A$3:$A$143,$B92,Journal!$F$3:$F$143,AI$3))</f>
        <v/>
      </c>
      <c r="AK92" s="86" t="str">
        <f>IF(SUMIFS(Journal!$D$3:$D$143,Journal!$A$3:$A$143,$B92,Journal!$E$3:$E$143,AK$3)=0,"",SUMIFS(Journal!$D$3:$D$143,Journal!$A$3:$A$143,$B92,Journal!$E$3:$E$143,AK$3))</f>
        <v/>
      </c>
      <c r="AL92" s="86" t="str">
        <f>IF(SUMIFS(Journal!$D$3:$D$143,Journal!$A$3:$A$143,$B92,Journal!$F$3:$F$143,AK$3)=0,"",SUMIFS(Journal!$D$3:$D$143,Journal!$A$3:$A$143,$B92,Journal!$F$3:$F$143,AK$3))</f>
        <v/>
      </c>
      <c r="AM92" s="86" t="str">
        <f>IF(SUMIFS(Journal!$D$3:$D$143,Journal!$A$3:$A$143,$B92,Journal!$E$3:$E$143,AM$3)=0,"",SUMIFS(Journal!$D$3:$D$143,Journal!$A$3:$A$143,$B92,Journal!$E$3:$E$143,AM$3))</f>
        <v/>
      </c>
      <c r="AN92" s="86" t="str">
        <f>IF(SUMIFS(Journal!$D$3:$D$143,Journal!$A$3:$A$143,$B92,Journal!$F$3:$F$143,AM$3)=0,"",SUMIFS(Journal!$D$3:$D$143,Journal!$A$3:$A$143,$B92,Journal!$F$3:$F$143,AM$3))</f>
        <v/>
      </c>
      <c r="AO92" s="86" t="str">
        <f>IF(SUMIFS(Journal!$D$3:$D$143,Journal!$A$3:$A$143,$B92,Journal!$E$3:$E$143,AO$3)=0,"",SUMIFS(Journal!$D$3:$D$143,Journal!$A$3:$A$143,$B92,Journal!$E$3:$E$143,AO$3))</f>
        <v/>
      </c>
      <c r="AP92" s="86" t="str">
        <f>IF(SUMIFS(Journal!$D$3:$D$143,Journal!$A$3:$A$143,$B92,Journal!$F$3:$F$143,AO$3)=0,"",SUMIFS(Journal!$D$3:$D$143,Journal!$A$3:$A$143,$B92,Journal!$F$3:$F$143,AO$3))</f>
        <v/>
      </c>
      <c r="AQ92" s="86" t="str">
        <f>IF(SUMIFS(Journal!$D$3:$D$143,Journal!$A$3:$A$143,$B92,Journal!$E$3:$E$143,AQ$3)=0,"",SUMIFS(Journal!$D$3:$D$143,Journal!$A$3:$A$143,$B92,Journal!$E$3:$E$143,AQ$3))</f>
        <v/>
      </c>
      <c r="AR92" s="86" t="str">
        <f>IF(SUMIFS(Journal!$D$3:$D$143,Journal!$A$3:$A$143,$B92,Journal!$F$3:$F$143,AQ$3)=0,"",SUMIFS(Journal!$D$3:$D$143,Journal!$A$3:$A$143,$B92,Journal!$F$3:$F$143,AQ$3))</f>
        <v/>
      </c>
      <c r="AS92" s="86" t="str">
        <f>IF(SUMIFS(Journal!$D$3:$D$143,Journal!$A$3:$A$143,$B92,Journal!$E$3:$E$143,AS$3)=0,"",SUMIFS(Journal!$D$3:$D$143,Journal!$A$3:$A$143,$B92,Journal!$E$3:$E$143,AS$3))</f>
        <v/>
      </c>
      <c r="AT92" s="86" t="str">
        <f>IF(SUMIFS(Journal!$D$3:$D$143,Journal!$A$3:$A$143,$B92,Journal!$F$3:$F$143,AS$3)=0,"",SUMIFS(Journal!$D$3:$D$143,Journal!$A$3:$A$143,$B92,Journal!$F$3:$F$143,AS$3))</f>
        <v/>
      </c>
      <c r="AU92" s="86" t="str">
        <f>IF(SUMIFS(Journal!$D$3:$D$143,Journal!$A$3:$A$143,$B92,Journal!$E$3:$E$143,AU$3)=0,"",SUMIFS(Journal!$D$3:$D$143,Journal!$A$3:$A$143,$B92,Journal!$E$3:$E$143,AU$3))</f>
        <v/>
      </c>
      <c r="AV92" s="86" t="str">
        <f>IF(SUMIFS(Journal!$D$3:$D$143,Journal!$A$3:$A$143,$B92,Journal!$F$3:$F$143,AU$3)=0,"",SUMIFS(Journal!$D$3:$D$143,Journal!$A$3:$A$143,$B92,Journal!$F$3:$F$143,AU$3))</f>
        <v/>
      </c>
      <c r="AW92" s="86" t="str">
        <f>IF(SUMIFS(Journal!$D$3:$D$143,Journal!$A$3:$A$143,$B92,Journal!$E$3:$E$143,AW$3)=0,"",SUMIFS(Journal!$D$3:$D$143,Journal!$A$3:$A$143,$B92,Journal!$E$3:$E$143,AW$3))</f>
        <v/>
      </c>
      <c r="AX92" s="86" t="str">
        <f>IF(SUMIFS(Journal!$D$3:$D$143,Journal!$A$3:$A$143,$B92,Journal!$F$3:$F$143,AW$3)=0,"",SUMIFS(Journal!$D$3:$D$143,Journal!$A$3:$A$143,$B92,Journal!$F$3:$F$143,AW$3))</f>
        <v/>
      </c>
      <c r="AY92" s="86" t="str">
        <f>IF(SUMIFS(Journal!$D$3:$D$143,Journal!$A$3:$A$143,$B92,Journal!$E$3:$E$143,AY$3)=0,"",SUMIFS(Journal!$D$3:$D$143,Journal!$A$3:$A$143,$B92,Journal!$E$3:$E$143,AY$3))</f>
        <v/>
      </c>
      <c r="AZ92" s="86" t="str">
        <f>IF(SUMIFS(Journal!$D$3:$D$143,Journal!$A$3:$A$143,$B92,Journal!$F$3:$F$143,AY$3)=0,"",SUMIFS(Journal!$D$3:$D$143,Journal!$A$3:$A$143,$B92,Journal!$F$3:$F$143,AY$3))</f>
        <v/>
      </c>
      <c r="BA92" s="86" t="str">
        <f>IF(SUMIFS(Journal!$D$3:$D$143,Journal!$A$3:$A$143,$B92,Journal!$E$3:$E$143,BA$3)=0,"",SUMIFS(Journal!$D$3:$D$143,Journal!$A$3:$A$143,$B92,Journal!$E$3:$E$143,BA$3))</f>
        <v/>
      </c>
      <c r="BB92" s="86" t="str">
        <f>IF(SUMIFS(Journal!$D$3:$D$143,Journal!$A$3:$A$143,$B92,Journal!$F$3:$F$143,BA$3)=0,"",SUMIFS(Journal!$D$3:$D$143,Journal!$A$3:$A$143,$B92,Journal!$F$3:$F$143,BA$3))</f>
        <v/>
      </c>
    </row>
    <row r="93">
      <c r="A93" s="84">
        <f>VLOOKUP(B93,Journal!$A$3:$C$143,2,FALSE)</f>
        <v>45528</v>
      </c>
      <c r="B93" s="85" t="s">
        <v>538</v>
      </c>
      <c r="C93" s="86" t="str">
        <f>VLOOKUP(B93,Journal!$A$3:$C$143,3,FALSE)</f>
        <v>Employee payroll settlement</v>
      </c>
      <c r="D93" s="86">
        <f>SUMIF(Journal!$A$3:$A$143,B93,Journal!$D$3:$D$143)</f>
        <v>12120</v>
      </c>
      <c r="E93" s="86" t="str">
        <f>IF(SUMIFS(Journal!$D$3:$D$143,Journal!$A$3:$A$143,$B93,Journal!$E$3:$E$143,E$3)=0,"",SUMIFS(Journal!$D$3:$D$143,Journal!$A$3:$A$143,$B93,Journal!$E$3:$E$143,E$3))</f>
        <v/>
      </c>
      <c r="F93" s="86">
        <f>IF(SUMIFS(Journal!$D$3:$D$143,Journal!$A$3:$A$143,$B93,Journal!$F$3:$F$143,E$3)=0,"",SUMIFS(Journal!$D$3:$D$143,Journal!$A$3:$A$143,$B93,Journal!$F$3:$F$143,E$3))</f>
        <v>12120</v>
      </c>
      <c r="G93" s="86" t="str">
        <f>IF(SUMIFS(Journal!$D$3:$D$143,Journal!$A$3:$A$143,$B93,Journal!$E$3:$E$143,G$3)=0,"",SUMIFS(Journal!$D$3:$D$143,Journal!$A$3:$A$143,$B93,Journal!$E$3:$E$143,G$3))</f>
        <v/>
      </c>
      <c r="H93" s="86" t="str">
        <f>IF(SUMIFS(Journal!$D$3:$D$143,Journal!$A$3:$A$143,$B93,Journal!$F$3:$F$143,G$3)=0,"",SUMIFS(Journal!$D$3:$D$143,Journal!$A$3:$A$143,$B93,Journal!$F$3:$F$143,G$3))</f>
        <v/>
      </c>
      <c r="I93" s="86" t="str">
        <f>IF(SUMIFS(Journal!$D$3:$D$143,Journal!$A$3:$A$143,$B93,Journal!$E$3:$E$143,I$3)=0,"",SUMIFS(Journal!$D$3:$D$143,Journal!$A$3:$A$143,$B93,Journal!$E$3:$E$143,I$3))</f>
        <v/>
      </c>
      <c r="J93" s="86" t="str">
        <f>IF(SUMIFS(Journal!$D$3:$D$143,Journal!$A$3:$A$143,$B93,Journal!$F$3:$F$143,I$3)=0,"",SUMIFS(Journal!$D$3:$D$143,Journal!$A$3:$A$143,$B93,Journal!$F$3:$F$143,I$3))</f>
        <v/>
      </c>
      <c r="K93" s="86" t="str">
        <f>IF(SUMIFS(Journal!$D$3:$D$143,Journal!$A$3:$A$143,$B93,Journal!$E$3:$E$143,K$3)=0,"",SUMIFS(Journal!$D$3:$D$143,Journal!$A$3:$A$143,$B93,Journal!$E$3:$E$143,K$3))</f>
        <v/>
      </c>
      <c r="L93" s="86" t="str">
        <f>IF(SUMIFS(Journal!$D$3:$D$143,Journal!$A$3:$A$143,$B93,Journal!$F$3:$F$143,K$3)=0,"",SUMIFS(Journal!$D$3:$D$143,Journal!$A$3:$A$143,$B93,Journal!$F$3:$F$143,K$3))</f>
        <v/>
      </c>
      <c r="M93" s="86" t="str">
        <f>IF(SUMIFS(Journal!$D$3:$D$143,Journal!$A$3:$A$143,$B93,Journal!$E$3:$E$143,M$3)=0,"",SUMIFS(Journal!$D$3:$D$143,Journal!$A$3:$A$143,$B93,Journal!$E$3:$E$143,M$3))</f>
        <v/>
      </c>
      <c r="N93" s="86" t="str">
        <f>IF(SUMIFS(Journal!$D$3:$D$143,Journal!$A$3:$A$143,$B93,Journal!$F$3:$F$143,M$3)=0,"",SUMIFS(Journal!$D$3:$D$143,Journal!$A$3:$A$143,$B93,Journal!$F$3:$F$143,M$3))</f>
        <v/>
      </c>
      <c r="O93" s="86" t="str">
        <f>IF(SUMIFS(Journal!$D$3:$D$143,Journal!$A$3:$A$143,$B93,Journal!$E$3:$E$143,O$3)=0,"",SUMIFS(Journal!$D$3:$D$143,Journal!$A$3:$A$143,$B93,Journal!$E$3:$E$143,O$3))</f>
        <v/>
      </c>
      <c r="P93" s="86" t="str">
        <f>IF(SUMIFS(Journal!$D$3:$D$143,Journal!$A$3:$A$143,$B93,Journal!$F$3:$F$143,O$3)=0,"",SUMIFS(Journal!$D$3:$D$143,Journal!$A$3:$A$143,$B93,Journal!$F$3:$F$143,O$3))</f>
        <v/>
      </c>
      <c r="Q93" s="86" t="str">
        <f>IF(SUMIFS(Journal!$D$3:$D$143,Journal!$A$3:$A$143,$B93,Journal!$E$3:$E$143,Q$3)=0,"",SUMIFS(Journal!$D$3:$D$143,Journal!$A$3:$A$143,$B93,Journal!$E$3:$E$143,Q$3))</f>
        <v/>
      </c>
      <c r="R93" s="86" t="str">
        <f>IF(SUMIFS(Journal!$D$3:$D$143,Journal!$A$3:$A$143,$B93,Journal!$F$3:$F$143,Q$3)=0,"",SUMIFS(Journal!$D$3:$D$143,Journal!$A$3:$A$143,$B93,Journal!$F$3:$F$143,Q$3))</f>
        <v/>
      </c>
      <c r="S93" s="86" t="str">
        <f>IF(SUMIFS(Journal!$D$3:$D$143,Journal!$A$3:$A$143,$B93,Journal!$E$3:$E$143,S$3)=0,"",SUMIFS(Journal!$D$3:$D$143,Journal!$A$3:$A$143,$B93,Journal!$E$3:$E$143,S$3))</f>
        <v/>
      </c>
      <c r="T93" s="86" t="str">
        <f>IF(SUMIFS(Journal!$D$3:$D$143,Journal!$A$3:$A$143,$B93,Journal!$F$3:$F$143,S$3)=0,"",SUMIFS(Journal!$D$3:$D$143,Journal!$A$3:$A$143,$B93,Journal!$F$3:$F$143,S$3))</f>
        <v/>
      </c>
      <c r="U93" s="86" t="str">
        <f>IF(SUMIFS(Journal!$D$3:$D$143,Journal!$A$3:$A$143,$B93,Journal!$E$3:$E$143,U$3)=0,"",SUMIFS(Journal!$D$3:$D$143,Journal!$A$3:$A$143,$B93,Journal!$E$3:$E$143,U$3))</f>
        <v/>
      </c>
      <c r="V93" s="86" t="str">
        <f>IF(SUMIFS(Journal!$D$3:$D$143,Journal!$A$3:$A$143,$B93,Journal!$F$3:$F$143,U$3)=0,"",SUMIFS(Journal!$D$3:$D$143,Journal!$A$3:$A$143,$B93,Journal!$F$3:$F$143,U$3))</f>
        <v/>
      </c>
      <c r="W93" s="86" t="str">
        <f>IF(SUMIFS(Journal!$D$3:$D$143,Journal!$A$3:$A$143,$B93,Journal!$E$3:$E$143,W$3)=0,"",SUMIFS(Journal!$D$3:$D$143,Journal!$A$3:$A$143,$B93,Journal!$E$3:$E$143,W$3))</f>
        <v/>
      </c>
      <c r="X93" s="86" t="str">
        <f>IF(SUMIFS(Journal!$D$3:$D$143,Journal!$A$3:$A$143,$B93,Journal!$F$3:$F$143,W$3)=0,"",SUMIFS(Journal!$D$3:$D$143,Journal!$A$3:$A$143,$B93,Journal!$F$3:$F$143,W$3))</f>
        <v/>
      </c>
      <c r="Y93" s="86" t="str">
        <f>IF(SUMIFS(Journal!$D$3:$D$143,Journal!$A$3:$A$143,$B93,Journal!$E$3:$E$143,Y$3)=0,"",SUMIFS(Journal!$D$3:$D$143,Journal!$A$3:$A$143,$B93,Journal!$E$3:$E$143,Y$3))</f>
        <v/>
      </c>
      <c r="Z93" s="86" t="str">
        <f>IF(SUMIFS(Journal!$D$3:$D$143,Journal!$A$3:$A$143,$B93,Journal!$F$3:$F$143,Y$3)=0,"",SUMIFS(Journal!$D$3:$D$143,Journal!$A$3:$A$143,$B93,Journal!$F$3:$F$143,Y$3))</f>
        <v/>
      </c>
      <c r="AA93" s="86" t="str">
        <f>IF(SUMIFS(Journal!$D$3:$D$143,Journal!$A$3:$A$143,$B93,Journal!$E$3:$E$143,AA$3)=0,"",SUMIFS(Journal!$D$3:$D$143,Journal!$A$3:$A$143,$B93,Journal!$E$3:$E$143,AA$3))</f>
        <v/>
      </c>
      <c r="AB93" s="86" t="str">
        <f>IF(SUMIFS(Journal!$D$3:$D$143,Journal!$A$3:$A$143,$B93,Journal!$F$3:$F$143,AA$3)=0,"",SUMIFS(Journal!$D$3:$D$143,Journal!$A$3:$A$143,$B93,Journal!$F$3:$F$143,AA$3))</f>
        <v/>
      </c>
      <c r="AC93" s="86" t="str">
        <f>IF(SUMIFS(Journal!$D$3:$D$143,Journal!$A$3:$A$143,$B93,Journal!$E$3:$E$143,AC$3)=0,"",SUMIFS(Journal!$D$3:$D$143,Journal!$A$3:$A$143,$B93,Journal!$E$3:$E$143,AC$3))</f>
        <v/>
      </c>
      <c r="AD93" s="86" t="str">
        <f>IF(SUMIFS(Journal!$D$3:$D$143,Journal!$A$3:$A$143,$B93,Journal!$F$3:$F$143,AC$3)=0,"",SUMIFS(Journal!$D$3:$D$143,Journal!$A$3:$A$143,$B93,Journal!$F$3:$F$143,AC$3))</f>
        <v/>
      </c>
      <c r="AE93" s="86" t="str">
        <f>IF(SUMIFS(Journal!$D$3:$D$143,Journal!$A$3:$A$143,$B93,Journal!$E$3:$E$143,AE$3)=0,"",SUMIFS(Journal!$D$3:$D$143,Journal!$A$3:$A$143,$B93,Journal!$E$3:$E$143,AE$3))</f>
        <v/>
      </c>
      <c r="AF93" s="86" t="str">
        <f>IF(SUMIFS(Journal!$D$3:$D$143,Journal!$A$3:$A$143,$B93,Journal!$F$3:$F$143,AE$3)=0,"",SUMIFS(Journal!$D$3:$D$143,Journal!$A$3:$A$143,$B93,Journal!$F$3:$F$143,AE$3))</f>
        <v/>
      </c>
      <c r="AG93" s="86">
        <f>IF(SUMIFS(Journal!$D$3:$D$143,Journal!$A$3:$A$143,$B93,Journal!$E$3:$E$143,AG$3)=0,"",SUMIFS(Journal!$D$3:$D$143,Journal!$A$3:$A$143,$B93,Journal!$E$3:$E$143,AG$3))</f>
        <v>12120</v>
      </c>
      <c r="AH93" s="86" t="str">
        <f>IF(SUMIFS(Journal!$D$3:$D$143,Journal!$A$3:$A$143,$B93,Journal!$F$3:$F$143,AG$3)=0,"",SUMIFS(Journal!$D$3:$D$143,Journal!$A$3:$A$143,$B93,Journal!$F$3:$F$143,AG$3))</f>
        <v/>
      </c>
      <c r="AI93" s="86" t="str">
        <f>IF(SUMIFS(Journal!$D$3:$D$143,Journal!$A$3:$A$143,$B93,Journal!$E$3:$E$143,AI$3)=0,"",SUMIFS(Journal!$D$3:$D$143,Journal!$A$3:$A$143,$B93,Journal!$E$3:$E$143,AI$3))</f>
        <v/>
      </c>
      <c r="AJ93" s="86" t="str">
        <f>IF(SUMIFS(Journal!$D$3:$D$143,Journal!$A$3:$A$143,$B93,Journal!$F$3:$F$143,AI$3)=0,"",SUMIFS(Journal!$D$3:$D$143,Journal!$A$3:$A$143,$B93,Journal!$F$3:$F$143,AI$3))</f>
        <v/>
      </c>
      <c r="AK93" s="86" t="str">
        <f>IF(SUMIFS(Journal!$D$3:$D$143,Journal!$A$3:$A$143,$B93,Journal!$E$3:$E$143,AK$3)=0,"",SUMIFS(Journal!$D$3:$D$143,Journal!$A$3:$A$143,$B93,Journal!$E$3:$E$143,AK$3))</f>
        <v/>
      </c>
      <c r="AL93" s="86" t="str">
        <f>IF(SUMIFS(Journal!$D$3:$D$143,Journal!$A$3:$A$143,$B93,Journal!$F$3:$F$143,AK$3)=0,"",SUMIFS(Journal!$D$3:$D$143,Journal!$A$3:$A$143,$B93,Journal!$F$3:$F$143,AK$3))</f>
        <v/>
      </c>
      <c r="AM93" s="86" t="str">
        <f>IF(SUMIFS(Journal!$D$3:$D$143,Journal!$A$3:$A$143,$B93,Journal!$E$3:$E$143,AM$3)=0,"",SUMIFS(Journal!$D$3:$D$143,Journal!$A$3:$A$143,$B93,Journal!$E$3:$E$143,AM$3))</f>
        <v/>
      </c>
      <c r="AN93" s="86" t="str">
        <f>IF(SUMIFS(Journal!$D$3:$D$143,Journal!$A$3:$A$143,$B93,Journal!$F$3:$F$143,AM$3)=0,"",SUMIFS(Journal!$D$3:$D$143,Journal!$A$3:$A$143,$B93,Journal!$F$3:$F$143,AM$3))</f>
        <v/>
      </c>
      <c r="AO93" s="86" t="str">
        <f>IF(SUMIFS(Journal!$D$3:$D$143,Journal!$A$3:$A$143,$B93,Journal!$E$3:$E$143,AO$3)=0,"",SUMIFS(Journal!$D$3:$D$143,Journal!$A$3:$A$143,$B93,Journal!$E$3:$E$143,AO$3))</f>
        <v/>
      </c>
      <c r="AP93" s="86" t="str">
        <f>IF(SUMIFS(Journal!$D$3:$D$143,Journal!$A$3:$A$143,$B93,Journal!$F$3:$F$143,AO$3)=0,"",SUMIFS(Journal!$D$3:$D$143,Journal!$A$3:$A$143,$B93,Journal!$F$3:$F$143,AO$3))</f>
        <v/>
      </c>
      <c r="AQ93" s="86" t="str">
        <f>IF(SUMIFS(Journal!$D$3:$D$143,Journal!$A$3:$A$143,$B93,Journal!$E$3:$E$143,AQ$3)=0,"",SUMIFS(Journal!$D$3:$D$143,Journal!$A$3:$A$143,$B93,Journal!$E$3:$E$143,AQ$3))</f>
        <v/>
      </c>
      <c r="AR93" s="86" t="str">
        <f>IF(SUMIFS(Journal!$D$3:$D$143,Journal!$A$3:$A$143,$B93,Journal!$F$3:$F$143,AQ$3)=0,"",SUMIFS(Journal!$D$3:$D$143,Journal!$A$3:$A$143,$B93,Journal!$F$3:$F$143,AQ$3))</f>
        <v/>
      </c>
      <c r="AS93" s="86" t="str">
        <f>IF(SUMIFS(Journal!$D$3:$D$143,Journal!$A$3:$A$143,$B93,Journal!$E$3:$E$143,AS$3)=0,"",SUMIFS(Journal!$D$3:$D$143,Journal!$A$3:$A$143,$B93,Journal!$E$3:$E$143,AS$3))</f>
        <v/>
      </c>
      <c r="AT93" s="86" t="str">
        <f>IF(SUMIFS(Journal!$D$3:$D$143,Journal!$A$3:$A$143,$B93,Journal!$F$3:$F$143,AS$3)=0,"",SUMIFS(Journal!$D$3:$D$143,Journal!$A$3:$A$143,$B93,Journal!$F$3:$F$143,AS$3))</f>
        <v/>
      </c>
      <c r="AU93" s="86" t="str">
        <f>IF(SUMIFS(Journal!$D$3:$D$143,Journal!$A$3:$A$143,$B93,Journal!$E$3:$E$143,AU$3)=0,"",SUMIFS(Journal!$D$3:$D$143,Journal!$A$3:$A$143,$B93,Journal!$E$3:$E$143,AU$3))</f>
        <v/>
      </c>
      <c r="AV93" s="86" t="str">
        <f>IF(SUMIFS(Journal!$D$3:$D$143,Journal!$A$3:$A$143,$B93,Journal!$F$3:$F$143,AU$3)=0,"",SUMIFS(Journal!$D$3:$D$143,Journal!$A$3:$A$143,$B93,Journal!$F$3:$F$143,AU$3))</f>
        <v/>
      </c>
      <c r="AW93" s="86" t="str">
        <f>IF(SUMIFS(Journal!$D$3:$D$143,Journal!$A$3:$A$143,$B93,Journal!$E$3:$E$143,AW$3)=0,"",SUMIFS(Journal!$D$3:$D$143,Journal!$A$3:$A$143,$B93,Journal!$E$3:$E$143,AW$3))</f>
        <v/>
      </c>
      <c r="AX93" s="86" t="str">
        <f>IF(SUMIFS(Journal!$D$3:$D$143,Journal!$A$3:$A$143,$B93,Journal!$F$3:$F$143,AW$3)=0,"",SUMIFS(Journal!$D$3:$D$143,Journal!$A$3:$A$143,$B93,Journal!$F$3:$F$143,AW$3))</f>
        <v/>
      </c>
      <c r="AY93" s="86" t="str">
        <f>IF(SUMIFS(Journal!$D$3:$D$143,Journal!$A$3:$A$143,$B93,Journal!$E$3:$E$143,AY$3)=0,"",SUMIFS(Journal!$D$3:$D$143,Journal!$A$3:$A$143,$B93,Journal!$E$3:$E$143,AY$3))</f>
        <v/>
      </c>
      <c r="AZ93" s="86" t="str">
        <f>IF(SUMIFS(Journal!$D$3:$D$143,Journal!$A$3:$A$143,$B93,Journal!$F$3:$F$143,AY$3)=0,"",SUMIFS(Journal!$D$3:$D$143,Journal!$A$3:$A$143,$B93,Journal!$F$3:$F$143,AY$3))</f>
        <v/>
      </c>
      <c r="BA93" s="86" t="str">
        <f>IF(SUMIFS(Journal!$D$3:$D$143,Journal!$A$3:$A$143,$B93,Journal!$E$3:$E$143,BA$3)=0,"",SUMIFS(Journal!$D$3:$D$143,Journal!$A$3:$A$143,$B93,Journal!$E$3:$E$143,BA$3))</f>
        <v/>
      </c>
      <c r="BB93" s="86" t="str">
        <f>IF(SUMIFS(Journal!$D$3:$D$143,Journal!$A$3:$A$143,$B93,Journal!$F$3:$F$143,BA$3)=0,"",SUMIFS(Journal!$D$3:$D$143,Journal!$A$3:$A$143,$B93,Journal!$F$3:$F$143,BA$3))</f>
        <v/>
      </c>
    </row>
    <row r="94">
      <c r="A94" s="84">
        <f>VLOOKUP(B94,Journal!$A$3:$C$143,2,FALSE)</f>
        <v>45535</v>
      </c>
      <c r="B94" s="85" t="s">
        <v>541</v>
      </c>
      <c r="C94" s="86" t="str">
        <f>VLOOKUP(B94,Journal!$A$3:$C$143,3,FALSE)</f>
        <v>Monthly utility settlement</v>
      </c>
      <c r="D94" s="86">
        <f>SUMIF(Journal!$A$3:$A$143,B94,Journal!$D$3:$D$143)</f>
        <v>1227</v>
      </c>
      <c r="E94" s="86" t="str">
        <f>IF(SUMIFS(Journal!$D$3:$D$143,Journal!$A$3:$A$143,$B94,Journal!$E$3:$E$143,E$3)=0,"",SUMIFS(Journal!$D$3:$D$143,Journal!$A$3:$A$143,$B94,Journal!$E$3:$E$143,E$3))</f>
        <v/>
      </c>
      <c r="F94" s="86">
        <f>IF(SUMIFS(Journal!$D$3:$D$143,Journal!$A$3:$A$143,$B94,Journal!$F$3:$F$143,E$3)=0,"",SUMIFS(Journal!$D$3:$D$143,Journal!$A$3:$A$143,$B94,Journal!$F$3:$F$143,E$3))</f>
        <v>1227</v>
      </c>
      <c r="G94" s="86" t="str">
        <f>IF(SUMIFS(Journal!$D$3:$D$143,Journal!$A$3:$A$143,$B94,Journal!$E$3:$E$143,G$3)=0,"",SUMIFS(Journal!$D$3:$D$143,Journal!$A$3:$A$143,$B94,Journal!$E$3:$E$143,G$3))</f>
        <v/>
      </c>
      <c r="H94" s="86" t="str">
        <f>IF(SUMIFS(Journal!$D$3:$D$143,Journal!$A$3:$A$143,$B94,Journal!$F$3:$F$143,G$3)=0,"",SUMIFS(Journal!$D$3:$D$143,Journal!$A$3:$A$143,$B94,Journal!$F$3:$F$143,G$3))</f>
        <v/>
      </c>
      <c r="I94" s="86" t="str">
        <f>IF(SUMIFS(Journal!$D$3:$D$143,Journal!$A$3:$A$143,$B94,Journal!$E$3:$E$143,I$3)=0,"",SUMIFS(Journal!$D$3:$D$143,Journal!$A$3:$A$143,$B94,Journal!$E$3:$E$143,I$3))</f>
        <v/>
      </c>
      <c r="J94" s="86" t="str">
        <f>IF(SUMIFS(Journal!$D$3:$D$143,Journal!$A$3:$A$143,$B94,Journal!$F$3:$F$143,I$3)=0,"",SUMIFS(Journal!$D$3:$D$143,Journal!$A$3:$A$143,$B94,Journal!$F$3:$F$143,I$3))</f>
        <v/>
      </c>
      <c r="K94" s="86" t="str">
        <f>IF(SUMIFS(Journal!$D$3:$D$143,Journal!$A$3:$A$143,$B94,Journal!$E$3:$E$143,K$3)=0,"",SUMIFS(Journal!$D$3:$D$143,Journal!$A$3:$A$143,$B94,Journal!$E$3:$E$143,K$3))</f>
        <v/>
      </c>
      <c r="L94" s="86" t="str">
        <f>IF(SUMIFS(Journal!$D$3:$D$143,Journal!$A$3:$A$143,$B94,Journal!$F$3:$F$143,K$3)=0,"",SUMIFS(Journal!$D$3:$D$143,Journal!$A$3:$A$143,$B94,Journal!$F$3:$F$143,K$3))</f>
        <v/>
      </c>
      <c r="M94" s="86" t="str">
        <f>IF(SUMIFS(Journal!$D$3:$D$143,Journal!$A$3:$A$143,$B94,Journal!$E$3:$E$143,M$3)=0,"",SUMIFS(Journal!$D$3:$D$143,Journal!$A$3:$A$143,$B94,Journal!$E$3:$E$143,M$3))</f>
        <v/>
      </c>
      <c r="N94" s="86" t="str">
        <f>IF(SUMIFS(Journal!$D$3:$D$143,Journal!$A$3:$A$143,$B94,Journal!$F$3:$F$143,M$3)=0,"",SUMIFS(Journal!$D$3:$D$143,Journal!$A$3:$A$143,$B94,Journal!$F$3:$F$143,M$3))</f>
        <v/>
      </c>
      <c r="O94" s="86" t="str">
        <f>IF(SUMIFS(Journal!$D$3:$D$143,Journal!$A$3:$A$143,$B94,Journal!$E$3:$E$143,O$3)=0,"",SUMIFS(Journal!$D$3:$D$143,Journal!$A$3:$A$143,$B94,Journal!$E$3:$E$143,O$3))</f>
        <v/>
      </c>
      <c r="P94" s="86" t="str">
        <f>IF(SUMIFS(Journal!$D$3:$D$143,Journal!$A$3:$A$143,$B94,Journal!$F$3:$F$143,O$3)=0,"",SUMIFS(Journal!$D$3:$D$143,Journal!$A$3:$A$143,$B94,Journal!$F$3:$F$143,O$3))</f>
        <v/>
      </c>
      <c r="Q94" s="86" t="str">
        <f>IF(SUMIFS(Journal!$D$3:$D$143,Journal!$A$3:$A$143,$B94,Journal!$E$3:$E$143,Q$3)=0,"",SUMIFS(Journal!$D$3:$D$143,Journal!$A$3:$A$143,$B94,Journal!$E$3:$E$143,Q$3))</f>
        <v/>
      </c>
      <c r="R94" s="86" t="str">
        <f>IF(SUMIFS(Journal!$D$3:$D$143,Journal!$A$3:$A$143,$B94,Journal!$F$3:$F$143,Q$3)=0,"",SUMIFS(Journal!$D$3:$D$143,Journal!$A$3:$A$143,$B94,Journal!$F$3:$F$143,Q$3))</f>
        <v/>
      </c>
      <c r="S94" s="86" t="str">
        <f>IF(SUMIFS(Journal!$D$3:$D$143,Journal!$A$3:$A$143,$B94,Journal!$E$3:$E$143,S$3)=0,"",SUMIFS(Journal!$D$3:$D$143,Journal!$A$3:$A$143,$B94,Journal!$E$3:$E$143,S$3))</f>
        <v/>
      </c>
      <c r="T94" s="86" t="str">
        <f>IF(SUMIFS(Journal!$D$3:$D$143,Journal!$A$3:$A$143,$B94,Journal!$F$3:$F$143,S$3)=0,"",SUMIFS(Journal!$D$3:$D$143,Journal!$A$3:$A$143,$B94,Journal!$F$3:$F$143,S$3))</f>
        <v/>
      </c>
      <c r="U94" s="86" t="str">
        <f>IF(SUMIFS(Journal!$D$3:$D$143,Journal!$A$3:$A$143,$B94,Journal!$E$3:$E$143,U$3)=0,"",SUMIFS(Journal!$D$3:$D$143,Journal!$A$3:$A$143,$B94,Journal!$E$3:$E$143,U$3))</f>
        <v/>
      </c>
      <c r="V94" s="86" t="str">
        <f>IF(SUMIFS(Journal!$D$3:$D$143,Journal!$A$3:$A$143,$B94,Journal!$F$3:$F$143,U$3)=0,"",SUMIFS(Journal!$D$3:$D$143,Journal!$A$3:$A$143,$B94,Journal!$F$3:$F$143,U$3))</f>
        <v/>
      </c>
      <c r="W94" s="86" t="str">
        <f>IF(SUMIFS(Journal!$D$3:$D$143,Journal!$A$3:$A$143,$B94,Journal!$E$3:$E$143,W$3)=0,"",SUMIFS(Journal!$D$3:$D$143,Journal!$A$3:$A$143,$B94,Journal!$E$3:$E$143,W$3))</f>
        <v/>
      </c>
      <c r="X94" s="86" t="str">
        <f>IF(SUMIFS(Journal!$D$3:$D$143,Journal!$A$3:$A$143,$B94,Journal!$F$3:$F$143,W$3)=0,"",SUMIFS(Journal!$D$3:$D$143,Journal!$A$3:$A$143,$B94,Journal!$F$3:$F$143,W$3))</f>
        <v/>
      </c>
      <c r="Y94" s="86" t="str">
        <f>IF(SUMIFS(Journal!$D$3:$D$143,Journal!$A$3:$A$143,$B94,Journal!$E$3:$E$143,Y$3)=0,"",SUMIFS(Journal!$D$3:$D$143,Journal!$A$3:$A$143,$B94,Journal!$E$3:$E$143,Y$3))</f>
        <v/>
      </c>
      <c r="Z94" s="86" t="str">
        <f>IF(SUMIFS(Journal!$D$3:$D$143,Journal!$A$3:$A$143,$B94,Journal!$F$3:$F$143,Y$3)=0,"",SUMIFS(Journal!$D$3:$D$143,Journal!$A$3:$A$143,$B94,Journal!$F$3:$F$143,Y$3))</f>
        <v/>
      </c>
      <c r="AA94" s="86" t="str">
        <f>IF(SUMIFS(Journal!$D$3:$D$143,Journal!$A$3:$A$143,$B94,Journal!$E$3:$E$143,AA$3)=0,"",SUMIFS(Journal!$D$3:$D$143,Journal!$A$3:$A$143,$B94,Journal!$E$3:$E$143,AA$3))</f>
        <v/>
      </c>
      <c r="AB94" s="86" t="str">
        <f>IF(SUMIFS(Journal!$D$3:$D$143,Journal!$A$3:$A$143,$B94,Journal!$F$3:$F$143,AA$3)=0,"",SUMIFS(Journal!$D$3:$D$143,Journal!$A$3:$A$143,$B94,Journal!$F$3:$F$143,AA$3))</f>
        <v/>
      </c>
      <c r="AC94" s="86" t="str">
        <f>IF(SUMIFS(Journal!$D$3:$D$143,Journal!$A$3:$A$143,$B94,Journal!$E$3:$E$143,AC$3)=0,"",SUMIFS(Journal!$D$3:$D$143,Journal!$A$3:$A$143,$B94,Journal!$E$3:$E$143,AC$3))</f>
        <v/>
      </c>
      <c r="AD94" s="86" t="str">
        <f>IF(SUMIFS(Journal!$D$3:$D$143,Journal!$A$3:$A$143,$B94,Journal!$F$3:$F$143,AC$3)=0,"",SUMIFS(Journal!$D$3:$D$143,Journal!$A$3:$A$143,$B94,Journal!$F$3:$F$143,AC$3))</f>
        <v/>
      </c>
      <c r="AE94" s="86" t="str">
        <f>IF(SUMIFS(Journal!$D$3:$D$143,Journal!$A$3:$A$143,$B94,Journal!$E$3:$E$143,AE$3)=0,"",SUMIFS(Journal!$D$3:$D$143,Journal!$A$3:$A$143,$B94,Journal!$E$3:$E$143,AE$3))</f>
        <v/>
      </c>
      <c r="AF94" s="86" t="str">
        <f>IF(SUMIFS(Journal!$D$3:$D$143,Journal!$A$3:$A$143,$B94,Journal!$F$3:$F$143,AE$3)=0,"",SUMIFS(Journal!$D$3:$D$143,Journal!$A$3:$A$143,$B94,Journal!$F$3:$F$143,AE$3))</f>
        <v/>
      </c>
      <c r="AG94" s="86" t="str">
        <f>IF(SUMIFS(Journal!$D$3:$D$143,Journal!$A$3:$A$143,$B94,Journal!$E$3:$E$143,AG$3)=0,"",SUMIFS(Journal!$D$3:$D$143,Journal!$A$3:$A$143,$B94,Journal!$E$3:$E$143,AG$3))</f>
        <v/>
      </c>
      <c r="AH94" s="86" t="str">
        <f>IF(SUMIFS(Journal!$D$3:$D$143,Journal!$A$3:$A$143,$B94,Journal!$F$3:$F$143,AG$3)=0,"",SUMIFS(Journal!$D$3:$D$143,Journal!$A$3:$A$143,$B94,Journal!$F$3:$F$143,AG$3))</f>
        <v/>
      </c>
      <c r="AI94" s="86" t="str">
        <f>IF(SUMIFS(Journal!$D$3:$D$143,Journal!$A$3:$A$143,$B94,Journal!$E$3:$E$143,AI$3)=0,"",SUMIFS(Journal!$D$3:$D$143,Journal!$A$3:$A$143,$B94,Journal!$E$3:$E$143,AI$3))</f>
        <v/>
      </c>
      <c r="AJ94" s="86" t="str">
        <f>IF(SUMIFS(Journal!$D$3:$D$143,Journal!$A$3:$A$143,$B94,Journal!$F$3:$F$143,AI$3)=0,"",SUMIFS(Journal!$D$3:$D$143,Journal!$A$3:$A$143,$B94,Journal!$F$3:$F$143,AI$3))</f>
        <v/>
      </c>
      <c r="AK94" s="86" t="str">
        <f>IF(SUMIFS(Journal!$D$3:$D$143,Journal!$A$3:$A$143,$B94,Journal!$E$3:$E$143,AK$3)=0,"",SUMIFS(Journal!$D$3:$D$143,Journal!$A$3:$A$143,$B94,Journal!$E$3:$E$143,AK$3))</f>
        <v/>
      </c>
      <c r="AL94" s="86" t="str">
        <f>IF(SUMIFS(Journal!$D$3:$D$143,Journal!$A$3:$A$143,$B94,Journal!$F$3:$F$143,AK$3)=0,"",SUMIFS(Journal!$D$3:$D$143,Journal!$A$3:$A$143,$B94,Journal!$F$3:$F$143,AK$3))</f>
        <v/>
      </c>
      <c r="AM94" s="86">
        <f>IF(SUMIFS(Journal!$D$3:$D$143,Journal!$A$3:$A$143,$B94,Journal!$E$3:$E$143,AM$3)=0,"",SUMIFS(Journal!$D$3:$D$143,Journal!$A$3:$A$143,$B94,Journal!$E$3:$E$143,AM$3))</f>
        <v>1227</v>
      </c>
      <c r="AN94" s="86" t="str">
        <f>IF(SUMIFS(Journal!$D$3:$D$143,Journal!$A$3:$A$143,$B94,Journal!$F$3:$F$143,AM$3)=0,"",SUMIFS(Journal!$D$3:$D$143,Journal!$A$3:$A$143,$B94,Journal!$F$3:$F$143,AM$3))</f>
        <v/>
      </c>
      <c r="AO94" s="86" t="str">
        <f>IF(SUMIFS(Journal!$D$3:$D$143,Journal!$A$3:$A$143,$B94,Journal!$E$3:$E$143,AO$3)=0,"",SUMIFS(Journal!$D$3:$D$143,Journal!$A$3:$A$143,$B94,Journal!$E$3:$E$143,AO$3))</f>
        <v/>
      </c>
      <c r="AP94" s="86" t="str">
        <f>IF(SUMIFS(Journal!$D$3:$D$143,Journal!$A$3:$A$143,$B94,Journal!$F$3:$F$143,AO$3)=0,"",SUMIFS(Journal!$D$3:$D$143,Journal!$A$3:$A$143,$B94,Journal!$F$3:$F$143,AO$3))</f>
        <v/>
      </c>
      <c r="AQ94" s="86" t="str">
        <f>IF(SUMIFS(Journal!$D$3:$D$143,Journal!$A$3:$A$143,$B94,Journal!$E$3:$E$143,AQ$3)=0,"",SUMIFS(Journal!$D$3:$D$143,Journal!$A$3:$A$143,$B94,Journal!$E$3:$E$143,AQ$3))</f>
        <v/>
      </c>
      <c r="AR94" s="86" t="str">
        <f>IF(SUMIFS(Journal!$D$3:$D$143,Journal!$A$3:$A$143,$B94,Journal!$F$3:$F$143,AQ$3)=0,"",SUMIFS(Journal!$D$3:$D$143,Journal!$A$3:$A$143,$B94,Journal!$F$3:$F$143,AQ$3))</f>
        <v/>
      </c>
      <c r="AS94" s="86" t="str">
        <f>IF(SUMIFS(Journal!$D$3:$D$143,Journal!$A$3:$A$143,$B94,Journal!$E$3:$E$143,AS$3)=0,"",SUMIFS(Journal!$D$3:$D$143,Journal!$A$3:$A$143,$B94,Journal!$E$3:$E$143,AS$3))</f>
        <v/>
      </c>
      <c r="AT94" s="86" t="str">
        <f>IF(SUMIFS(Journal!$D$3:$D$143,Journal!$A$3:$A$143,$B94,Journal!$F$3:$F$143,AS$3)=0,"",SUMIFS(Journal!$D$3:$D$143,Journal!$A$3:$A$143,$B94,Journal!$F$3:$F$143,AS$3))</f>
        <v/>
      </c>
      <c r="AU94" s="86" t="str">
        <f>IF(SUMIFS(Journal!$D$3:$D$143,Journal!$A$3:$A$143,$B94,Journal!$E$3:$E$143,AU$3)=0,"",SUMIFS(Journal!$D$3:$D$143,Journal!$A$3:$A$143,$B94,Journal!$E$3:$E$143,AU$3))</f>
        <v/>
      </c>
      <c r="AV94" s="86" t="str">
        <f>IF(SUMIFS(Journal!$D$3:$D$143,Journal!$A$3:$A$143,$B94,Journal!$F$3:$F$143,AU$3)=0,"",SUMIFS(Journal!$D$3:$D$143,Journal!$A$3:$A$143,$B94,Journal!$F$3:$F$143,AU$3))</f>
        <v/>
      </c>
      <c r="AW94" s="86" t="str">
        <f>IF(SUMIFS(Journal!$D$3:$D$143,Journal!$A$3:$A$143,$B94,Journal!$E$3:$E$143,AW$3)=0,"",SUMIFS(Journal!$D$3:$D$143,Journal!$A$3:$A$143,$B94,Journal!$E$3:$E$143,AW$3))</f>
        <v/>
      </c>
      <c r="AX94" s="86" t="str">
        <f>IF(SUMIFS(Journal!$D$3:$D$143,Journal!$A$3:$A$143,$B94,Journal!$F$3:$F$143,AW$3)=0,"",SUMIFS(Journal!$D$3:$D$143,Journal!$A$3:$A$143,$B94,Journal!$F$3:$F$143,AW$3))</f>
        <v/>
      </c>
      <c r="AY94" s="86" t="str">
        <f>IF(SUMIFS(Journal!$D$3:$D$143,Journal!$A$3:$A$143,$B94,Journal!$E$3:$E$143,AY$3)=0,"",SUMIFS(Journal!$D$3:$D$143,Journal!$A$3:$A$143,$B94,Journal!$E$3:$E$143,AY$3))</f>
        <v/>
      </c>
      <c r="AZ94" s="86" t="str">
        <f>IF(SUMIFS(Journal!$D$3:$D$143,Journal!$A$3:$A$143,$B94,Journal!$F$3:$F$143,AY$3)=0,"",SUMIFS(Journal!$D$3:$D$143,Journal!$A$3:$A$143,$B94,Journal!$F$3:$F$143,AY$3))</f>
        <v/>
      </c>
      <c r="BA94" s="86" t="str">
        <f>IF(SUMIFS(Journal!$D$3:$D$143,Journal!$A$3:$A$143,$B94,Journal!$E$3:$E$143,BA$3)=0,"",SUMIFS(Journal!$D$3:$D$143,Journal!$A$3:$A$143,$B94,Journal!$E$3:$E$143,BA$3))</f>
        <v/>
      </c>
      <c r="BB94" s="86" t="str">
        <f>IF(SUMIFS(Journal!$D$3:$D$143,Journal!$A$3:$A$143,$B94,Journal!$F$3:$F$143,BA$3)=0,"",SUMIFS(Journal!$D$3:$D$143,Journal!$A$3:$A$143,$B94,Journal!$F$3:$F$143,BA$3))</f>
        <v/>
      </c>
    </row>
    <row r="95">
      <c r="A95" s="84">
        <f>VLOOKUP(B95,Journal!$A$3:$C$143,2,FALSE)</f>
        <v>45536</v>
      </c>
      <c r="B95" s="85" t="s">
        <v>544</v>
      </c>
      <c r="C95" s="86" t="str">
        <f>VLOOKUP(B95,Journal!$A$3:$C$143,3,FALSE)</f>
        <v>Monthly facility rent</v>
      </c>
      <c r="D95" s="86">
        <f>SUMIF(Journal!$A$3:$A$143,B95,Journal!$D$3:$D$143)</f>
        <v>5400</v>
      </c>
      <c r="E95" s="86" t="str">
        <f>IF(SUMIFS(Journal!$D$3:$D$143,Journal!$A$3:$A$143,$B95,Journal!$E$3:$E$143,E$3)=0,"",SUMIFS(Journal!$D$3:$D$143,Journal!$A$3:$A$143,$B95,Journal!$E$3:$E$143,E$3))</f>
        <v/>
      </c>
      <c r="F95" s="86">
        <f>IF(SUMIFS(Journal!$D$3:$D$143,Journal!$A$3:$A$143,$B95,Journal!$F$3:$F$143,E$3)=0,"",SUMIFS(Journal!$D$3:$D$143,Journal!$A$3:$A$143,$B95,Journal!$F$3:$F$143,E$3))</f>
        <v>5400</v>
      </c>
      <c r="G95" s="86" t="str">
        <f>IF(SUMIFS(Journal!$D$3:$D$143,Journal!$A$3:$A$143,$B95,Journal!$E$3:$E$143,G$3)=0,"",SUMIFS(Journal!$D$3:$D$143,Journal!$A$3:$A$143,$B95,Journal!$E$3:$E$143,G$3))</f>
        <v/>
      </c>
      <c r="H95" s="86" t="str">
        <f>IF(SUMIFS(Journal!$D$3:$D$143,Journal!$A$3:$A$143,$B95,Journal!$F$3:$F$143,G$3)=0,"",SUMIFS(Journal!$D$3:$D$143,Journal!$A$3:$A$143,$B95,Journal!$F$3:$F$143,G$3))</f>
        <v/>
      </c>
      <c r="I95" s="86" t="str">
        <f>IF(SUMIFS(Journal!$D$3:$D$143,Journal!$A$3:$A$143,$B95,Journal!$E$3:$E$143,I$3)=0,"",SUMIFS(Journal!$D$3:$D$143,Journal!$A$3:$A$143,$B95,Journal!$E$3:$E$143,I$3))</f>
        <v/>
      </c>
      <c r="J95" s="86" t="str">
        <f>IF(SUMIFS(Journal!$D$3:$D$143,Journal!$A$3:$A$143,$B95,Journal!$F$3:$F$143,I$3)=0,"",SUMIFS(Journal!$D$3:$D$143,Journal!$A$3:$A$143,$B95,Journal!$F$3:$F$143,I$3))</f>
        <v/>
      </c>
      <c r="K95" s="86" t="str">
        <f>IF(SUMIFS(Journal!$D$3:$D$143,Journal!$A$3:$A$143,$B95,Journal!$E$3:$E$143,K$3)=0,"",SUMIFS(Journal!$D$3:$D$143,Journal!$A$3:$A$143,$B95,Journal!$E$3:$E$143,K$3))</f>
        <v/>
      </c>
      <c r="L95" s="86" t="str">
        <f>IF(SUMIFS(Journal!$D$3:$D$143,Journal!$A$3:$A$143,$B95,Journal!$F$3:$F$143,K$3)=0,"",SUMIFS(Journal!$D$3:$D$143,Journal!$A$3:$A$143,$B95,Journal!$F$3:$F$143,K$3))</f>
        <v/>
      </c>
      <c r="M95" s="86" t="str">
        <f>IF(SUMIFS(Journal!$D$3:$D$143,Journal!$A$3:$A$143,$B95,Journal!$E$3:$E$143,M$3)=0,"",SUMIFS(Journal!$D$3:$D$143,Journal!$A$3:$A$143,$B95,Journal!$E$3:$E$143,M$3))</f>
        <v/>
      </c>
      <c r="N95" s="86" t="str">
        <f>IF(SUMIFS(Journal!$D$3:$D$143,Journal!$A$3:$A$143,$B95,Journal!$F$3:$F$143,M$3)=0,"",SUMIFS(Journal!$D$3:$D$143,Journal!$A$3:$A$143,$B95,Journal!$F$3:$F$143,M$3))</f>
        <v/>
      </c>
      <c r="O95" s="86" t="str">
        <f>IF(SUMIFS(Journal!$D$3:$D$143,Journal!$A$3:$A$143,$B95,Journal!$E$3:$E$143,O$3)=0,"",SUMIFS(Journal!$D$3:$D$143,Journal!$A$3:$A$143,$B95,Journal!$E$3:$E$143,O$3))</f>
        <v/>
      </c>
      <c r="P95" s="86" t="str">
        <f>IF(SUMIFS(Journal!$D$3:$D$143,Journal!$A$3:$A$143,$B95,Journal!$F$3:$F$143,O$3)=0,"",SUMIFS(Journal!$D$3:$D$143,Journal!$A$3:$A$143,$B95,Journal!$F$3:$F$143,O$3))</f>
        <v/>
      </c>
      <c r="Q95" s="86" t="str">
        <f>IF(SUMIFS(Journal!$D$3:$D$143,Journal!$A$3:$A$143,$B95,Journal!$E$3:$E$143,Q$3)=0,"",SUMIFS(Journal!$D$3:$D$143,Journal!$A$3:$A$143,$B95,Journal!$E$3:$E$143,Q$3))</f>
        <v/>
      </c>
      <c r="R95" s="86" t="str">
        <f>IF(SUMIFS(Journal!$D$3:$D$143,Journal!$A$3:$A$143,$B95,Journal!$F$3:$F$143,Q$3)=0,"",SUMIFS(Journal!$D$3:$D$143,Journal!$A$3:$A$143,$B95,Journal!$F$3:$F$143,Q$3))</f>
        <v/>
      </c>
      <c r="S95" s="86" t="str">
        <f>IF(SUMIFS(Journal!$D$3:$D$143,Journal!$A$3:$A$143,$B95,Journal!$E$3:$E$143,S$3)=0,"",SUMIFS(Journal!$D$3:$D$143,Journal!$A$3:$A$143,$B95,Journal!$E$3:$E$143,S$3))</f>
        <v/>
      </c>
      <c r="T95" s="86" t="str">
        <f>IF(SUMIFS(Journal!$D$3:$D$143,Journal!$A$3:$A$143,$B95,Journal!$F$3:$F$143,S$3)=0,"",SUMIFS(Journal!$D$3:$D$143,Journal!$A$3:$A$143,$B95,Journal!$F$3:$F$143,S$3))</f>
        <v/>
      </c>
      <c r="U95" s="86" t="str">
        <f>IF(SUMIFS(Journal!$D$3:$D$143,Journal!$A$3:$A$143,$B95,Journal!$E$3:$E$143,U$3)=0,"",SUMIFS(Journal!$D$3:$D$143,Journal!$A$3:$A$143,$B95,Journal!$E$3:$E$143,U$3))</f>
        <v/>
      </c>
      <c r="V95" s="86" t="str">
        <f>IF(SUMIFS(Journal!$D$3:$D$143,Journal!$A$3:$A$143,$B95,Journal!$F$3:$F$143,U$3)=0,"",SUMIFS(Journal!$D$3:$D$143,Journal!$A$3:$A$143,$B95,Journal!$F$3:$F$143,U$3))</f>
        <v/>
      </c>
      <c r="W95" s="86" t="str">
        <f>IF(SUMIFS(Journal!$D$3:$D$143,Journal!$A$3:$A$143,$B95,Journal!$E$3:$E$143,W$3)=0,"",SUMIFS(Journal!$D$3:$D$143,Journal!$A$3:$A$143,$B95,Journal!$E$3:$E$143,W$3))</f>
        <v/>
      </c>
      <c r="X95" s="86" t="str">
        <f>IF(SUMIFS(Journal!$D$3:$D$143,Journal!$A$3:$A$143,$B95,Journal!$F$3:$F$143,W$3)=0,"",SUMIFS(Journal!$D$3:$D$143,Journal!$A$3:$A$143,$B95,Journal!$F$3:$F$143,W$3))</f>
        <v/>
      </c>
      <c r="Y95" s="86" t="str">
        <f>IF(SUMIFS(Journal!$D$3:$D$143,Journal!$A$3:$A$143,$B95,Journal!$E$3:$E$143,Y$3)=0,"",SUMIFS(Journal!$D$3:$D$143,Journal!$A$3:$A$143,$B95,Journal!$E$3:$E$143,Y$3))</f>
        <v/>
      </c>
      <c r="Z95" s="86" t="str">
        <f>IF(SUMIFS(Journal!$D$3:$D$143,Journal!$A$3:$A$143,$B95,Journal!$F$3:$F$143,Y$3)=0,"",SUMIFS(Journal!$D$3:$D$143,Journal!$A$3:$A$143,$B95,Journal!$F$3:$F$143,Y$3))</f>
        <v/>
      </c>
      <c r="AA95" s="86" t="str">
        <f>IF(SUMIFS(Journal!$D$3:$D$143,Journal!$A$3:$A$143,$B95,Journal!$E$3:$E$143,AA$3)=0,"",SUMIFS(Journal!$D$3:$D$143,Journal!$A$3:$A$143,$B95,Journal!$E$3:$E$143,AA$3))</f>
        <v/>
      </c>
      <c r="AB95" s="86" t="str">
        <f>IF(SUMIFS(Journal!$D$3:$D$143,Journal!$A$3:$A$143,$B95,Journal!$F$3:$F$143,AA$3)=0,"",SUMIFS(Journal!$D$3:$D$143,Journal!$A$3:$A$143,$B95,Journal!$F$3:$F$143,AA$3))</f>
        <v/>
      </c>
      <c r="AC95" s="86" t="str">
        <f>IF(SUMIFS(Journal!$D$3:$D$143,Journal!$A$3:$A$143,$B95,Journal!$E$3:$E$143,AC$3)=0,"",SUMIFS(Journal!$D$3:$D$143,Journal!$A$3:$A$143,$B95,Journal!$E$3:$E$143,AC$3))</f>
        <v/>
      </c>
      <c r="AD95" s="86" t="str">
        <f>IF(SUMIFS(Journal!$D$3:$D$143,Journal!$A$3:$A$143,$B95,Journal!$F$3:$F$143,AC$3)=0,"",SUMIFS(Journal!$D$3:$D$143,Journal!$A$3:$A$143,$B95,Journal!$F$3:$F$143,AC$3))</f>
        <v/>
      </c>
      <c r="AE95" s="86" t="str">
        <f>IF(SUMIFS(Journal!$D$3:$D$143,Journal!$A$3:$A$143,$B95,Journal!$E$3:$E$143,AE$3)=0,"",SUMIFS(Journal!$D$3:$D$143,Journal!$A$3:$A$143,$B95,Journal!$E$3:$E$143,AE$3))</f>
        <v/>
      </c>
      <c r="AF95" s="86" t="str">
        <f>IF(SUMIFS(Journal!$D$3:$D$143,Journal!$A$3:$A$143,$B95,Journal!$F$3:$F$143,AE$3)=0,"",SUMIFS(Journal!$D$3:$D$143,Journal!$A$3:$A$143,$B95,Journal!$F$3:$F$143,AE$3))</f>
        <v/>
      </c>
      <c r="AG95" s="86" t="str">
        <f>IF(SUMIFS(Journal!$D$3:$D$143,Journal!$A$3:$A$143,$B95,Journal!$E$3:$E$143,AG$3)=0,"",SUMIFS(Journal!$D$3:$D$143,Journal!$A$3:$A$143,$B95,Journal!$E$3:$E$143,AG$3))</f>
        <v/>
      </c>
      <c r="AH95" s="86" t="str">
        <f>IF(SUMIFS(Journal!$D$3:$D$143,Journal!$A$3:$A$143,$B95,Journal!$F$3:$F$143,AG$3)=0,"",SUMIFS(Journal!$D$3:$D$143,Journal!$A$3:$A$143,$B95,Journal!$F$3:$F$143,AG$3))</f>
        <v/>
      </c>
      <c r="AI95" s="86">
        <f>IF(SUMIFS(Journal!$D$3:$D$143,Journal!$A$3:$A$143,$B95,Journal!$E$3:$E$143,AI$3)=0,"",SUMIFS(Journal!$D$3:$D$143,Journal!$A$3:$A$143,$B95,Journal!$E$3:$E$143,AI$3))</f>
        <v>5400</v>
      </c>
      <c r="AJ95" s="86" t="str">
        <f>IF(SUMIFS(Journal!$D$3:$D$143,Journal!$A$3:$A$143,$B95,Journal!$F$3:$F$143,AI$3)=0,"",SUMIFS(Journal!$D$3:$D$143,Journal!$A$3:$A$143,$B95,Journal!$F$3:$F$143,AI$3))</f>
        <v/>
      </c>
      <c r="AK95" s="86" t="str">
        <f>IF(SUMIFS(Journal!$D$3:$D$143,Journal!$A$3:$A$143,$B95,Journal!$E$3:$E$143,AK$3)=0,"",SUMIFS(Journal!$D$3:$D$143,Journal!$A$3:$A$143,$B95,Journal!$E$3:$E$143,AK$3))</f>
        <v/>
      </c>
      <c r="AL95" s="86" t="str">
        <f>IF(SUMIFS(Journal!$D$3:$D$143,Journal!$A$3:$A$143,$B95,Journal!$F$3:$F$143,AK$3)=0,"",SUMIFS(Journal!$D$3:$D$143,Journal!$A$3:$A$143,$B95,Journal!$F$3:$F$143,AK$3))</f>
        <v/>
      </c>
      <c r="AM95" s="86" t="str">
        <f>IF(SUMIFS(Journal!$D$3:$D$143,Journal!$A$3:$A$143,$B95,Journal!$E$3:$E$143,AM$3)=0,"",SUMIFS(Journal!$D$3:$D$143,Journal!$A$3:$A$143,$B95,Journal!$E$3:$E$143,AM$3))</f>
        <v/>
      </c>
      <c r="AN95" s="86" t="str">
        <f>IF(SUMIFS(Journal!$D$3:$D$143,Journal!$A$3:$A$143,$B95,Journal!$F$3:$F$143,AM$3)=0,"",SUMIFS(Journal!$D$3:$D$143,Journal!$A$3:$A$143,$B95,Journal!$F$3:$F$143,AM$3))</f>
        <v/>
      </c>
      <c r="AO95" s="86" t="str">
        <f>IF(SUMIFS(Journal!$D$3:$D$143,Journal!$A$3:$A$143,$B95,Journal!$E$3:$E$143,AO$3)=0,"",SUMIFS(Journal!$D$3:$D$143,Journal!$A$3:$A$143,$B95,Journal!$E$3:$E$143,AO$3))</f>
        <v/>
      </c>
      <c r="AP95" s="86" t="str">
        <f>IF(SUMIFS(Journal!$D$3:$D$143,Journal!$A$3:$A$143,$B95,Journal!$F$3:$F$143,AO$3)=0,"",SUMIFS(Journal!$D$3:$D$143,Journal!$A$3:$A$143,$B95,Journal!$F$3:$F$143,AO$3))</f>
        <v/>
      </c>
      <c r="AQ95" s="86" t="str">
        <f>IF(SUMIFS(Journal!$D$3:$D$143,Journal!$A$3:$A$143,$B95,Journal!$E$3:$E$143,AQ$3)=0,"",SUMIFS(Journal!$D$3:$D$143,Journal!$A$3:$A$143,$B95,Journal!$E$3:$E$143,AQ$3))</f>
        <v/>
      </c>
      <c r="AR95" s="86" t="str">
        <f>IF(SUMIFS(Journal!$D$3:$D$143,Journal!$A$3:$A$143,$B95,Journal!$F$3:$F$143,AQ$3)=0,"",SUMIFS(Journal!$D$3:$D$143,Journal!$A$3:$A$143,$B95,Journal!$F$3:$F$143,AQ$3))</f>
        <v/>
      </c>
      <c r="AS95" s="86" t="str">
        <f>IF(SUMIFS(Journal!$D$3:$D$143,Journal!$A$3:$A$143,$B95,Journal!$E$3:$E$143,AS$3)=0,"",SUMIFS(Journal!$D$3:$D$143,Journal!$A$3:$A$143,$B95,Journal!$E$3:$E$143,AS$3))</f>
        <v/>
      </c>
      <c r="AT95" s="86" t="str">
        <f>IF(SUMIFS(Journal!$D$3:$D$143,Journal!$A$3:$A$143,$B95,Journal!$F$3:$F$143,AS$3)=0,"",SUMIFS(Journal!$D$3:$D$143,Journal!$A$3:$A$143,$B95,Journal!$F$3:$F$143,AS$3))</f>
        <v/>
      </c>
      <c r="AU95" s="86" t="str">
        <f>IF(SUMIFS(Journal!$D$3:$D$143,Journal!$A$3:$A$143,$B95,Journal!$E$3:$E$143,AU$3)=0,"",SUMIFS(Journal!$D$3:$D$143,Journal!$A$3:$A$143,$B95,Journal!$E$3:$E$143,AU$3))</f>
        <v/>
      </c>
      <c r="AV95" s="86" t="str">
        <f>IF(SUMIFS(Journal!$D$3:$D$143,Journal!$A$3:$A$143,$B95,Journal!$F$3:$F$143,AU$3)=0,"",SUMIFS(Journal!$D$3:$D$143,Journal!$A$3:$A$143,$B95,Journal!$F$3:$F$143,AU$3))</f>
        <v/>
      </c>
      <c r="AW95" s="86" t="str">
        <f>IF(SUMIFS(Journal!$D$3:$D$143,Journal!$A$3:$A$143,$B95,Journal!$E$3:$E$143,AW$3)=0,"",SUMIFS(Journal!$D$3:$D$143,Journal!$A$3:$A$143,$B95,Journal!$E$3:$E$143,AW$3))</f>
        <v/>
      </c>
      <c r="AX95" s="86" t="str">
        <f>IF(SUMIFS(Journal!$D$3:$D$143,Journal!$A$3:$A$143,$B95,Journal!$F$3:$F$143,AW$3)=0,"",SUMIFS(Journal!$D$3:$D$143,Journal!$A$3:$A$143,$B95,Journal!$F$3:$F$143,AW$3))</f>
        <v/>
      </c>
      <c r="AY95" s="86" t="str">
        <f>IF(SUMIFS(Journal!$D$3:$D$143,Journal!$A$3:$A$143,$B95,Journal!$E$3:$E$143,AY$3)=0,"",SUMIFS(Journal!$D$3:$D$143,Journal!$A$3:$A$143,$B95,Journal!$E$3:$E$143,AY$3))</f>
        <v/>
      </c>
      <c r="AZ95" s="86" t="str">
        <f>IF(SUMIFS(Journal!$D$3:$D$143,Journal!$A$3:$A$143,$B95,Journal!$F$3:$F$143,AY$3)=0,"",SUMIFS(Journal!$D$3:$D$143,Journal!$A$3:$A$143,$B95,Journal!$F$3:$F$143,AY$3))</f>
        <v/>
      </c>
      <c r="BA95" s="86" t="str">
        <f>IF(SUMIFS(Journal!$D$3:$D$143,Journal!$A$3:$A$143,$B95,Journal!$E$3:$E$143,BA$3)=0,"",SUMIFS(Journal!$D$3:$D$143,Journal!$A$3:$A$143,$B95,Journal!$E$3:$E$143,BA$3))</f>
        <v/>
      </c>
      <c r="BB95" s="86" t="str">
        <f>IF(SUMIFS(Journal!$D$3:$D$143,Journal!$A$3:$A$143,$B95,Journal!$F$3:$F$143,BA$3)=0,"",SUMIFS(Journal!$D$3:$D$143,Journal!$A$3:$A$143,$B95,Journal!$F$3:$F$143,BA$3))</f>
        <v/>
      </c>
    </row>
    <row r="96">
      <c r="A96" s="84">
        <f>VLOOKUP(B96,Journal!$A$3:$C$143,2,FALSE)</f>
        <v>45540</v>
      </c>
      <c r="B96" s="85" t="s">
        <v>547</v>
      </c>
      <c r="C96" s="86" t="str">
        <f>VLOOKUP(B96,Journal!$A$3:$C$143,3,FALSE)</f>
        <v>Partial payment to inventory supplier</v>
      </c>
      <c r="D96" s="86">
        <f>SUMIF(Journal!$A$3:$A$143,B96,Journal!$D$3:$D$143)</f>
        <v>2000</v>
      </c>
      <c r="E96" s="86" t="str">
        <f>IF(SUMIFS(Journal!$D$3:$D$143,Journal!$A$3:$A$143,$B96,Journal!$E$3:$E$143,E$3)=0,"",SUMIFS(Journal!$D$3:$D$143,Journal!$A$3:$A$143,$B96,Journal!$E$3:$E$143,E$3))</f>
        <v/>
      </c>
      <c r="F96" s="86">
        <f>IF(SUMIFS(Journal!$D$3:$D$143,Journal!$A$3:$A$143,$B96,Journal!$F$3:$F$143,E$3)=0,"",SUMIFS(Journal!$D$3:$D$143,Journal!$A$3:$A$143,$B96,Journal!$F$3:$F$143,E$3))</f>
        <v>2000</v>
      </c>
      <c r="G96" s="86" t="str">
        <f>IF(SUMIFS(Journal!$D$3:$D$143,Journal!$A$3:$A$143,$B96,Journal!$E$3:$E$143,G$3)=0,"",SUMIFS(Journal!$D$3:$D$143,Journal!$A$3:$A$143,$B96,Journal!$E$3:$E$143,G$3))</f>
        <v/>
      </c>
      <c r="H96" s="86" t="str">
        <f>IF(SUMIFS(Journal!$D$3:$D$143,Journal!$A$3:$A$143,$B96,Journal!$F$3:$F$143,G$3)=0,"",SUMIFS(Journal!$D$3:$D$143,Journal!$A$3:$A$143,$B96,Journal!$F$3:$F$143,G$3))</f>
        <v/>
      </c>
      <c r="I96" s="86" t="str">
        <f>IF(SUMIFS(Journal!$D$3:$D$143,Journal!$A$3:$A$143,$B96,Journal!$E$3:$E$143,I$3)=0,"",SUMIFS(Journal!$D$3:$D$143,Journal!$A$3:$A$143,$B96,Journal!$E$3:$E$143,I$3))</f>
        <v/>
      </c>
      <c r="J96" s="86" t="str">
        <f>IF(SUMIFS(Journal!$D$3:$D$143,Journal!$A$3:$A$143,$B96,Journal!$F$3:$F$143,I$3)=0,"",SUMIFS(Journal!$D$3:$D$143,Journal!$A$3:$A$143,$B96,Journal!$F$3:$F$143,I$3))</f>
        <v/>
      </c>
      <c r="K96" s="86" t="str">
        <f>IF(SUMIFS(Journal!$D$3:$D$143,Journal!$A$3:$A$143,$B96,Journal!$E$3:$E$143,K$3)=0,"",SUMIFS(Journal!$D$3:$D$143,Journal!$A$3:$A$143,$B96,Journal!$E$3:$E$143,K$3))</f>
        <v/>
      </c>
      <c r="L96" s="86" t="str">
        <f>IF(SUMIFS(Journal!$D$3:$D$143,Journal!$A$3:$A$143,$B96,Journal!$F$3:$F$143,K$3)=0,"",SUMIFS(Journal!$D$3:$D$143,Journal!$A$3:$A$143,$B96,Journal!$F$3:$F$143,K$3))</f>
        <v/>
      </c>
      <c r="M96" s="86" t="str">
        <f>IF(SUMIFS(Journal!$D$3:$D$143,Journal!$A$3:$A$143,$B96,Journal!$E$3:$E$143,M$3)=0,"",SUMIFS(Journal!$D$3:$D$143,Journal!$A$3:$A$143,$B96,Journal!$E$3:$E$143,M$3))</f>
        <v/>
      </c>
      <c r="N96" s="86" t="str">
        <f>IF(SUMIFS(Journal!$D$3:$D$143,Journal!$A$3:$A$143,$B96,Journal!$F$3:$F$143,M$3)=0,"",SUMIFS(Journal!$D$3:$D$143,Journal!$A$3:$A$143,$B96,Journal!$F$3:$F$143,M$3))</f>
        <v/>
      </c>
      <c r="O96" s="86">
        <f>IF(SUMIFS(Journal!$D$3:$D$143,Journal!$A$3:$A$143,$B96,Journal!$E$3:$E$143,O$3)=0,"",SUMIFS(Journal!$D$3:$D$143,Journal!$A$3:$A$143,$B96,Journal!$E$3:$E$143,O$3))</f>
        <v>2000</v>
      </c>
      <c r="P96" s="86" t="str">
        <f>IF(SUMIFS(Journal!$D$3:$D$143,Journal!$A$3:$A$143,$B96,Journal!$F$3:$F$143,O$3)=0,"",SUMIFS(Journal!$D$3:$D$143,Journal!$A$3:$A$143,$B96,Journal!$F$3:$F$143,O$3))</f>
        <v/>
      </c>
      <c r="Q96" s="86" t="str">
        <f>IF(SUMIFS(Journal!$D$3:$D$143,Journal!$A$3:$A$143,$B96,Journal!$E$3:$E$143,Q$3)=0,"",SUMIFS(Journal!$D$3:$D$143,Journal!$A$3:$A$143,$B96,Journal!$E$3:$E$143,Q$3))</f>
        <v/>
      </c>
      <c r="R96" s="86" t="str">
        <f>IF(SUMIFS(Journal!$D$3:$D$143,Journal!$A$3:$A$143,$B96,Journal!$F$3:$F$143,Q$3)=0,"",SUMIFS(Journal!$D$3:$D$143,Journal!$A$3:$A$143,$B96,Journal!$F$3:$F$143,Q$3))</f>
        <v/>
      </c>
      <c r="S96" s="86" t="str">
        <f>IF(SUMIFS(Journal!$D$3:$D$143,Journal!$A$3:$A$143,$B96,Journal!$E$3:$E$143,S$3)=0,"",SUMIFS(Journal!$D$3:$D$143,Journal!$A$3:$A$143,$B96,Journal!$E$3:$E$143,S$3))</f>
        <v/>
      </c>
      <c r="T96" s="86" t="str">
        <f>IF(SUMIFS(Journal!$D$3:$D$143,Journal!$A$3:$A$143,$B96,Journal!$F$3:$F$143,S$3)=0,"",SUMIFS(Journal!$D$3:$D$143,Journal!$A$3:$A$143,$B96,Journal!$F$3:$F$143,S$3))</f>
        <v/>
      </c>
      <c r="U96" s="86" t="str">
        <f>IF(SUMIFS(Journal!$D$3:$D$143,Journal!$A$3:$A$143,$B96,Journal!$E$3:$E$143,U$3)=0,"",SUMIFS(Journal!$D$3:$D$143,Journal!$A$3:$A$143,$B96,Journal!$E$3:$E$143,U$3))</f>
        <v/>
      </c>
      <c r="V96" s="86" t="str">
        <f>IF(SUMIFS(Journal!$D$3:$D$143,Journal!$A$3:$A$143,$B96,Journal!$F$3:$F$143,U$3)=0,"",SUMIFS(Journal!$D$3:$D$143,Journal!$A$3:$A$143,$B96,Journal!$F$3:$F$143,U$3))</f>
        <v/>
      </c>
      <c r="W96" s="86" t="str">
        <f>IF(SUMIFS(Journal!$D$3:$D$143,Journal!$A$3:$A$143,$B96,Journal!$E$3:$E$143,W$3)=0,"",SUMIFS(Journal!$D$3:$D$143,Journal!$A$3:$A$143,$B96,Journal!$E$3:$E$143,W$3))</f>
        <v/>
      </c>
      <c r="X96" s="86" t="str">
        <f>IF(SUMIFS(Journal!$D$3:$D$143,Journal!$A$3:$A$143,$B96,Journal!$F$3:$F$143,W$3)=0,"",SUMIFS(Journal!$D$3:$D$143,Journal!$A$3:$A$143,$B96,Journal!$F$3:$F$143,W$3))</f>
        <v/>
      </c>
      <c r="Y96" s="86" t="str">
        <f>IF(SUMIFS(Journal!$D$3:$D$143,Journal!$A$3:$A$143,$B96,Journal!$E$3:$E$143,Y$3)=0,"",SUMIFS(Journal!$D$3:$D$143,Journal!$A$3:$A$143,$B96,Journal!$E$3:$E$143,Y$3))</f>
        <v/>
      </c>
      <c r="Z96" s="86" t="str">
        <f>IF(SUMIFS(Journal!$D$3:$D$143,Journal!$A$3:$A$143,$B96,Journal!$F$3:$F$143,Y$3)=0,"",SUMIFS(Journal!$D$3:$D$143,Journal!$A$3:$A$143,$B96,Journal!$F$3:$F$143,Y$3))</f>
        <v/>
      </c>
      <c r="AA96" s="86" t="str">
        <f>IF(SUMIFS(Journal!$D$3:$D$143,Journal!$A$3:$A$143,$B96,Journal!$E$3:$E$143,AA$3)=0,"",SUMIFS(Journal!$D$3:$D$143,Journal!$A$3:$A$143,$B96,Journal!$E$3:$E$143,AA$3))</f>
        <v/>
      </c>
      <c r="AB96" s="86" t="str">
        <f>IF(SUMIFS(Journal!$D$3:$D$143,Journal!$A$3:$A$143,$B96,Journal!$F$3:$F$143,AA$3)=0,"",SUMIFS(Journal!$D$3:$D$143,Journal!$A$3:$A$143,$B96,Journal!$F$3:$F$143,AA$3))</f>
        <v/>
      </c>
      <c r="AC96" s="86" t="str">
        <f>IF(SUMIFS(Journal!$D$3:$D$143,Journal!$A$3:$A$143,$B96,Journal!$E$3:$E$143,AC$3)=0,"",SUMIFS(Journal!$D$3:$D$143,Journal!$A$3:$A$143,$B96,Journal!$E$3:$E$143,AC$3))</f>
        <v/>
      </c>
      <c r="AD96" s="86" t="str">
        <f>IF(SUMIFS(Journal!$D$3:$D$143,Journal!$A$3:$A$143,$B96,Journal!$F$3:$F$143,AC$3)=0,"",SUMIFS(Journal!$D$3:$D$143,Journal!$A$3:$A$143,$B96,Journal!$F$3:$F$143,AC$3))</f>
        <v/>
      </c>
      <c r="AE96" s="86" t="str">
        <f>IF(SUMIFS(Journal!$D$3:$D$143,Journal!$A$3:$A$143,$B96,Journal!$E$3:$E$143,AE$3)=0,"",SUMIFS(Journal!$D$3:$D$143,Journal!$A$3:$A$143,$B96,Journal!$E$3:$E$143,AE$3))</f>
        <v/>
      </c>
      <c r="AF96" s="86" t="str">
        <f>IF(SUMIFS(Journal!$D$3:$D$143,Journal!$A$3:$A$143,$B96,Journal!$F$3:$F$143,AE$3)=0,"",SUMIFS(Journal!$D$3:$D$143,Journal!$A$3:$A$143,$B96,Journal!$F$3:$F$143,AE$3))</f>
        <v/>
      </c>
      <c r="AG96" s="86" t="str">
        <f>IF(SUMIFS(Journal!$D$3:$D$143,Journal!$A$3:$A$143,$B96,Journal!$E$3:$E$143,AG$3)=0,"",SUMIFS(Journal!$D$3:$D$143,Journal!$A$3:$A$143,$B96,Journal!$E$3:$E$143,AG$3))</f>
        <v/>
      </c>
      <c r="AH96" s="86" t="str">
        <f>IF(SUMIFS(Journal!$D$3:$D$143,Journal!$A$3:$A$143,$B96,Journal!$F$3:$F$143,AG$3)=0,"",SUMIFS(Journal!$D$3:$D$143,Journal!$A$3:$A$143,$B96,Journal!$F$3:$F$143,AG$3))</f>
        <v/>
      </c>
      <c r="AI96" s="86" t="str">
        <f>IF(SUMIFS(Journal!$D$3:$D$143,Journal!$A$3:$A$143,$B96,Journal!$E$3:$E$143,AI$3)=0,"",SUMIFS(Journal!$D$3:$D$143,Journal!$A$3:$A$143,$B96,Journal!$E$3:$E$143,AI$3))</f>
        <v/>
      </c>
      <c r="AJ96" s="86" t="str">
        <f>IF(SUMIFS(Journal!$D$3:$D$143,Journal!$A$3:$A$143,$B96,Journal!$F$3:$F$143,AI$3)=0,"",SUMIFS(Journal!$D$3:$D$143,Journal!$A$3:$A$143,$B96,Journal!$F$3:$F$143,AI$3))</f>
        <v/>
      </c>
      <c r="AK96" s="86" t="str">
        <f>IF(SUMIFS(Journal!$D$3:$D$143,Journal!$A$3:$A$143,$B96,Journal!$E$3:$E$143,AK$3)=0,"",SUMIFS(Journal!$D$3:$D$143,Journal!$A$3:$A$143,$B96,Journal!$E$3:$E$143,AK$3))</f>
        <v/>
      </c>
      <c r="AL96" s="86" t="str">
        <f>IF(SUMIFS(Journal!$D$3:$D$143,Journal!$A$3:$A$143,$B96,Journal!$F$3:$F$143,AK$3)=0,"",SUMIFS(Journal!$D$3:$D$143,Journal!$A$3:$A$143,$B96,Journal!$F$3:$F$143,AK$3))</f>
        <v/>
      </c>
      <c r="AM96" s="86" t="str">
        <f>IF(SUMIFS(Journal!$D$3:$D$143,Journal!$A$3:$A$143,$B96,Journal!$E$3:$E$143,AM$3)=0,"",SUMIFS(Journal!$D$3:$D$143,Journal!$A$3:$A$143,$B96,Journal!$E$3:$E$143,AM$3))</f>
        <v/>
      </c>
      <c r="AN96" s="86" t="str">
        <f>IF(SUMIFS(Journal!$D$3:$D$143,Journal!$A$3:$A$143,$B96,Journal!$F$3:$F$143,AM$3)=0,"",SUMIFS(Journal!$D$3:$D$143,Journal!$A$3:$A$143,$B96,Journal!$F$3:$F$143,AM$3))</f>
        <v/>
      </c>
      <c r="AO96" s="86" t="str">
        <f>IF(SUMIFS(Journal!$D$3:$D$143,Journal!$A$3:$A$143,$B96,Journal!$E$3:$E$143,AO$3)=0,"",SUMIFS(Journal!$D$3:$D$143,Journal!$A$3:$A$143,$B96,Journal!$E$3:$E$143,AO$3))</f>
        <v/>
      </c>
      <c r="AP96" s="86" t="str">
        <f>IF(SUMIFS(Journal!$D$3:$D$143,Journal!$A$3:$A$143,$B96,Journal!$F$3:$F$143,AO$3)=0,"",SUMIFS(Journal!$D$3:$D$143,Journal!$A$3:$A$143,$B96,Journal!$F$3:$F$143,AO$3))</f>
        <v/>
      </c>
      <c r="AQ96" s="86" t="str">
        <f>IF(SUMIFS(Journal!$D$3:$D$143,Journal!$A$3:$A$143,$B96,Journal!$E$3:$E$143,AQ$3)=0,"",SUMIFS(Journal!$D$3:$D$143,Journal!$A$3:$A$143,$B96,Journal!$E$3:$E$143,AQ$3))</f>
        <v/>
      </c>
      <c r="AR96" s="86" t="str">
        <f>IF(SUMIFS(Journal!$D$3:$D$143,Journal!$A$3:$A$143,$B96,Journal!$F$3:$F$143,AQ$3)=0,"",SUMIFS(Journal!$D$3:$D$143,Journal!$A$3:$A$143,$B96,Journal!$F$3:$F$143,AQ$3))</f>
        <v/>
      </c>
      <c r="AS96" s="86" t="str">
        <f>IF(SUMIFS(Journal!$D$3:$D$143,Journal!$A$3:$A$143,$B96,Journal!$E$3:$E$143,AS$3)=0,"",SUMIFS(Journal!$D$3:$D$143,Journal!$A$3:$A$143,$B96,Journal!$E$3:$E$143,AS$3))</f>
        <v/>
      </c>
      <c r="AT96" s="86" t="str">
        <f>IF(SUMIFS(Journal!$D$3:$D$143,Journal!$A$3:$A$143,$B96,Journal!$F$3:$F$143,AS$3)=0,"",SUMIFS(Journal!$D$3:$D$143,Journal!$A$3:$A$143,$B96,Journal!$F$3:$F$143,AS$3))</f>
        <v/>
      </c>
      <c r="AU96" s="86" t="str">
        <f>IF(SUMIFS(Journal!$D$3:$D$143,Journal!$A$3:$A$143,$B96,Journal!$E$3:$E$143,AU$3)=0,"",SUMIFS(Journal!$D$3:$D$143,Journal!$A$3:$A$143,$B96,Journal!$E$3:$E$143,AU$3))</f>
        <v/>
      </c>
      <c r="AV96" s="86" t="str">
        <f>IF(SUMIFS(Journal!$D$3:$D$143,Journal!$A$3:$A$143,$B96,Journal!$F$3:$F$143,AU$3)=0,"",SUMIFS(Journal!$D$3:$D$143,Journal!$A$3:$A$143,$B96,Journal!$F$3:$F$143,AU$3))</f>
        <v/>
      </c>
      <c r="AW96" s="86" t="str">
        <f>IF(SUMIFS(Journal!$D$3:$D$143,Journal!$A$3:$A$143,$B96,Journal!$E$3:$E$143,AW$3)=0,"",SUMIFS(Journal!$D$3:$D$143,Journal!$A$3:$A$143,$B96,Journal!$E$3:$E$143,AW$3))</f>
        <v/>
      </c>
      <c r="AX96" s="86" t="str">
        <f>IF(SUMIFS(Journal!$D$3:$D$143,Journal!$A$3:$A$143,$B96,Journal!$F$3:$F$143,AW$3)=0,"",SUMIFS(Journal!$D$3:$D$143,Journal!$A$3:$A$143,$B96,Journal!$F$3:$F$143,AW$3))</f>
        <v/>
      </c>
      <c r="AY96" s="86" t="str">
        <f>IF(SUMIFS(Journal!$D$3:$D$143,Journal!$A$3:$A$143,$B96,Journal!$E$3:$E$143,AY$3)=0,"",SUMIFS(Journal!$D$3:$D$143,Journal!$A$3:$A$143,$B96,Journal!$E$3:$E$143,AY$3))</f>
        <v/>
      </c>
      <c r="AZ96" s="86" t="str">
        <f>IF(SUMIFS(Journal!$D$3:$D$143,Journal!$A$3:$A$143,$B96,Journal!$F$3:$F$143,AY$3)=0,"",SUMIFS(Journal!$D$3:$D$143,Journal!$A$3:$A$143,$B96,Journal!$F$3:$F$143,AY$3))</f>
        <v/>
      </c>
      <c r="BA96" s="86" t="str">
        <f>IF(SUMIFS(Journal!$D$3:$D$143,Journal!$A$3:$A$143,$B96,Journal!$E$3:$E$143,BA$3)=0,"",SUMIFS(Journal!$D$3:$D$143,Journal!$A$3:$A$143,$B96,Journal!$E$3:$E$143,BA$3))</f>
        <v/>
      </c>
      <c r="BB96" s="86" t="str">
        <f>IF(SUMIFS(Journal!$D$3:$D$143,Journal!$A$3:$A$143,$B96,Journal!$F$3:$F$143,BA$3)=0,"",SUMIFS(Journal!$D$3:$D$143,Journal!$A$3:$A$143,$B96,Journal!$F$3:$F$143,BA$3))</f>
        <v/>
      </c>
    </row>
    <row r="97">
      <c r="A97" s="84">
        <f>VLOOKUP(B97,Journal!$A$3:$C$143,2,FALSE)</f>
        <v>45541</v>
      </c>
      <c r="B97" s="85" t="s">
        <v>550</v>
      </c>
      <c r="C97" s="86" t="str">
        <f>VLOOKUP(B97,Journal!$A$3:$C$143,3,FALSE)</f>
        <v>Monthly business insurance premium</v>
      </c>
      <c r="D97" s="86">
        <f>SUMIF(Journal!$A$3:$A$143,B97,Journal!$D$3:$D$143)</f>
        <v>600</v>
      </c>
      <c r="E97" s="86" t="str">
        <f>IF(SUMIFS(Journal!$D$3:$D$143,Journal!$A$3:$A$143,$B97,Journal!$E$3:$E$143,E$3)=0,"",SUMIFS(Journal!$D$3:$D$143,Journal!$A$3:$A$143,$B97,Journal!$E$3:$E$143,E$3))</f>
        <v/>
      </c>
      <c r="F97" s="86">
        <f>IF(SUMIFS(Journal!$D$3:$D$143,Journal!$A$3:$A$143,$B97,Journal!$F$3:$F$143,E$3)=0,"",SUMIFS(Journal!$D$3:$D$143,Journal!$A$3:$A$143,$B97,Journal!$F$3:$F$143,E$3))</f>
        <v>600</v>
      </c>
      <c r="G97" s="86" t="str">
        <f>IF(SUMIFS(Journal!$D$3:$D$143,Journal!$A$3:$A$143,$B97,Journal!$E$3:$E$143,G$3)=0,"",SUMIFS(Journal!$D$3:$D$143,Journal!$A$3:$A$143,$B97,Journal!$E$3:$E$143,G$3))</f>
        <v/>
      </c>
      <c r="H97" s="86" t="str">
        <f>IF(SUMIFS(Journal!$D$3:$D$143,Journal!$A$3:$A$143,$B97,Journal!$F$3:$F$143,G$3)=0,"",SUMIFS(Journal!$D$3:$D$143,Journal!$A$3:$A$143,$B97,Journal!$F$3:$F$143,G$3))</f>
        <v/>
      </c>
      <c r="I97" s="86" t="str">
        <f>IF(SUMIFS(Journal!$D$3:$D$143,Journal!$A$3:$A$143,$B97,Journal!$E$3:$E$143,I$3)=0,"",SUMIFS(Journal!$D$3:$D$143,Journal!$A$3:$A$143,$B97,Journal!$E$3:$E$143,I$3))</f>
        <v/>
      </c>
      <c r="J97" s="86" t="str">
        <f>IF(SUMIFS(Journal!$D$3:$D$143,Journal!$A$3:$A$143,$B97,Journal!$F$3:$F$143,I$3)=0,"",SUMIFS(Journal!$D$3:$D$143,Journal!$A$3:$A$143,$B97,Journal!$F$3:$F$143,I$3))</f>
        <v/>
      </c>
      <c r="K97" s="86" t="str">
        <f>IF(SUMIFS(Journal!$D$3:$D$143,Journal!$A$3:$A$143,$B97,Journal!$E$3:$E$143,K$3)=0,"",SUMIFS(Journal!$D$3:$D$143,Journal!$A$3:$A$143,$B97,Journal!$E$3:$E$143,K$3))</f>
        <v/>
      </c>
      <c r="L97" s="86" t="str">
        <f>IF(SUMIFS(Journal!$D$3:$D$143,Journal!$A$3:$A$143,$B97,Journal!$F$3:$F$143,K$3)=0,"",SUMIFS(Journal!$D$3:$D$143,Journal!$A$3:$A$143,$B97,Journal!$F$3:$F$143,K$3))</f>
        <v/>
      </c>
      <c r="M97" s="86" t="str">
        <f>IF(SUMIFS(Journal!$D$3:$D$143,Journal!$A$3:$A$143,$B97,Journal!$E$3:$E$143,M$3)=0,"",SUMIFS(Journal!$D$3:$D$143,Journal!$A$3:$A$143,$B97,Journal!$E$3:$E$143,M$3))</f>
        <v/>
      </c>
      <c r="N97" s="86" t="str">
        <f>IF(SUMIFS(Journal!$D$3:$D$143,Journal!$A$3:$A$143,$B97,Journal!$F$3:$F$143,M$3)=0,"",SUMIFS(Journal!$D$3:$D$143,Journal!$A$3:$A$143,$B97,Journal!$F$3:$F$143,M$3))</f>
        <v/>
      </c>
      <c r="O97" s="86" t="str">
        <f>IF(SUMIFS(Journal!$D$3:$D$143,Journal!$A$3:$A$143,$B97,Journal!$E$3:$E$143,O$3)=0,"",SUMIFS(Journal!$D$3:$D$143,Journal!$A$3:$A$143,$B97,Journal!$E$3:$E$143,O$3))</f>
        <v/>
      </c>
      <c r="P97" s="86" t="str">
        <f>IF(SUMIFS(Journal!$D$3:$D$143,Journal!$A$3:$A$143,$B97,Journal!$F$3:$F$143,O$3)=0,"",SUMIFS(Journal!$D$3:$D$143,Journal!$A$3:$A$143,$B97,Journal!$F$3:$F$143,O$3))</f>
        <v/>
      </c>
      <c r="Q97" s="86" t="str">
        <f>IF(SUMIFS(Journal!$D$3:$D$143,Journal!$A$3:$A$143,$B97,Journal!$E$3:$E$143,Q$3)=0,"",SUMIFS(Journal!$D$3:$D$143,Journal!$A$3:$A$143,$B97,Journal!$E$3:$E$143,Q$3))</f>
        <v/>
      </c>
      <c r="R97" s="86" t="str">
        <f>IF(SUMIFS(Journal!$D$3:$D$143,Journal!$A$3:$A$143,$B97,Journal!$F$3:$F$143,Q$3)=0,"",SUMIFS(Journal!$D$3:$D$143,Journal!$A$3:$A$143,$B97,Journal!$F$3:$F$143,Q$3))</f>
        <v/>
      </c>
      <c r="S97" s="86" t="str">
        <f>IF(SUMIFS(Journal!$D$3:$D$143,Journal!$A$3:$A$143,$B97,Journal!$E$3:$E$143,S$3)=0,"",SUMIFS(Journal!$D$3:$D$143,Journal!$A$3:$A$143,$B97,Journal!$E$3:$E$143,S$3))</f>
        <v/>
      </c>
      <c r="T97" s="86" t="str">
        <f>IF(SUMIFS(Journal!$D$3:$D$143,Journal!$A$3:$A$143,$B97,Journal!$F$3:$F$143,S$3)=0,"",SUMIFS(Journal!$D$3:$D$143,Journal!$A$3:$A$143,$B97,Journal!$F$3:$F$143,S$3))</f>
        <v/>
      </c>
      <c r="U97" s="86" t="str">
        <f>IF(SUMIFS(Journal!$D$3:$D$143,Journal!$A$3:$A$143,$B97,Journal!$E$3:$E$143,U$3)=0,"",SUMIFS(Journal!$D$3:$D$143,Journal!$A$3:$A$143,$B97,Journal!$E$3:$E$143,U$3))</f>
        <v/>
      </c>
      <c r="V97" s="86" t="str">
        <f>IF(SUMIFS(Journal!$D$3:$D$143,Journal!$A$3:$A$143,$B97,Journal!$F$3:$F$143,U$3)=0,"",SUMIFS(Journal!$D$3:$D$143,Journal!$A$3:$A$143,$B97,Journal!$F$3:$F$143,U$3))</f>
        <v/>
      </c>
      <c r="W97" s="86" t="str">
        <f>IF(SUMIFS(Journal!$D$3:$D$143,Journal!$A$3:$A$143,$B97,Journal!$E$3:$E$143,W$3)=0,"",SUMIFS(Journal!$D$3:$D$143,Journal!$A$3:$A$143,$B97,Journal!$E$3:$E$143,W$3))</f>
        <v/>
      </c>
      <c r="X97" s="86" t="str">
        <f>IF(SUMIFS(Journal!$D$3:$D$143,Journal!$A$3:$A$143,$B97,Journal!$F$3:$F$143,W$3)=0,"",SUMIFS(Journal!$D$3:$D$143,Journal!$A$3:$A$143,$B97,Journal!$F$3:$F$143,W$3))</f>
        <v/>
      </c>
      <c r="Y97" s="86" t="str">
        <f>IF(SUMIFS(Journal!$D$3:$D$143,Journal!$A$3:$A$143,$B97,Journal!$E$3:$E$143,Y$3)=0,"",SUMIFS(Journal!$D$3:$D$143,Journal!$A$3:$A$143,$B97,Journal!$E$3:$E$143,Y$3))</f>
        <v/>
      </c>
      <c r="Z97" s="86" t="str">
        <f>IF(SUMIFS(Journal!$D$3:$D$143,Journal!$A$3:$A$143,$B97,Journal!$F$3:$F$143,Y$3)=0,"",SUMIFS(Journal!$D$3:$D$143,Journal!$A$3:$A$143,$B97,Journal!$F$3:$F$143,Y$3))</f>
        <v/>
      </c>
      <c r="AA97" s="86" t="str">
        <f>IF(SUMIFS(Journal!$D$3:$D$143,Journal!$A$3:$A$143,$B97,Journal!$E$3:$E$143,AA$3)=0,"",SUMIFS(Journal!$D$3:$D$143,Journal!$A$3:$A$143,$B97,Journal!$E$3:$E$143,AA$3))</f>
        <v/>
      </c>
      <c r="AB97" s="86" t="str">
        <f>IF(SUMIFS(Journal!$D$3:$D$143,Journal!$A$3:$A$143,$B97,Journal!$F$3:$F$143,AA$3)=0,"",SUMIFS(Journal!$D$3:$D$143,Journal!$A$3:$A$143,$B97,Journal!$F$3:$F$143,AA$3))</f>
        <v/>
      </c>
      <c r="AC97" s="86" t="str">
        <f>IF(SUMIFS(Journal!$D$3:$D$143,Journal!$A$3:$A$143,$B97,Journal!$E$3:$E$143,AC$3)=0,"",SUMIFS(Journal!$D$3:$D$143,Journal!$A$3:$A$143,$B97,Journal!$E$3:$E$143,AC$3))</f>
        <v/>
      </c>
      <c r="AD97" s="86" t="str">
        <f>IF(SUMIFS(Journal!$D$3:$D$143,Journal!$A$3:$A$143,$B97,Journal!$F$3:$F$143,AC$3)=0,"",SUMIFS(Journal!$D$3:$D$143,Journal!$A$3:$A$143,$B97,Journal!$F$3:$F$143,AC$3))</f>
        <v/>
      </c>
      <c r="AE97" s="86" t="str">
        <f>IF(SUMIFS(Journal!$D$3:$D$143,Journal!$A$3:$A$143,$B97,Journal!$E$3:$E$143,AE$3)=0,"",SUMIFS(Journal!$D$3:$D$143,Journal!$A$3:$A$143,$B97,Journal!$E$3:$E$143,AE$3))</f>
        <v/>
      </c>
      <c r="AF97" s="86" t="str">
        <f>IF(SUMIFS(Journal!$D$3:$D$143,Journal!$A$3:$A$143,$B97,Journal!$F$3:$F$143,AE$3)=0,"",SUMIFS(Journal!$D$3:$D$143,Journal!$A$3:$A$143,$B97,Journal!$F$3:$F$143,AE$3))</f>
        <v/>
      </c>
      <c r="AG97" s="86" t="str">
        <f>IF(SUMIFS(Journal!$D$3:$D$143,Journal!$A$3:$A$143,$B97,Journal!$E$3:$E$143,AG$3)=0,"",SUMIFS(Journal!$D$3:$D$143,Journal!$A$3:$A$143,$B97,Journal!$E$3:$E$143,AG$3))</f>
        <v/>
      </c>
      <c r="AH97" s="86" t="str">
        <f>IF(SUMIFS(Journal!$D$3:$D$143,Journal!$A$3:$A$143,$B97,Journal!$F$3:$F$143,AG$3)=0,"",SUMIFS(Journal!$D$3:$D$143,Journal!$A$3:$A$143,$B97,Journal!$F$3:$F$143,AG$3))</f>
        <v/>
      </c>
      <c r="AI97" s="86" t="str">
        <f>IF(SUMIFS(Journal!$D$3:$D$143,Journal!$A$3:$A$143,$B97,Journal!$E$3:$E$143,AI$3)=0,"",SUMIFS(Journal!$D$3:$D$143,Journal!$A$3:$A$143,$B97,Journal!$E$3:$E$143,AI$3))</f>
        <v/>
      </c>
      <c r="AJ97" s="86" t="str">
        <f>IF(SUMIFS(Journal!$D$3:$D$143,Journal!$A$3:$A$143,$B97,Journal!$F$3:$F$143,AI$3)=0,"",SUMIFS(Journal!$D$3:$D$143,Journal!$A$3:$A$143,$B97,Journal!$F$3:$F$143,AI$3))</f>
        <v/>
      </c>
      <c r="AK97" s="86">
        <f>IF(SUMIFS(Journal!$D$3:$D$143,Journal!$A$3:$A$143,$B97,Journal!$E$3:$E$143,AK$3)=0,"",SUMIFS(Journal!$D$3:$D$143,Journal!$A$3:$A$143,$B97,Journal!$E$3:$E$143,AK$3))</f>
        <v>600</v>
      </c>
      <c r="AL97" s="86" t="str">
        <f>IF(SUMIFS(Journal!$D$3:$D$143,Journal!$A$3:$A$143,$B97,Journal!$F$3:$F$143,AK$3)=0,"",SUMIFS(Journal!$D$3:$D$143,Journal!$A$3:$A$143,$B97,Journal!$F$3:$F$143,AK$3))</f>
        <v/>
      </c>
      <c r="AM97" s="86" t="str">
        <f>IF(SUMIFS(Journal!$D$3:$D$143,Journal!$A$3:$A$143,$B97,Journal!$E$3:$E$143,AM$3)=0,"",SUMIFS(Journal!$D$3:$D$143,Journal!$A$3:$A$143,$B97,Journal!$E$3:$E$143,AM$3))</f>
        <v/>
      </c>
      <c r="AN97" s="86" t="str">
        <f>IF(SUMIFS(Journal!$D$3:$D$143,Journal!$A$3:$A$143,$B97,Journal!$F$3:$F$143,AM$3)=0,"",SUMIFS(Journal!$D$3:$D$143,Journal!$A$3:$A$143,$B97,Journal!$F$3:$F$143,AM$3))</f>
        <v/>
      </c>
      <c r="AO97" s="86" t="str">
        <f>IF(SUMIFS(Journal!$D$3:$D$143,Journal!$A$3:$A$143,$B97,Journal!$E$3:$E$143,AO$3)=0,"",SUMIFS(Journal!$D$3:$D$143,Journal!$A$3:$A$143,$B97,Journal!$E$3:$E$143,AO$3))</f>
        <v/>
      </c>
      <c r="AP97" s="86" t="str">
        <f>IF(SUMIFS(Journal!$D$3:$D$143,Journal!$A$3:$A$143,$B97,Journal!$F$3:$F$143,AO$3)=0,"",SUMIFS(Journal!$D$3:$D$143,Journal!$A$3:$A$143,$B97,Journal!$F$3:$F$143,AO$3))</f>
        <v/>
      </c>
      <c r="AQ97" s="86" t="str">
        <f>IF(SUMIFS(Journal!$D$3:$D$143,Journal!$A$3:$A$143,$B97,Journal!$E$3:$E$143,AQ$3)=0,"",SUMIFS(Journal!$D$3:$D$143,Journal!$A$3:$A$143,$B97,Journal!$E$3:$E$143,AQ$3))</f>
        <v/>
      </c>
      <c r="AR97" s="86" t="str">
        <f>IF(SUMIFS(Journal!$D$3:$D$143,Journal!$A$3:$A$143,$B97,Journal!$F$3:$F$143,AQ$3)=0,"",SUMIFS(Journal!$D$3:$D$143,Journal!$A$3:$A$143,$B97,Journal!$F$3:$F$143,AQ$3))</f>
        <v/>
      </c>
      <c r="AS97" s="86" t="str">
        <f>IF(SUMIFS(Journal!$D$3:$D$143,Journal!$A$3:$A$143,$B97,Journal!$E$3:$E$143,AS$3)=0,"",SUMIFS(Journal!$D$3:$D$143,Journal!$A$3:$A$143,$B97,Journal!$E$3:$E$143,AS$3))</f>
        <v/>
      </c>
      <c r="AT97" s="86" t="str">
        <f>IF(SUMIFS(Journal!$D$3:$D$143,Journal!$A$3:$A$143,$B97,Journal!$F$3:$F$143,AS$3)=0,"",SUMIFS(Journal!$D$3:$D$143,Journal!$A$3:$A$143,$B97,Journal!$F$3:$F$143,AS$3))</f>
        <v/>
      </c>
      <c r="AU97" s="86" t="str">
        <f>IF(SUMIFS(Journal!$D$3:$D$143,Journal!$A$3:$A$143,$B97,Journal!$E$3:$E$143,AU$3)=0,"",SUMIFS(Journal!$D$3:$D$143,Journal!$A$3:$A$143,$B97,Journal!$E$3:$E$143,AU$3))</f>
        <v/>
      </c>
      <c r="AV97" s="86" t="str">
        <f>IF(SUMIFS(Journal!$D$3:$D$143,Journal!$A$3:$A$143,$B97,Journal!$F$3:$F$143,AU$3)=0,"",SUMIFS(Journal!$D$3:$D$143,Journal!$A$3:$A$143,$B97,Journal!$F$3:$F$143,AU$3))</f>
        <v/>
      </c>
      <c r="AW97" s="86" t="str">
        <f>IF(SUMIFS(Journal!$D$3:$D$143,Journal!$A$3:$A$143,$B97,Journal!$E$3:$E$143,AW$3)=0,"",SUMIFS(Journal!$D$3:$D$143,Journal!$A$3:$A$143,$B97,Journal!$E$3:$E$143,AW$3))</f>
        <v/>
      </c>
      <c r="AX97" s="86" t="str">
        <f>IF(SUMIFS(Journal!$D$3:$D$143,Journal!$A$3:$A$143,$B97,Journal!$F$3:$F$143,AW$3)=0,"",SUMIFS(Journal!$D$3:$D$143,Journal!$A$3:$A$143,$B97,Journal!$F$3:$F$143,AW$3))</f>
        <v/>
      </c>
      <c r="AY97" s="86" t="str">
        <f>IF(SUMIFS(Journal!$D$3:$D$143,Journal!$A$3:$A$143,$B97,Journal!$E$3:$E$143,AY$3)=0,"",SUMIFS(Journal!$D$3:$D$143,Journal!$A$3:$A$143,$B97,Journal!$E$3:$E$143,AY$3))</f>
        <v/>
      </c>
      <c r="AZ97" s="86" t="str">
        <f>IF(SUMIFS(Journal!$D$3:$D$143,Journal!$A$3:$A$143,$B97,Journal!$F$3:$F$143,AY$3)=0,"",SUMIFS(Journal!$D$3:$D$143,Journal!$A$3:$A$143,$B97,Journal!$F$3:$F$143,AY$3))</f>
        <v/>
      </c>
      <c r="BA97" s="86" t="str">
        <f>IF(SUMIFS(Journal!$D$3:$D$143,Journal!$A$3:$A$143,$B97,Journal!$E$3:$E$143,BA$3)=0,"",SUMIFS(Journal!$D$3:$D$143,Journal!$A$3:$A$143,$B97,Journal!$E$3:$E$143,BA$3))</f>
        <v/>
      </c>
      <c r="BB97" s="86" t="str">
        <f>IF(SUMIFS(Journal!$D$3:$D$143,Journal!$A$3:$A$143,$B97,Journal!$F$3:$F$143,BA$3)=0,"",SUMIFS(Journal!$D$3:$D$143,Journal!$A$3:$A$143,$B97,Journal!$F$3:$F$143,BA$3))</f>
        <v/>
      </c>
    </row>
    <row r="98">
      <c r="A98" s="84">
        <f>VLOOKUP(B98,Journal!$A$3:$C$143,2,FALSE)</f>
        <v>45547</v>
      </c>
      <c r="B98" s="85" t="s">
        <v>553</v>
      </c>
      <c r="C98" s="86" t="str">
        <f>VLOOKUP(B98,Journal!$A$3:$C$143,3,FALSE)</f>
        <v>Equipment rental receipts batch</v>
      </c>
      <c r="D98" s="86">
        <f>SUMIF(Journal!$A$3:$A$143,B98,Journal!$D$3:$D$143)</f>
        <v>11000</v>
      </c>
      <c r="E98" s="86">
        <f>IF(SUMIFS(Journal!$D$3:$D$143,Journal!$A$3:$A$143,$B98,Journal!$E$3:$E$143,E$3)=0,"",SUMIFS(Journal!$D$3:$D$143,Journal!$A$3:$A$143,$B98,Journal!$E$3:$E$143,E$3))</f>
        <v>11000</v>
      </c>
      <c r="F98" s="86" t="str">
        <f>IF(SUMIFS(Journal!$D$3:$D$143,Journal!$A$3:$A$143,$B98,Journal!$F$3:$F$143,E$3)=0,"",SUMIFS(Journal!$D$3:$D$143,Journal!$A$3:$A$143,$B98,Journal!$F$3:$F$143,E$3))</f>
        <v/>
      </c>
      <c r="G98" s="86" t="str">
        <f>IF(SUMIFS(Journal!$D$3:$D$143,Journal!$A$3:$A$143,$B98,Journal!$E$3:$E$143,G$3)=0,"",SUMIFS(Journal!$D$3:$D$143,Journal!$A$3:$A$143,$B98,Journal!$E$3:$E$143,G$3))</f>
        <v/>
      </c>
      <c r="H98" s="86" t="str">
        <f>IF(SUMIFS(Journal!$D$3:$D$143,Journal!$A$3:$A$143,$B98,Journal!$F$3:$F$143,G$3)=0,"",SUMIFS(Journal!$D$3:$D$143,Journal!$A$3:$A$143,$B98,Journal!$F$3:$F$143,G$3))</f>
        <v/>
      </c>
      <c r="I98" s="86" t="str">
        <f>IF(SUMIFS(Journal!$D$3:$D$143,Journal!$A$3:$A$143,$B98,Journal!$E$3:$E$143,I$3)=0,"",SUMIFS(Journal!$D$3:$D$143,Journal!$A$3:$A$143,$B98,Journal!$E$3:$E$143,I$3))</f>
        <v/>
      </c>
      <c r="J98" s="86" t="str">
        <f>IF(SUMIFS(Journal!$D$3:$D$143,Journal!$A$3:$A$143,$B98,Journal!$F$3:$F$143,I$3)=0,"",SUMIFS(Journal!$D$3:$D$143,Journal!$A$3:$A$143,$B98,Journal!$F$3:$F$143,I$3))</f>
        <v/>
      </c>
      <c r="K98" s="86" t="str">
        <f>IF(SUMIFS(Journal!$D$3:$D$143,Journal!$A$3:$A$143,$B98,Journal!$E$3:$E$143,K$3)=0,"",SUMIFS(Journal!$D$3:$D$143,Journal!$A$3:$A$143,$B98,Journal!$E$3:$E$143,K$3))</f>
        <v/>
      </c>
      <c r="L98" s="86" t="str">
        <f>IF(SUMIFS(Journal!$D$3:$D$143,Journal!$A$3:$A$143,$B98,Journal!$F$3:$F$143,K$3)=0,"",SUMIFS(Journal!$D$3:$D$143,Journal!$A$3:$A$143,$B98,Journal!$F$3:$F$143,K$3))</f>
        <v/>
      </c>
      <c r="M98" s="86" t="str">
        <f>IF(SUMIFS(Journal!$D$3:$D$143,Journal!$A$3:$A$143,$B98,Journal!$E$3:$E$143,M$3)=0,"",SUMIFS(Journal!$D$3:$D$143,Journal!$A$3:$A$143,$B98,Journal!$E$3:$E$143,M$3))</f>
        <v/>
      </c>
      <c r="N98" s="86" t="str">
        <f>IF(SUMIFS(Journal!$D$3:$D$143,Journal!$A$3:$A$143,$B98,Journal!$F$3:$F$143,M$3)=0,"",SUMIFS(Journal!$D$3:$D$143,Journal!$A$3:$A$143,$B98,Journal!$F$3:$F$143,M$3))</f>
        <v/>
      </c>
      <c r="O98" s="86" t="str">
        <f>IF(SUMIFS(Journal!$D$3:$D$143,Journal!$A$3:$A$143,$B98,Journal!$E$3:$E$143,O$3)=0,"",SUMIFS(Journal!$D$3:$D$143,Journal!$A$3:$A$143,$B98,Journal!$E$3:$E$143,O$3))</f>
        <v/>
      </c>
      <c r="P98" s="86" t="str">
        <f>IF(SUMIFS(Journal!$D$3:$D$143,Journal!$A$3:$A$143,$B98,Journal!$F$3:$F$143,O$3)=0,"",SUMIFS(Journal!$D$3:$D$143,Journal!$A$3:$A$143,$B98,Journal!$F$3:$F$143,O$3))</f>
        <v/>
      </c>
      <c r="Q98" s="86" t="str">
        <f>IF(SUMIFS(Journal!$D$3:$D$143,Journal!$A$3:$A$143,$B98,Journal!$E$3:$E$143,Q$3)=0,"",SUMIFS(Journal!$D$3:$D$143,Journal!$A$3:$A$143,$B98,Journal!$E$3:$E$143,Q$3))</f>
        <v/>
      </c>
      <c r="R98" s="86" t="str">
        <f>IF(SUMIFS(Journal!$D$3:$D$143,Journal!$A$3:$A$143,$B98,Journal!$F$3:$F$143,Q$3)=0,"",SUMIFS(Journal!$D$3:$D$143,Journal!$A$3:$A$143,$B98,Journal!$F$3:$F$143,Q$3))</f>
        <v/>
      </c>
      <c r="S98" s="86" t="str">
        <f>IF(SUMIFS(Journal!$D$3:$D$143,Journal!$A$3:$A$143,$B98,Journal!$E$3:$E$143,S$3)=0,"",SUMIFS(Journal!$D$3:$D$143,Journal!$A$3:$A$143,$B98,Journal!$E$3:$E$143,S$3))</f>
        <v/>
      </c>
      <c r="T98" s="86" t="str">
        <f>IF(SUMIFS(Journal!$D$3:$D$143,Journal!$A$3:$A$143,$B98,Journal!$F$3:$F$143,S$3)=0,"",SUMIFS(Journal!$D$3:$D$143,Journal!$A$3:$A$143,$B98,Journal!$F$3:$F$143,S$3))</f>
        <v/>
      </c>
      <c r="U98" s="86" t="str">
        <f>IF(SUMIFS(Journal!$D$3:$D$143,Journal!$A$3:$A$143,$B98,Journal!$E$3:$E$143,U$3)=0,"",SUMIFS(Journal!$D$3:$D$143,Journal!$A$3:$A$143,$B98,Journal!$E$3:$E$143,U$3))</f>
        <v/>
      </c>
      <c r="V98" s="86" t="str">
        <f>IF(SUMIFS(Journal!$D$3:$D$143,Journal!$A$3:$A$143,$B98,Journal!$F$3:$F$143,U$3)=0,"",SUMIFS(Journal!$D$3:$D$143,Journal!$A$3:$A$143,$B98,Journal!$F$3:$F$143,U$3))</f>
        <v/>
      </c>
      <c r="W98" s="86" t="str">
        <f>IF(SUMIFS(Journal!$D$3:$D$143,Journal!$A$3:$A$143,$B98,Journal!$E$3:$E$143,W$3)=0,"",SUMIFS(Journal!$D$3:$D$143,Journal!$A$3:$A$143,$B98,Journal!$E$3:$E$143,W$3))</f>
        <v/>
      </c>
      <c r="X98" s="86">
        <f>IF(SUMIFS(Journal!$D$3:$D$143,Journal!$A$3:$A$143,$B98,Journal!$F$3:$F$143,W$3)=0,"",SUMIFS(Journal!$D$3:$D$143,Journal!$A$3:$A$143,$B98,Journal!$F$3:$F$143,W$3))</f>
        <v>11000</v>
      </c>
      <c r="Y98" s="86" t="str">
        <f>IF(SUMIFS(Journal!$D$3:$D$143,Journal!$A$3:$A$143,$B98,Journal!$E$3:$E$143,Y$3)=0,"",SUMIFS(Journal!$D$3:$D$143,Journal!$A$3:$A$143,$B98,Journal!$E$3:$E$143,Y$3))</f>
        <v/>
      </c>
      <c r="Z98" s="86" t="str">
        <f>IF(SUMIFS(Journal!$D$3:$D$143,Journal!$A$3:$A$143,$B98,Journal!$F$3:$F$143,Y$3)=0,"",SUMIFS(Journal!$D$3:$D$143,Journal!$A$3:$A$143,$B98,Journal!$F$3:$F$143,Y$3))</f>
        <v/>
      </c>
      <c r="AA98" s="86" t="str">
        <f>IF(SUMIFS(Journal!$D$3:$D$143,Journal!$A$3:$A$143,$B98,Journal!$E$3:$E$143,AA$3)=0,"",SUMIFS(Journal!$D$3:$D$143,Journal!$A$3:$A$143,$B98,Journal!$E$3:$E$143,AA$3))</f>
        <v/>
      </c>
      <c r="AB98" s="86" t="str">
        <f>IF(SUMIFS(Journal!$D$3:$D$143,Journal!$A$3:$A$143,$B98,Journal!$F$3:$F$143,AA$3)=0,"",SUMIFS(Journal!$D$3:$D$143,Journal!$A$3:$A$143,$B98,Journal!$F$3:$F$143,AA$3))</f>
        <v/>
      </c>
      <c r="AC98" s="86" t="str">
        <f>IF(SUMIFS(Journal!$D$3:$D$143,Journal!$A$3:$A$143,$B98,Journal!$E$3:$E$143,AC$3)=0,"",SUMIFS(Journal!$D$3:$D$143,Journal!$A$3:$A$143,$B98,Journal!$E$3:$E$143,AC$3))</f>
        <v/>
      </c>
      <c r="AD98" s="86" t="str">
        <f>IF(SUMIFS(Journal!$D$3:$D$143,Journal!$A$3:$A$143,$B98,Journal!$F$3:$F$143,AC$3)=0,"",SUMIFS(Journal!$D$3:$D$143,Journal!$A$3:$A$143,$B98,Journal!$F$3:$F$143,AC$3))</f>
        <v/>
      </c>
      <c r="AE98" s="86" t="str">
        <f>IF(SUMIFS(Journal!$D$3:$D$143,Journal!$A$3:$A$143,$B98,Journal!$E$3:$E$143,AE$3)=0,"",SUMIFS(Journal!$D$3:$D$143,Journal!$A$3:$A$143,$B98,Journal!$E$3:$E$143,AE$3))</f>
        <v/>
      </c>
      <c r="AF98" s="86" t="str">
        <f>IF(SUMIFS(Journal!$D$3:$D$143,Journal!$A$3:$A$143,$B98,Journal!$F$3:$F$143,AE$3)=0,"",SUMIFS(Journal!$D$3:$D$143,Journal!$A$3:$A$143,$B98,Journal!$F$3:$F$143,AE$3))</f>
        <v/>
      </c>
      <c r="AG98" s="86" t="str">
        <f>IF(SUMIFS(Journal!$D$3:$D$143,Journal!$A$3:$A$143,$B98,Journal!$E$3:$E$143,AG$3)=0,"",SUMIFS(Journal!$D$3:$D$143,Journal!$A$3:$A$143,$B98,Journal!$E$3:$E$143,AG$3))</f>
        <v/>
      </c>
      <c r="AH98" s="86" t="str">
        <f>IF(SUMIFS(Journal!$D$3:$D$143,Journal!$A$3:$A$143,$B98,Journal!$F$3:$F$143,AG$3)=0,"",SUMIFS(Journal!$D$3:$D$143,Journal!$A$3:$A$143,$B98,Journal!$F$3:$F$143,AG$3))</f>
        <v/>
      </c>
      <c r="AI98" s="86" t="str">
        <f>IF(SUMIFS(Journal!$D$3:$D$143,Journal!$A$3:$A$143,$B98,Journal!$E$3:$E$143,AI$3)=0,"",SUMIFS(Journal!$D$3:$D$143,Journal!$A$3:$A$143,$B98,Journal!$E$3:$E$143,AI$3))</f>
        <v/>
      </c>
      <c r="AJ98" s="86" t="str">
        <f>IF(SUMIFS(Journal!$D$3:$D$143,Journal!$A$3:$A$143,$B98,Journal!$F$3:$F$143,AI$3)=0,"",SUMIFS(Journal!$D$3:$D$143,Journal!$A$3:$A$143,$B98,Journal!$F$3:$F$143,AI$3))</f>
        <v/>
      </c>
      <c r="AK98" s="86" t="str">
        <f>IF(SUMIFS(Journal!$D$3:$D$143,Journal!$A$3:$A$143,$B98,Journal!$E$3:$E$143,AK$3)=0,"",SUMIFS(Journal!$D$3:$D$143,Journal!$A$3:$A$143,$B98,Journal!$E$3:$E$143,AK$3))</f>
        <v/>
      </c>
      <c r="AL98" s="86" t="str">
        <f>IF(SUMIFS(Journal!$D$3:$D$143,Journal!$A$3:$A$143,$B98,Journal!$F$3:$F$143,AK$3)=0,"",SUMIFS(Journal!$D$3:$D$143,Journal!$A$3:$A$143,$B98,Journal!$F$3:$F$143,AK$3))</f>
        <v/>
      </c>
      <c r="AM98" s="86" t="str">
        <f>IF(SUMIFS(Journal!$D$3:$D$143,Journal!$A$3:$A$143,$B98,Journal!$E$3:$E$143,AM$3)=0,"",SUMIFS(Journal!$D$3:$D$143,Journal!$A$3:$A$143,$B98,Journal!$E$3:$E$143,AM$3))</f>
        <v/>
      </c>
      <c r="AN98" s="86" t="str">
        <f>IF(SUMIFS(Journal!$D$3:$D$143,Journal!$A$3:$A$143,$B98,Journal!$F$3:$F$143,AM$3)=0,"",SUMIFS(Journal!$D$3:$D$143,Journal!$A$3:$A$143,$B98,Journal!$F$3:$F$143,AM$3))</f>
        <v/>
      </c>
      <c r="AO98" s="86" t="str">
        <f>IF(SUMIFS(Journal!$D$3:$D$143,Journal!$A$3:$A$143,$B98,Journal!$E$3:$E$143,AO$3)=0,"",SUMIFS(Journal!$D$3:$D$143,Journal!$A$3:$A$143,$B98,Journal!$E$3:$E$143,AO$3))</f>
        <v/>
      </c>
      <c r="AP98" s="86" t="str">
        <f>IF(SUMIFS(Journal!$D$3:$D$143,Journal!$A$3:$A$143,$B98,Journal!$F$3:$F$143,AO$3)=0,"",SUMIFS(Journal!$D$3:$D$143,Journal!$A$3:$A$143,$B98,Journal!$F$3:$F$143,AO$3))</f>
        <v/>
      </c>
      <c r="AQ98" s="86" t="str">
        <f>IF(SUMIFS(Journal!$D$3:$D$143,Journal!$A$3:$A$143,$B98,Journal!$E$3:$E$143,AQ$3)=0,"",SUMIFS(Journal!$D$3:$D$143,Journal!$A$3:$A$143,$B98,Journal!$E$3:$E$143,AQ$3))</f>
        <v/>
      </c>
      <c r="AR98" s="86" t="str">
        <f>IF(SUMIFS(Journal!$D$3:$D$143,Journal!$A$3:$A$143,$B98,Journal!$F$3:$F$143,AQ$3)=0,"",SUMIFS(Journal!$D$3:$D$143,Journal!$A$3:$A$143,$B98,Journal!$F$3:$F$143,AQ$3))</f>
        <v/>
      </c>
      <c r="AS98" s="86" t="str">
        <f>IF(SUMIFS(Journal!$D$3:$D$143,Journal!$A$3:$A$143,$B98,Journal!$E$3:$E$143,AS$3)=0,"",SUMIFS(Journal!$D$3:$D$143,Journal!$A$3:$A$143,$B98,Journal!$E$3:$E$143,AS$3))</f>
        <v/>
      </c>
      <c r="AT98" s="86" t="str">
        <f>IF(SUMIFS(Journal!$D$3:$D$143,Journal!$A$3:$A$143,$B98,Journal!$F$3:$F$143,AS$3)=0,"",SUMIFS(Journal!$D$3:$D$143,Journal!$A$3:$A$143,$B98,Journal!$F$3:$F$143,AS$3))</f>
        <v/>
      </c>
      <c r="AU98" s="86" t="str">
        <f>IF(SUMIFS(Journal!$D$3:$D$143,Journal!$A$3:$A$143,$B98,Journal!$E$3:$E$143,AU$3)=0,"",SUMIFS(Journal!$D$3:$D$143,Journal!$A$3:$A$143,$B98,Journal!$E$3:$E$143,AU$3))</f>
        <v/>
      </c>
      <c r="AV98" s="86" t="str">
        <f>IF(SUMIFS(Journal!$D$3:$D$143,Journal!$A$3:$A$143,$B98,Journal!$F$3:$F$143,AU$3)=0,"",SUMIFS(Journal!$D$3:$D$143,Journal!$A$3:$A$143,$B98,Journal!$F$3:$F$143,AU$3))</f>
        <v/>
      </c>
      <c r="AW98" s="86" t="str">
        <f>IF(SUMIFS(Journal!$D$3:$D$143,Journal!$A$3:$A$143,$B98,Journal!$E$3:$E$143,AW$3)=0,"",SUMIFS(Journal!$D$3:$D$143,Journal!$A$3:$A$143,$B98,Journal!$E$3:$E$143,AW$3))</f>
        <v/>
      </c>
      <c r="AX98" s="86" t="str">
        <f>IF(SUMIFS(Journal!$D$3:$D$143,Journal!$A$3:$A$143,$B98,Journal!$F$3:$F$143,AW$3)=0,"",SUMIFS(Journal!$D$3:$D$143,Journal!$A$3:$A$143,$B98,Journal!$F$3:$F$143,AW$3))</f>
        <v/>
      </c>
      <c r="AY98" s="86" t="str">
        <f>IF(SUMIFS(Journal!$D$3:$D$143,Journal!$A$3:$A$143,$B98,Journal!$E$3:$E$143,AY$3)=0,"",SUMIFS(Journal!$D$3:$D$143,Journal!$A$3:$A$143,$B98,Journal!$E$3:$E$143,AY$3))</f>
        <v/>
      </c>
      <c r="AZ98" s="86" t="str">
        <f>IF(SUMIFS(Journal!$D$3:$D$143,Journal!$A$3:$A$143,$B98,Journal!$F$3:$F$143,AY$3)=0,"",SUMIFS(Journal!$D$3:$D$143,Journal!$A$3:$A$143,$B98,Journal!$F$3:$F$143,AY$3))</f>
        <v/>
      </c>
      <c r="BA98" s="86" t="str">
        <f>IF(SUMIFS(Journal!$D$3:$D$143,Journal!$A$3:$A$143,$B98,Journal!$E$3:$E$143,BA$3)=0,"",SUMIFS(Journal!$D$3:$D$143,Journal!$A$3:$A$143,$B98,Journal!$E$3:$E$143,BA$3))</f>
        <v/>
      </c>
      <c r="BB98" s="86" t="str">
        <f>IF(SUMIFS(Journal!$D$3:$D$143,Journal!$A$3:$A$143,$B98,Journal!$F$3:$F$143,BA$3)=0,"",SUMIFS(Journal!$D$3:$D$143,Journal!$A$3:$A$143,$B98,Journal!$F$3:$F$143,BA$3))</f>
        <v/>
      </c>
    </row>
    <row r="99">
      <c r="A99" s="84">
        <f>VLOOKUP(B99,Journal!$A$3:$C$143,2,FALSE)</f>
        <v>45551</v>
      </c>
      <c r="B99" s="85" t="s">
        <v>555</v>
      </c>
      <c r="C99" s="86" t="str">
        <f>VLOOKUP(B99,Journal!$A$3:$C$143,3,FALSE)</f>
        <v>Fleet service and dispatch</v>
      </c>
      <c r="D99" s="86">
        <f>SUMIF(Journal!$A$3:$A$143,B99,Journal!$D$3:$D$143)</f>
        <v>4200</v>
      </c>
      <c r="E99" s="86" t="str">
        <f>IF(SUMIFS(Journal!$D$3:$D$143,Journal!$A$3:$A$143,$B99,Journal!$E$3:$E$143,E$3)=0,"",SUMIFS(Journal!$D$3:$D$143,Journal!$A$3:$A$143,$B99,Journal!$E$3:$E$143,E$3))</f>
        <v/>
      </c>
      <c r="F99" s="86">
        <f>IF(SUMIFS(Journal!$D$3:$D$143,Journal!$A$3:$A$143,$B99,Journal!$F$3:$F$143,E$3)=0,"",SUMIFS(Journal!$D$3:$D$143,Journal!$A$3:$A$143,$B99,Journal!$F$3:$F$143,E$3))</f>
        <v>4200</v>
      </c>
      <c r="G99" s="86" t="str">
        <f>IF(SUMIFS(Journal!$D$3:$D$143,Journal!$A$3:$A$143,$B99,Journal!$E$3:$E$143,G$3)=0,"",SUMIFS(Journal!$D$3:$D$143,Journal!$A$3:$A$143,$B99,Journal!$E$3:$E$143,G$3))</f>
        <v/>
      </c>
      <c r="H99" s="86" t="str">
        <f>IF(SUMIFS(Journal!$D$3:$D$143,Journal!$A$3:$A$143,$B99,Journal!$F$3:$F$143,G$3)=0,"",SUMIFS(Journal!$D$3:$D$143,Journal!$A$3:$A$143,$B99,Journal!$F$3:$F$143,G$3))</f>
        <v/>
      </c>
      <c r="I99" s="86" t="str">
        <f>IF(SUMIFS(Journal!$D$3:$D$143,Journal!$A$3:$A$143,$B99,Journal!$E$3:$E$143,I$3)=0,"",SUMIFS(Journal!$D$3:$D$143,Journal!$A$3:$A$143,$B99,Journal!$E$3:$E$143,I$3))</f>
        <v/>
      </c>
      <c r="J99" s="86" t="str">
        <f>IF(SUMIFS(Journal!$D$3:$D$143,Journal!$A$3:$A$143,$B99,Journal!$F$3:$F$143,I$3)=0,"",SUMIFS(Journal!$D$3:$D$143,Journal!$A$3:$A$143,$B99,Journal!$F$3:$F$143,I$3))</f>
        <v/>
      </c>
      <c r="K99" s="86" t="str">
        <f>IF(SUMIFS(Journal!$D$3:$D$143,Journal!$A$3:$A$143,$B99,Journal!$E$3:$E$143,K$3)=0,"",SUMIFS(Journal!$D$3:$D$143,Journal!$A$3:$A$143,$B99,Journal!$E$3:$E$143,K$3))</f>
        <v/>
      </c>
      <c r="L99" s="86" t="str">
        <f>IF(SUMIFS(Journal!$D$3:$D$143,Journal!$A$3:$A$143,$B99,Journal!$F$3:$F$143,K$3)=0,"",SUMIFS(Journal!$D$3:$D$143,Journal!$A$3:$A$143,$B99,Journal!$F$3:$F$143,K$3))</f>
        <v/>
      </c>
      <c r="M99" s="86" t="str">
        <f>IF(SUMIFS(Journal!$D$3:$D$143,Journal!$A$3:$A$143,$B99,Journal!$E$3:$E$143,M$3)=0,"",SUMIFS(Journal!$D$3:$D$143,Journal!$A$3:$A$143,$B99,Journal!$E$3:$E$143,M$3))</f>
        <v/>
      </c>
      <c r="N99" s="86" t="str">
        <f>IF(SUMIFS(Journal!$D$3:$D$143,Journal!$A$3:$A$143,$B99,Journal!$F$3:$F$143,M$3)=0,"",SUMIFS(Journal!$D$3:$D$143,Journal!$A$3:$A$143,$B99,Journal!$F$3:$F$143,M$3))</f>
        <v/>
      </c>
      <c r="O99" s="86" t="str">
        <f>IF(SUMIFS(Journal!$D$3:$D$143,Journal!$A$3:$A$143,$B99,Journal!$E$3:$E$143,O$3)=0,"",SUMIFS(Journal!$D$3:$D$143,Journal!$A$3:$A$143,$B99,Journal!$E$3:$E$143,O$3))</f>
        <v/>
      </c>
      <c r="P99" s="86" t="str">
        <f>IF(SUMIFS(Journal!$D$3:$D$143,Journal!$A$3:$A$143,$B99,Journal!$F$3:$F$143,O$3)=0,"",SUMIFS(Journal!$D$3:$D$143,Journal!$A$3:$A$143,$B99,Journal!$F$3:$F$143,O$3))</f>
        <v/>
      </c>
      <c r="Q99" s="86" t="str">
        <f>IF(SUMIFS(Journal!$D$3:$D$143,Journal!$A$3:$A$143,$B99,Journal!$E$3:$E$143,Q$3)=0,"",SUMIFS(Journal!$D$3:$D$143,Journal!$A$3:$A$143,$B99,Journal!$E$3:$E$143,Q$3))</f>
        <v/>
      </c>
      <c r="R99" s="86" t="str">
        <f>IF(SUMIFS(Journal!$D$3:$D$143,Journal!$A$3:$A$143,$B99,Journal!$F$3:$F$143,Q$3)=0,"",SUMIFS(Journal!$D$3:$D$143,Journal!$A$3:$A$143,$B99,Journal!$F$3:$F$143,Q$3))</f>
        <v/>
      </c>
      <c r="S99" s="86" t="str">
        <f>IF(SUMIFS(Journal!$D$3:$D$143,Journal!$A$3:$A$143,$B99,Journal!$E$3:$E$143,S$3)=0,"",SUMIFS(Journal!$D$3:$D$143,Journal!$A$3:$A$143,$B99,Journal!$E$3:$E$143,S$3))</f>
        <v/>
      </c>
      <c r="T99" s="86" t="str">
        <f>IF(SUMIFS(Journal!$D$3:$D$143,Journal!$A$3:$A$143,$B99,Journal!$F$3:$F$143,S$3)=0,"",SUMIFS(Journal!$D$3:$D$143,Journal!$A$3:$A$143,$B99,Journal!$F$3:$F$143,S$3))</f>
        <v/>
      </c>
      <c r="U99" s="86" t="str">
        <f>IF(SUMIFS(Journal!$D$3:$D$143,Journal!$A$3:$A$143,$B99,Journal!$E$3:$E$143,U$3)=0,"",SUMIFS(Journal!$D$3:$D$143,Journal!$A$3:$A$143,$B99,Journal!$E$3:$E$143,U$3))</f>
        <v/>
      </c>
      <c r="V99" s="86" t="str">
        <f>IF(SUMIFS(Journal!$D$3:$D$143,Journal!$A$3:$A$143,$B99,Journal!$F$3:$F$143,U$3)=0,"",SUMIFS(Journal!$D$3:$D$143,Journal!$A$3:$A$143,$B99,Journal!$F$3:$F$143,U$3))</f>
        <v/>
      </c>
      <c r="W99" s="86" t="str">
        <f>IF(SUMIFS(Journal!$D$3:$D$143,Journal!$A$3:$A$143,$B99,Journal!$E$3:$E$143,W$3)=0,"",SUMIFS(Journal!$D$3:$D$143,Journal!$A$3:$A$143,$B99,Journal!$E$3:$E$143,W$3))</f>
        <v/>
      </c>
      <c r="X99" s="86" t="str">
        <f>IF(SUMIFS(Journal!$D$3:$D$143,Journal!$A$3:$A$143,$B99,Journal!$F$3:$F$143,W$3)=0,"",SUMIFS(Journal!$D$3:$D$143,Journal!$A$3:$A$143,$B99,Journal!$F$3:$F$143,W$3))</f>
        <v/>
      </c>
      <c r="Y99" s="86" t="str">
        <f>IF(SUMIFS(Journal!$D$3:$D$143,Journal!$A$3:$A$143,$B99,Journal!$E$3:$E$143,Y$3)=0,"",SUMIFS(Journal!$D$3:$D$143,Journal!$A$3:$A$143,$B99,Journal!$E$3:$E$143,Y$3))</f>
        <v/>
      </c>
      <c r="Z99" s="86" t="str">
        <f>IF(SUMIFS(Journal!$D$3:$D$143,Journal!$A$3:$A$143,$B99,Journal!$F$3:$F$143,Y$3)=0,"",SUMIFS(Journal!$D$3:$D$143,Journal!$A$3:$A$143,$B99,Journal!$F$3:$F$143,Y$3))</f>
        <v/>
      </c>
      <c r="AA99" s="86" t="str">
        <f>IF(SUMIFS(Journal!$D$3:$D$143,Journal!$A$3:$A$143,$B99,Journal!$E$3:$E$143,AA$3)=0,"",SUMIFS(Journal!$D$3:$D$143,Journal!$A$3:$A$143,$B99,Journal!$E$3:$E$143,AA$3))</f>
        <v/>
      </c>
      <c r="AB99" s="86" t="str">
        <f>IF(SUMIFS(Journal!$D$3:$D$143,Journal!$A$3:$A$143,$B99,Journal!$F$3:$F$143,AA$3)=0,"",SUMIFS(Journal!$D$3:$D$143,Journal!$A$3:$A$143,$B99,Journal!$F$3:$F$143,AA$3))</f>
        <v/>
      </c>
      <c r="AC99" s="86" t="str">
        <f>IF(SUMIFS(Journal!$D$3:$D$143,Journal!$A$3:$A$143,$B99,Journal!$E$3:$E$143,AC$3)=0,"",SUMIFS(Journal!$D$3:$D$143,Journal!$A$3:$A$143,$B99,Journal!$E$3:$E$143,AC$3))</f>
        <v/>
      </c>
      <c r="AD99" s="86" t="str">
        <f>IF(SUMIFS(Journal!$D$3:$D$143,Journal!$A$3:$A$143,$B99,Journal!$F$3:$F$143,AC$3)=0,"",SUMIFS(Journal!$D$3:$D$143,Journal!$A$3:$A$143,$B99,Journal!$F$3:$F$143,AC$3))</f>
        <v/>
      </c>
      <c r="AE99" s="86" t="str">
        <f>IF(SUMIFS(Journal!$D$3:$D$143,Journal!$A$3:$A$143,$B99,Journal!$E$3:$E$143,AE$3)=0,"",SUMIFS(Journal!$D$3:$D$143,Journal!$A$3:$A$143,$B99,Journal!$E$3:$E$143,AE$3))</f>
        <v/>
      </c>
      <c r="AF99" s="86" t="str">
        <f>IF(SUMIFS(Journal!$D$3:$D$143,Journal!$A$3:$A$143,$B99,Journal!$F$3:$F$143,AE$3)=0,"",SUMIFS(Journal!$D$3:$D$143,Journal!$A$3:$A$143,$B99,Journal!$F$3:$F$143,AE$3))</f>
        <v/>
      </c>
      <c r="AG99" s="86" t="str">
        <f>IF(SUMIFS(Journal!$D$3:$D$143,Journal!$A$3:$A$143,$B99,Journal!$E$3:$E$143,AG$3)=0,"",SUMIFS(Journal!$D$3:$D$143,Journal!$A$3:$A$143,$B99,Journal!$E$3:$E$143,AG$3))</f>
        <v/>
      </c>
      <c r="AH99" s="86" t="str">
        <f>IF(SUMIFS(Journal!$D$3:$D$143,Journal!$A$3:$A$143,$B99,Journal!$F$3:$F$143,AG$3)=0,"",SUMIFS(Journal!$D$3:$D$143,Journal!$A$3:$A$143,$B99,Journal!$F$3:$F$143,AG$3))</f>
        <v/>
      </c>
      <c r="AI99" s="86" t="str">
        <f>IF(SUMIFS(Journal!$D$3:$D$143,Journal!$A$3:$A$143,$B99,Journal!$E$3:$E$143,AI$3)=0,"",SUMIFS(Journal!$D$3:$D$143,Journal!$A$3:$A$143,$B99,Journal!$E$3:$E$143,AI$3))</f>
        <v/>
      </c>
      <c r="AJ99" s="86" t="str">
        <f>IF(SUMIFS(Journal!$D$3:$D$143,Journal!$A$3:$A$143,$B99,Journal!$F$3:$F$143,AI$3)=0,"",SUMIFS(Journal!$D$3:$D$143,Journal!$A$3:$A$143,$B99,Journal!$F$3:$F$143,AI$3))</f>
        <v/>
      </c>
      <c r="AK99" s="86" t="str">
        <f>IF(SUMIFS(Journal!$D$3:$D$143,Journal!$A$3:$A$143,$B99,Journal!$E$3:$E$143,AK$3)=0,"",SUMIFS(Journal!$D$3:$D$143,Journal!$A$3:$A$143,$B99,Journal!$E$3:$E$143,AK$3))</f>
        <v/>
      </c>
      <c r="AL99" s="86" t="str">
        <f>IF(SUMIFS(Journal!$D$3:$D$143,Journal!$A$3:$A$143,$B99,Journal!$F$3:$F$143,AK$3)=0,"",SUMIFS(Journal!$D$3:$D$143,Journal!$A$3:$A$143,$B99,Journal!$F$3:$F$143,AK$3))</f>
        <v/>
      </c>
      <c r="AM99" s="86" t="str">
        <f>IF(SUMIFS(Journal!$D$3:$D$143,Journal!$A$3:$A$143,$B99,Journal!$E$3:$E$143,AM$3)=0,"",SUMIFS(Journal!$D$3:$D$143,Journal!$A$3:$A$143,$B99,Journal!$E$3:$E$143,AM$3))</f>
        <v/>
      </c>
      <c r="AN99" s="86" t="str">
        <f>IF(SUMIFS(Journal!$D$3:$D$143,Journal!$A$3:$A$143,$B99,Journal!$F$3:$F$143,AM$3)=0,"",SUMIFS(Journal!$D$3:$D$143,Journal!$A$3:$A$143,$B99,Journal!$F$3:$F$143,AM$3))</f>
        <v/>
      </c>
      <c r="AO99" s="86" t="str">
        <f>IF(SUMIFS(Journal!$D$3:$D$143,Journal!$A$3:$A$143,$B99,Journal!$E$3:$E$143,AO$3)=0,"",SUMIFS(Journal!$D$3:$D$143,Journal!$A$3:$A$143,$B99,Journal!$E$3:$E$143,AO$3))</f>
        <v/>
      </c>
      <c r="AP99" s="86" t="str">
        <f>IF(SUMIFS(Journal!$D$3:$D$143,Journal!$A$3:$A$143,$B99,Journal!$F$3:$F$143,AO$3)=0,"",SUMIFS(Journal!$D$3:$D$143,Journal!$A$3:$A$143,$B99,Journal!$F$3:$F$143,AO$3))</f>
        <v/>
      </c>
      <c r="AQ99" s="86" t="str">
        <f>IF(SUMIFS(Journal!$D$3:$D$143,Journal!$A$3:$A$143,$B99,Journal!$E$3:$E$143,AQ$3)=0,"",SUMIFS(Journal!$D$3:$D$143,Journal!$A$3:$A$143,$B99,Journal!$E$3:$E$143,AQ$3))</f>
        <v/>
      </c>
      <c r="AR99" s="86" t="str">
        <f>IF(SUMIFS(Journal!$D$3:$D$143,Journal!$A$3:$A$143,$B99,Journal!$F$3:$F$143,AQ$3)=0,"",SUMIFS(Journal!$D$3:$D$143,Journal!$A$3:$A$143,$B99,Journal!$F$3:$F$143,AQ$3))</f>
        <v/>
      </c>
      <c r="AS99" s="86" t="str">
        <f>IF(SUMIFS(Journal!$D$3:$D$143,Journal!$A$3:$A$143,$B99,Journal!$E$3:$E$143,AS$3)=0,"",SUMIFS(Journal!$D$3:$D$143,Journal!$A$3:$A$143,$B99,Journal!$E$3:$E$143,AS$3))</f>
        <v/>
      </c>
      <c r="AT99" s="86" t="str">
        <f>IF(SUMIFS(Journal!$D$3:$D$143,Journal!$A$3:$A$143,$B99,Journal!$F$3:$F$143,AS$3)=0,"",SUMIFS(Journal!$D$3:$D$143,Journal!$A$3:$A$143,$B99,Journal!$F$3:$F$143,AS$3))</f>
        <v/>
      </c>
      <c r="AU99" s="86">
        <f>IF(SUMIFS(Journal!$D$3:$D$143,Journal!$A$3:$A$143,$B99,Journal!$E$3:$E$143,AU$3)=0,"",SUMIFS(Journal!$D$3:$D$143,Journal!$A$3:$A$143,$B99,Journal!$E$3:$E$143,AU$3))</f>
        <v>3400</v>
      </c>
      <c r="AV99" s="86" t="str">
        <f>IF(SUMIFS(Journal!$D$3:$D$143,Journal!$A$3:$A$143,$B99,Journal!$F$3:$F$143,AU$3)=0,"",SUMIFS(Journal!$D$3:$D$143,Journal!$A$3:$A$143,$B99,Journal!$F$3:$F$143,AU$3))</f>
        <v/>
      </c>
      <c r="AW99" s="86">
        <f>IF(SUMIFS(Journal!$D$3:$D$143,Journal!$A$3:$A$143,$B99,Journal!$E$3:$E$143,AW$3)=0,"",SUMIFS(Journal!$D$3:$D$143,Journal!$A$3:$A$143,$B99,Journal!$E$3:$E$143,AW$3))</f>
        <v>800</v>
      </c>
      <c r="AX99" s="86" t="str">
        <f>IF(SUMIFS(Journal!$D$3:$D$143,Journal!$A$3:$A$143,$B99,Journal!$F$3:$F$143,AW$3)=0,"",SUMIFS(Journal!$D$3:$D$143,Journal!$A$3:$A$143,$B99,Journal!$F$3:$F$143,AW$3))</f>
        <v/>
      </c>
      <c r="AY99" s="86" t="str">
        <f>IF(SUMIFS(Journal!$D$3:$D$143,Journal!$A$3:$A$143,$B99,Journal!$E$3:$E$143,AY$3)=0,"",SUMIFS(Journal!$D$3:$D$143,Journal!$A$3:$A$143,$B99,Journal!$E$3:$E$143,AY$3))</f>
        <v/>
      </c>
      <c r="AZ99" s="86" t="str">
        <f>IF(SUMIFS(Journal!$D$3:$D$143,Journal!$A$3:$A$143,$B99,Journal!$F$3:$F$143,AY$3)=0,"",SUMIFS(Journal!$D$3:$D$143,Journal!$A$3:$A$143,$B99,Journal!$F$3:$F$143,AY$3))</f>
        <v/>
      </c>
      <c r="BA99" s="86" t="str">
        <f>IF(SUMIFS(Journal!$D$3:$D$143,Journal!$A$3:$A$143,$B99,Journal!$E$3:$E$143,BA$3)=0,"",SUMIFS(Journal!$D$3:$D$143,Journal!$A$3:$A$143,$B99,Journal!$E$3:$E$143,BA$3))</f>
        <v/>
      </c>
      <c r="BB99" s="86" t="str">
        <f>IF(SUMIFS(Journal!$D$3:$D$143,Journal!$A$3:$A$143,$B99,Journal!$F$3:$F$143,BA$3)=0,"",SUMIFS(Journal!$D$3:$D$143,Journal!$A$3:$A$143,$B99,Journal!$F$3:$F$143,BA$3))</f>
        <v/>
      </c>
    </row>
    <row r="100">
      <c r="A100" s="84">
        <f>VLOOKUP(B100,Journal!$A$3:$C$143,2,FALSE)</f>
        <v>45551</v>
      </c>
      <c r="B100" s="85" t="s">
        <v>558</v>
      </c>
      <c r="C100" s="86" t="str">
        <f>VLOOKUP(B100,Journal!$A$3:$C$143,3,FALSE)</f>
        <v>Fleet service and dispatch</v>
      </c>
      <c r="D100" s="86">
        <f>SUMIF(Journal!$A$3:$A$143,B100,Journal!$D$3:$D$143)</f>
        <v>3120</v>
      </c>
      <c r="E100" s="86" t="str">
        <f>IF(SUMIFS(Journal!$D$3:$D$143,Journal!$A$3:$A$143,$B100,Journal!$E$3:$E$143,E$3)=0,"",SUMIFS(Journal!$D$3:$D$143,Journal!$A$3:$A$143,$B100,Journal!$E$3:$E$143,E$3))</f>
        <v/>
      </c>
      <c r="F100" s="86">
        <f>IF(SUMIFS(Journal!$D$3:$D$143,Journal!$A$3:$A$143,$B100,Journal!$F$3:$F$143,E$3)=0,"",SUMIFS(Journal!$D$3:$D$143,Journal!$A$3:$A$143,$B100,Journal!$F$3:$F$143,E$3))</f>
        <v>3120</v>
      </c>
      <c r="G100" s="86" t="str">
        <f>IF(SUMIFS(Journal!$D$3:$D$143,Journal!$A$3:$A$143,$B100,Journal!$E$3:$E$143,G$3)=0,"",SUMIFS(Journal!$D$3:$D$143,Journal!$A$3:$A$143,$B100,Journal!$E$3:$E$143,G$3))</f>
        <v/>
      </c>
      <c r="H100" s="86" t="str">
        <f>IF(SUMIFS(Journal!$D$3:$D$143,Journal!$A$3:$A$143,$B100,Journal!$F$3:$F$143,G$3)=0,"",SUMIFS(Journal!$D$3:$D$143,Journal!$A$3:$A$143,$B100,Journal!$F$3:$F$143,G$3))</f>
        <v/>
      </c>
      <c r="I100" s="86" t="str">
        <f>IF(SUMIFS(Journal!$D$3:$D$143,Journal!$A$3:$A$143,$B100,Journal!$E$3:$E$143,I$3)=0,"",SUMIFS(Journal!$D$3:$D$143,Journal!$A$3:$A$143,$B100,Journal!$E$3:$E$143,I$3))</f>
        <v/>
      </c>
      <c r="J100" s="86" t="str">
        <f>IF(SUMIFS(Journal!$D$3:$D$143,Journal!$A$3:$A$143,$B100,Journal!$F$3:$F$143,I$3)=0,"",SUMIFS(Journal!$D$3:$D$143,Journal!$A$3:$A$143,$B100,Journal!$F$3:$F$143,I$3))</f>
        <v/>
      </c>
      <c r="K100" s="86" t="str">
        <f>IF(SUMIFS(Journal!$D$3:$D$143,Journal!$A$3:$A$143,$B100,Journal!$E$3:$E$143,K$3)=0,"",SUMIFS(Journal!$D$3:$D$143,Journal!$A$3:$A$143,$B100,Journal!$E$3:$E$143,K$3))</f>
        <v/>
      </c>
      <c r="L100" s="86" t="str">
        <f>IF(SUMIFS(Journal!$D$3:$D$143,Journal!$A$3:$A$143,$B100,Journal!$F$3:$F$143,K$3)=0,"",SUMIFS(Journal!$D$3:$D$143,Journal!$A$3:$A$143,$B100,Journal!$F$3:$F$143,K$3))</f>
        <v/>
      </c>
      <c r="M100" s="86" t="str">
        <f>IF(SUMIFS(Journal!$D$3:$D$143,Journal!$A$3:$A$143,$B100,Journal!$E$3:$E$143,M$3)=0,"",SUMIFS(Journal!$D$3:$D$143,Journal!$A$3:$A$143,$B100,Journal!$E$3:$E$143,M$3))</f>
        <v/>
      </c>
      <c r="N100" s="86" t="str">
        <f>IF(SUMIFS(Journal!$D$3:$D$143,Journal!$A$3:$A$143,$B100,Journal!$F$3:$F$143,M$3)=0,"",SUMIFS(Journal!$D$3:$D$143,Journal!$A$3:$A$143,$B100,Journal!$F$3:$F$143,M$3))</f>
        <v/>
      </c>
      <c r="O100" s="86" t="str">
        <f>IF(SUMIFS(Journal!$D$3:$D$143,Journal!$A$3:$A$143,$B100,Journal!$E$3:$E$143,O$3)=0,"",SUMIFS(Journal!$D$3:$D$143,Journal!$A$3:$A$143,$B100,Journal!$E$3:$E$143,O$3))</f>
        <v/>
      </c>
      <c r="P100" s="86" t="str">
        <f>IF(SUMIFS(Journal!$D$3:$D$143,Journal!$A$3:$A$143,$B100,Journal!$F$3:$F$143,O$3)=0,"",SUMIFS(Journal!$D$3:$D$143,Journal!$A$3:$A$143,$B100,Journal!$F$3:$F$143,O$3))</f>
        <v/>
      </c>
      <c r="Q100" s="86" t="str">
        <f>IF(SUMIFS(Journal!$D$3:$D$143,Journal!$A$3:$A$143,$B100,Journal!$E$3:$E$143,Q$3)=0,"",SUMIFS(Journal!$D$3:$D$143,Journal!$A$3:$A$143,$B100,Journal!$E$3:$E$143,Q$3))</f>
        <v/>
      </c>
      <c r="R100" s="86" t="str">
        <f>IF(SUMIFS(Journal!$D$3:$D$143,Journal!$A$3:$A$143,$B100,Journal!$F$3:$F$143,Q$3)=0,"",SUMIFS(Journal!$D$3:$D$143,Journal!$A$3:$A$143,$B100,Journal!$F$3:$F$143,Q$3))</f>
        <v/>
      </c>
      <c r="S100" s="86" t="str">
        <f>IF(SUMIFS(Journal!$D$3:$D$143,Journal!$A$3:$A$143,$B100,Journal!$E$3:$E$143,S$3)=0,"",SUMIFS(Journal!$D$3:$D$143,Journal!$A$3:$A$143,$B100,Journal!$E$3:$E$143,S$3))</f>
        <v/>
      </c>
      <c r="T100" s="86" t="str">
        <f>IF(SUMIFS(Journal!$D$3:$D$143,Journal!$A$3:$A$143,$B100,Journal!$F$3:$F$143,S$3)=0,"",SUMIFS(Journal!$D$3:$D$143,Journal!$A$3:$A$143,$B100,Journal!$F$3:$F$143,S$3))</f>
        <v/>
      </c>
      <c r="U100" s="86" t="str">
        <f>IF(SUMIFS(Journal!$D$3:$D$143,Journal!$A$3:$A$143,$B100,Journal!$E$3:$E$143,U$3)=0,"",SUMIFS(Journal!$D$3:$D$143,Journal!$A$3:$A$143,$B100,Journal!$E$3:$E$143,U$3))</f>
        <v/>
      </c>
      <c r="V100" s="86" t="str">
        <f>IF(SUMIFS(Journal!$D$3:$D$143,Journal!$A$3:$A$143,$B100,Journal!$F$3:$F$143,U$3)=0,"",SUMIFS(Journal!$D$3:$D$143,Journal!$A$3:$A$143,$B100,Journal!$F$3:$F$143,U$3))</f>
        <v/>
      </c>
      <c r="W100" s="86" t="str">
        <f>IF(SUMIFS(Journal!$D$3:$D$143,Journal!$A$3:$A$143,$B100,Journal!$E$3:$E$143,W$3)=0,"",SUMIFS(Journal!$D$3:$D$143,Journal!$A$3:$A$143,$B100,Journal!$E$3:$E$143,W$3))</f>
        <v/>
      </c>
      <c r="X100" s="86" t="str">
        <f>IF(SUMIFS(Journal!$D$3:$D$143,Journal!$A$3:$A$143,$B100,Journal!$F$3:$F$143,W$3)=0,"",SUMIFS(Journal!$D$3:$D$143,Journal!$A$3:$A$143,$B100,Journal!$F$3:$F$143,W$3))</f>
        <v/>
      </c>
      <c r="Y100" s="86" t="str">
        <f>IF(SUMIFS(Journal!$D$3:$D$143,Journal!$A$3:$A$143,$B100,Journal!$E$3:$E$143,Y$3)=0,"",SUMIFS(Journal!$D$3:$D$143,Journal!$A$3:$A$143,$B100,Journal!$E$3:$E$143,Y$3))</f>
        <v/>
      </c>
      <c r="Z100" s="86" t="str">
        <f>IF(SUMIFS(Journal!$D$3:$D$143,Journal!$A$3:$A$143,$B100,Journal!$F$3:$F$143,Y$3)=0,"",SUMIFS(Journal!$D$3:$D$143,Journal!$A$3:$A$143,$B100,Journal!$F$3:$F$143,Y$3))</f>
        <v/>
      </c>
      <c r="AA100" s="86" t="str">
        <f>IF(SUMIFS(Journal!$D$3:$D$143,Journal!$A$3:$A$143,$B100,Journal!$E$3:$E$143,AA$3)=0,"",SUMIFS(Journal!$D$3:$D$143,Journal!$A$3:$A$143,$B100,Journal!$E$3:$E$143,AA$3))</f>
        <v/>
      </c>
      <c r="AB100" s="86" t="str">
        <f>IF(SUMIFS(Journal!$D$3:$D$143,Journal!$A$3:$A$143,$B100,Journal!$F$3:$F$143,AA$3)=0,"",SUMIFS(Journal!$D$3:$D$143,Journal!$A$3:$A$143,$B100,Journal!$F$3:$F$143,AA$3))</f>
        <v/>
      </c>
      <c r="AC100" s="86" t="str">
        <f>IF(SUMIFS(Journal!$D$3:$D$143,Journal!$A$3:$A$143,$B100,Journal!$E$3:$E$143,AC$3)=0,"",SUMIFS(Journal!$D$3:$D$143,Journal!$A$3:$A$143,$B100,Journal!$E$3:$E$143,AC$3))</f>
        <v/>
      </c>
      <c r="AD100" s="86" t="str">
        <f>IF(SUMIFS(Journal!$D$3:$D$143,Journal!$A$3:$A$143,$B100,Journal!$F$3:$F$143,AC$3)=0,"",SUMIFS(Journal!$D$3:$D$143,Journal!$A$3:$A$143,$B100,Journal!$F$3:$F$143,AC$3))</f>
        <v/>
      </c>
      <c r="AE100" s="86" t="str">
        <f>IF(SUMIFS(Journal!$D$3:$D$143,Journal!$A$3:$A$143,$B100,Journal!$E$3:$E$143,AE$3)=0,"",SUMIFS(Journal!$D$3:$D$143,Journal!$A$3:$A$143,$B100,Journal!$E$3:$E$143,AE$3))</f>
        <v/>
      </c>
      <c r="AF100" s="86" t="str">
        <f>IF(SUMIFS(Journal!$D$3:$D$143,Journal!$A$3:$A$143,$B100,Journal!$F$3:$F$143,AE$3)=0,"",SUMIFS(Journal!$D$3:$D$143,Journal!$A$3:$A$143,$B100,Journal!$F$3:$F$143,AE$3))</f>
        <v/>
      </c>
      <c r="AG100" s="86" t="str">
        <f>IF(SUMIFS(Journal!$D$3:$D$143,Journal!$A$3:$A$143,$B100,Journal!$E$3:$E$143,AG$3)=0,"",SUMIFS(Journal!$D$3:$D$143,Journal!$A$3:$A$143,$B100,Journal!$E$3:$E$143,AG$3))</f>
        <v/>
      </c>
      <c r="AH100" s="86" t="str">
        <f>IF(SUMIFS(Journal!$D$3:$D$143,Journal!$A$3:$A$143,$B100,Journal!$F$3:$F$143,AG$3)=0,"",SUMIFS(Journal!$D$3:$D$143,Journal!$A$3:$A$143,$B100,Journal!$F$3:$F$143,AG$3))</f>
        <v/>
      </c>
      <c r="AI100" s="86" t="str">
        <f>IF(SUMIFS(Journal!$D$3:$D$143,Journal!$A$3:$A$143,$B100,Journal!$E$3:$E$143,AI$3)=0,"",SUMIFS(Journal!$D$3:$D$143,Journal!$A$3:$A$143,$B100,Journal!$E$3:$E$143,AI$3))</f>
        <v/>
      </c>
      <c r="AJ100" s="86" t="str">
        <f>IF(SUMIFS(Journal!$D$3:$D$143,Journal!$A$3:$A$143,$B100,Journal!$F$3:$F$143,AI$3)=0,"",SUMIFS(Journal!$D$3:$D$143,Journal!$A$3:$A$143,$B100,Journal!$F$3:$F$143,AI$3))</f>
        <v/>
      </c>
      <c r="AK100" s="86" t="str">
        <f>IF(SUMIFS(Journal!$D$3:$D$143,Journal!$A$3:$A$143,$B100,Journal!$E$3:$E$143,AK$3)=0,"",SUMIFS(Journal!$D$3:$D$143,Journal!$A$3:$A$143,$B100,Journal!$E$3:$E$143,AK$3))</f>
        <v/>
      </c>
      <c r="AL100" s="86" t="str">
        <f>IF(SUMIFS(Journal!$D$3:$D$143,Journal!$A$3:$A$143,$B100,Journal!$F$3:$F$143,AK$3)=0,"",SUMIFS(Journal!$D$3:$D$143,Journal!$A$3:$A$143,$B100,Journal!$F$3:$F$143,AK$3))</f>
        <v/>
      </c>
      <c r="AM100" s="86" t="str">
        <f>IF(SUMIFS(Journal!$D$3:$D$143,Journal!$A$3:$A$143,$B100,Journal!$E$3:$E$143,AM$3)=0,"",SUMIFS(Journal!$D$3:$D$143,Journal!$A$3:$A$143,$B100,Journal!$E$3:$E$143,AM$3))</f>
        <v/>
      </c>
      <c r="AN100" s="86" t="str">
        <f>IF(SUMIFS(Journal!$D$3:$D$143,Journal!$A$3:$A$143,$B100,Journal!$F$3:$F$143,AM$3)=0,"",SUMIFS(Journal!$D$3:$D$143,Journal!$A$3:$A$143,$B100,Journal!$F$3:$F$143,AM$3))</f>
        <v/>
      </c>
      <c r="AO100" s="86" t="str">
        <f>IF(SUMIFS(Journal!$D$3:$D$143,Journal!$A$3:$A$143,$B100,Journal!$E$3:$E$143,AO$3)=0,"",SUMIFS(Journal!$D$3:$D$143,Journal!$A$3:$A$143,$B100,Journal!$E$3:$E$143,AO$3))</f>
        <v/>
      </c>
      <c r="AP100" s="86" t="str">
        <f>IF(SUMIFS(Journal!$D$3:$D$143,Journal!$A$3:$A$143,$B100,Journal!$F$3:$F$143,AO$3)=0,"",SUMIFS(Journal!$D$3:$D$143,Journal!$A$3:$A$143,$B100,Journal!$F$3:$F$143,AO$3))</f>
        <v/>
      </c>
      <c r="AQ100" s="86" t="str">
        <f>IF(SUMIFS(Journal!$D$3:$D$143,Journal!$A$3:$A$143,$B100,Journal!$E$3:$E$143,AQ$3)=0,"",SUMIFS(Journal!$D$3:$D$143,Journal!$A$3:$A$143,$B100,Journal!$E$3:$E$143,AQ$3))</f>
        <v/>
      </c>
      <c r="AR100" s="86" t="str">
        <f>IF(SUMIFS(Journal!$D$3:$D$143,Journal!$A$3:$A$143,$B100,Journal!$F$3:$F$143,AQ$3)=0,"",SUMIFS(Journal!$D$3:$D$143,Journal!$A$3:$A$143,$B100,Journal!$F$3:$F$143,AQ$3))</f>
        <v/>
      </c>
      <c r="AS100" s="86" t="str">
        <f>IF(SUMIFS(Journal!$D$3:$D$143,Journal!$A$3:$A$143,$B100,Journal!$E$3:$E$143,AS$3)=0,"",SUMIFS(Journal!$D$3:$D$143,Journal!$A$3:$A$143,$B100,Journal!$E$3:$E$143,AS$3))</f>
        <v/>
      </c>
      <c r="AT100" s="86" t="str">
        <f>IF(SUMIFS(Journal!$D$3:$D$143,Journal!$A$3:$A$143,$B100,Journal!$F$3:$F$143,AS$3)=0,"",SUMIFS(Journal!$D$3:$D$143,Journal!$A$3:$A$143,$B100,Journal!$F$3:$F$143,AS$3))</f>
        <v/>
      </c>
      <c r="AU100" s="86">
        <f>IF(SUMIFS(Journal!$D$3:$D$143,Journal!$A$3:$A$143,$B100,Journal!$E$3:$E$143,AU$3)=0,"",SUMIFS(Journal!$D$3:$D$143,Journal!$A$3:$A$143,$B100,Journal!$E$3:$E$143,AU$3))</f>
        <v>2400</v>
      </c>
      <c r="AV100" s="86" t="str">
        <f>IF(SUMIFS(Journal!$D$3:$D$143,Journal!$A$3:$A$143,$B100,Journal!$F$3:$F$143,AU$3)=0,"",SUMIFS(Journal!$D$3:$D$143,Journal!$A$3:$A$143,$B100,Journal!$F$3:$F$143,AU$3))</f>
        <v/>
      </c>
      <c r="AW100" s="86">
        <f>IF(SUMIFS(Journal!$D$3:$D$143,Journal!$A$3:$A$143,$B100,Journal!$E$3:$E$143,AW$3)=0,"",SUMIFS(Journal!$D$3:$D$143,Journal!$A$3:$A$143,$B100,Journal!$E$3:$E$143,AW$3))</f>
        <v>720</v>
      </c>
      <c r="AX100" s="86" t="str">
        <f>IF(SUMIFS(Journal!$D$3:$D$143,Journal!$A$3:$A$143,$B100,Journal!$F$3:$F$143,AW$3)=0,"",SUMIFS(Journal!$D$3:$D$143,Journal!$A$3:$A$143,$B100,Journal!$F$3:$F$143,AW$3))</f>
        <v/>
      </c>
      <c r="AY100" s="86" t="str">
        <f>IF(SUMIFS(Journal!$D$3:$D$143,Journal!$A$3:$A$143,$B100,Journal!$E$3:$E$143,AY$3)=0,"",SUMIFS(Journal!$D$3:$D$143,Journal!$A$3:$A$143,$B100,Journal!$E$3:$E$143,AY$3))</f>
        <v/>
      </c>
      <c r="AZ100" s="86" t="str">
        <f>IF(SUMIFS(Journal!$D$3:$D$143,Journal!$A$3:$A$143,$B100,Journal!$F$3:$F$143,AY$3)=0,"",SUMIFS(Journal!$D$3:$D$143,Journal!$A$3:$A$143,$B100,Journal!$F$3:$F$143,AY$3))</f>
        <v/>
      </c>
      <c r="BA100" s="86" t="str">
        <f>IF(SUMIFS(Journal!$D$3:$D$143,Journal!$A$3:$A$143,$B100,Journal!$E$3:$E$143,BA$3)=0,"",SUMIFS(Journal!$D$3:$D$143,Journal!$A$3:$A$143,$B100,Journal!$E$3:$E$143,BA$3))</f>
        <v/>
      </c>
      <c r="BB100" s="86" t="str">
        <f>IF(SUMIFS(Journal!$D$3:$D$143,Journal!$A$3:$A$143,$B100,Journal!$F$3:$F$143,BA$3)=0,"",SUMIFS(Journal!$D$3:$D$143,Journal!$A$3:$A$143,$B100,Journal!$F$3:$F$143,BA$3))</f>
        <v/>
      </c>
    </row>
    <row r="101">
      <c r="A101" s="84">
        <f>VLOOKUP(B101,Journal!$A$3:$C$143,2,FALSE)</f>
        <v>45553</v>
      </c>
      <c r="B101" s="85" t="s">
        <v>561</v>
      </c>
      <c r="C101" s="86" t="str">
        <f>VLOOKUP(B101,Journal!$A$3:$C$143,3,FALSE)</f>
        <v>Retail camping-supply sales</v>
      </c>
      <c r="D101" s="86">
        <f>SUMIF(Journal!$A$3:$A$143,B101,Journal!$D$3:$D$143)</f>
        <v>11200</v>
      </c>
      <c r="E101" s="86">
        <f>IF(SUMIFS(Journal!$D$3:$D$143,Journal!$A$3:$A$143,$B101,Journal!$E$3:$E$143,E$3)=0,"",SUMIFS(Journal!$D$3:$D$143,Journal!$A$3:$A$143,$B101,Journal!$E$3:$E$143,E$3))</f>
        <v>7000</v>
      </c>
      <c r="F101" s="86" t="str">
        <f>IF(SUMIFS(Journal!$D$3:$D$143,Journal!$A$3:$A$143,$B101,Journal!$F$3:$F$143,E$3)=0,"",SUMIFS(Journal!$D$3:$D$143,Journal!$A$3:$A$143,$B101,Journal!$F$3:$F$143,E$3))</f>
        <v/>
      </c>
      <c r="G101" s="86" t="str">
        <f>IF(SUMIFS(Journal!$D$3:$D$143,Journal!$A$3:$A$143,$B101,Journal!$E$3:$E$143,G$3)=0,"",SUMIFS(Journal!$D$3:$D$143,Journal!$A$3:$A$143,$B101,Journal!$E$3:$E$143,G$3))</f>
        <v/>
      </c>
      <c r="H101" s="86" t="str">
        <f>IF(SUMIFS(Journal!$D$3:$D$143,Journal!$A$3:$A$143,$B101,Journal!$F$3:$F$143,G$3)=0,"",SUMIFS(Journal!$D$3:$D$143,Journal!$A$3:$A$143,$B101,Journal!$F$3:$F$143,G$3))</f>
        <v/>
      </c>
      <c r="I101" s="86" t="str">
        <f>IF(SUMIFS(Journal!$D$3:$D$143,Journal!$A$3:$A$143,$B101,Journal!$E$3:$E$143,I$3)=0,"",SUMIFS(Journal!$D$3:$D$143,Journal!$A$3:$A$143,$B101,Journal!$E$3:$E$143,I$3))</f>
        <v/>
      </c>
      <c r="J101" s="86">
        <f>IF(SUMIFS(Journal!$D$3:$D$143,Journal!$A$3:$A$143,$B101,Journal!$F$3:$F$143,I$3)=0,"",SUMIFS(Journal!$D$3:$D$143,Journal!$A$3:$A$143,$B101,Journal!$F$3:$F$143,I$3))</f>
        <v>4200</v>
      </c>
      <c r="K101" s="86" t="str">
        <f>IF(SUMIFS(Journal!$D$3:$D$143,Journal!$A$3:$A$143,$B101,Journal!$E$3:$E$143,K$3)=0,"",SUMIFS(Journal!$D$3:$D$143,Journal!$A$3:$A$143,$B101,Journal!$E$3:$E$143,K$3))</f>
        <v/>
      </c>
      <c r="L101" s="86" t="str">
        <f>IF(SUMIFS(Journal!$D$3:$D$143,Journal!$A$3:$A$143,$B101,Journal!$F$3:$F$143,K$3)=0,"",SUMIFS(Journal!$D$3:$D$143,Journal!$A$3:$A$143,$B101,Journal!$F$3:$F$143,K$3))</f>
        <v/>
      </c>
      <c r="M101" s="86" t="str">
        <f>IF(SUMIFS(Journal!$D$3:$D$143,Journal!$A$3:$A$143,$B101,Journal!$E$3:$E$143,M$3)=0,"",SUMIFS(Journal!$D$3:$D$143,Journal!$A$3:$A$143,$B101,Journal!$E$3:$E$143,M$3))</f>
        <v/>
      </c>
      <c r="N101" s="86" t="str">
        <f>IF(SUMIFS(Journal!$D$3:$D$143,Journal!$A$3:$A$143,$B101,Journal!$F$3:$F$143,M$3)=0,"",SUMIFS(Journal!$D$3:$D$143,Journal!$A$3:$A$143,$B101,Journal!$F$3:$F$143,M$3))</f>
        <v/>
      </c>
      <c r="O101" s="86" t="str">
        <f>IF(SUMIFS(Journal!$D$3:$D$143,Journal!$A$3:$A$143,$B101,Journal!$E$3:$E$143,O$3)=0,"",SUMIFS(Journal!$D$3:$D$143,Journal!$A$3:$A$143,$B101,Journal!$E$3:$E$143,O$3))</f>
        <v/>
      </c>
      <c r="P101" s="86" t="str">
        <f>IF(SUMIFS(Journal!$D$3:$D$143,Journal!$A$3:$A$143,$B101,Journal!$F$3:$F$143,O$3)=0,"",SUMIFS(Journal!$D$3:$D$143,Journal!$A$3:$A$143,$B101,Journal!$F$3:$F$143,O$3))</f>
        <v/>
      </c>
      <c r="Q101" s="86" t="str">
        <f>IF(SUMIFS(Journal!$D$3:$D$143,Journal!$A$3:$A$143,$B101,Journal!$E$3:$E$143,Q$3)=0,"",SUMIFS(Journal!$D$3:$D$143,Journal!$A$3:$A$143,$B101,Journal!$E$3:$E$143,Q$3))</f>
        <v/>
      </c>
      <c r="R101" s="86" t="str">
        <f>IF(SUMIFS(Journal!$D$3:$D$143,Journal!$A$3:$A$143,$B101,Journal!$F$3:$F$143,Q$3)=0,"",SUMIFS(Journal!$D$3:$D$143,Journal!$A$3:$A$143,$B101,Journal!$F$3:$F$143,Q$3))</f>
        <v/>
      </c>
      <c r="S101" s="86" t="str">
        <f>IF(SUMIFS(Journal!$D$3:$D$143,Journal!$A$3:$A$143,$B101,Journal!$E$3:$E$143,S$3)=0,"",SUMIFS(Journal!$D$3:$D$143,Journal!$A$3:$A$143,$B101,Journal!$E$3:$E$143,S$3))</f>
        <v/>
      </c>
      <c r="T101" s="86" t="str">
        <f>IF(SUMIFS(Journal!$D$3:$D$143,Journal!$A$3:$A$143,$B101,Journal!$F$3:$F$143,S$3)=0,"",SUMIFS(Journal!$D$3:$D$143,Journal!$A$3:$A$143,$B101,Journal!$F$3:$F$143,S$3))</f>
        <v/>
      </c>
      <c r="U101" s="86" t="str">
        <f>IF(SUMIFS(Journal!$D$3:$D$143,Journal!$A$3:$A$143,$B101,Journal!$E$3:$E$143,U$3)=0,"",SUMIFS(Journal!$D$3:$D$143,Journal!$A$3:$A$143,$B101,Journal!$E$3:$E$143,U$3))</f>
        <v/>
      </c>
      <c r="V101" s="86" t="str">
        <f>IF(SUMIFS(Journal!$D$3:$D$143,Journal!$A$3:$A$143,$B101,Journal!$F$3:$F$143,U$3)=0,"",SUMIFS(Journal!$D$3:$D$143,Journal!$A$3:$A$143,$B101,Journal!$F$3:$F$143,U$3))</f>
        <v/>
      </c>
      <c r="W101" s="86" t="str">
        <f>IF(SUMIFS(Journal!$D$3:$D$143,Journal!$A$3:$A$143,$B101,Journal!$E$3:$E$143,W$3)=0,"",SUMIFS(Journal!$D$3:$D$143,Journal!$A$3:$A$143,$B101,Journal!$E$3:$E$143,W$3))</f>
        <v/>
      </c>
      <c r="X101" s="86" t="str">
        <f>IF(SUMIFS(Journal!$D$3:$D$143,Journal!$A$3:$A$143,$B101,Journal!$F$3:$F$143,W$3)=0,"",SUMIFS(Journal!$D$3:$D$143,Journal!$A$3:$A$143,$B101,Journal!$F$3:$F$143,W$3))</f>
        <v/>
      </c>
      <c r="Y101" s="86" t="str">
        <f>IF(SUMIFS(Journal!$D$3:$D$143,Journal!$A$3:$A$143,$B101,Journal!$E$3:$E$143,Y$3)=0,"",SUMIFS(Journal!$D$3:$D$143,Journal!$A$3:$A$143,$B101,Journal!$E$3:$E$143,Y$3))</f>
        <v/>
      </c>
      <c r="Z101" s="86" t="str">
        <f>IF(SUMIFS(Journal!$D$3:$D$143,Journal!$A$3:$A$143,$B101,Journal!$F$3:$F$143,Y$3)=0,"",SUMIFS(Journal!$D$3:$D$143,Journal!$A$3:$A$143,$B101,Journal!$F$3:$F$143,Y$3))</f>
        <v/>
      </c>
      <c r="AA101" s="86" t="str">
        <f>IF(SUMIFS(Journal!$D$3:$D$143,Journal!$A$3:$A$143,$B101,Journal!$E$3:$E$143,AA$3)=0,"",SUMIFS(Journal!$D$3:$D$143,Journal!$A$3:$A$143,$B101,Journal!$E$3:$E$143,AA$3))</f>
        <v/>
      </c>
      <c r="AB101" s="86">
        <f>IF(SUMIFS(Journal!$D$3:$D$143,Journal!$A$3:$A$143,$B101,Journal!$F$3:$F$143,AA$3)=0,"",SUMIFS(Journal!$D$3:$D$143,Journal!$A$3:$A$143,$B101,Journal!$F$3:$F$143,AA$3))</f>
        <v>7000</v>
      </c>
      <c r="AC101" s="86" t="str">
        <f>IF(SUMIFS(Journal!$D$3:$D$143,Journal!$A$3:$A$143,$B101,Journal!$E$3:$E$143,AC$3)=0,"",SUMIFS(Journal!$D$3:$D$143,Journal!$A$3:$A$143,$B101,Journal!$E$3:$E$143,AC$3))</f>
        <v/>
      </c>
      <c r="AD101" s="86" t="str">
        <f>IF(SUMIFS(Journal!$D$3:$D$143,Journal!$A$3:$A$143,$B101,Journal!$F$3:$F$143,AC$3)=0,"",SUMIFS(Journal!$D$3:$D$143,Journal!$A$3:$A$143,$B101,Journal!$F$3:$F$143,AC$3))</f>
        <v/>
      </c>
      <c r="AE101" s="86">
        <f>IF(SUMIFS(Journal!$D$3:$D$143,Journal!$A$3:$A$143,$B101,Journal!$E$3:$E$143,AE$3)=0,"",SUMIFS(Journal!$D$3:$D$143,Journal!$A$3:$A$143,$B101,Journal!$E$3:$E$143,AE$3))</f>
        <v>4200</v>
      </c>
      <c r="AF101" s="86" t="str">
        <f>IF(SUMIFS(Journal!$D$3:$D$143,Journal!$A$3:$A$143,$B101,Journal!$F$3:$F$143,AE$3)=0,"",SUMIFS(Journal!$D$3:$D$143,Journal!$A$3:$A$143,$B101,Journal!$F$3:$F$143,AE$3))</f>
        <v/>
      </c>
      <c r="AG101" s="86" t="str">
        <f>IF(SUMIFS(Journal!$D$3:$D$143,Journal!$A$3:$A$143,$B101,Journal!$E$3:$E$143,AG$3)=0,"",SUMIFS(Journal!$D$3:$D$143,Journal!$A$3:$A$143,$B101,Journal!$E$3:$E$143,AG$3))</f>
        <v/>
      </c>
      <c r="AH101" s="86" t="str">
        <f>IF(SUMIFS(Journal!$D$3:$D$143,Journal!$A$3:$A$143,$B101,Journal!$F$3:$F$143,AG$3)=0,"",SUMIFS(Journal!$D$3:$D$143,Journal!$A$3:$A$143,$B101,Journal!$F$3:$F$143,AG$3))</f>
        <v/>
      </c>
      <c r="AI101" s="86" t="str">
        <f>IF(SUMIFS(Journal!$D$3:$D$143,Journal!$A$3:$A$143,$B101,Journal!$E$3:$E$143,AI$3)=0,"",SUMIFS(Journal!$D$3:$D$143,Journal!$A$3:$A$143,$B101,Journal!$E$3:$E$143,AI$3))</f>
        <v/>
      </c>
      <c r="AJ101" s="86" t="str">
        <f>IF(SUMIFS(Journal!$D$3:$D$143,Journal!$A$3:$A$143,$B101,Journal!$F$3:$F$143,AI$3)=0,"",SUMIFS(Journal!$D$3:$D$143,Journal!$A$3:$A$143,$B101,Journal!$F$3:$F$143,AI$3))</f>
        <v/>
      </c>
      <c r="AK101" s="86" t="str">
        <f>IF(SUMIFS(Journal!$D$3:$D$143,Journal!$A$3:$A$143,$B101,Journal!$E$3:$E$143,AK$3)=0,"",SUMIFS(Journal!$D$3:$D$143,Journal!$A$3:$A$143,$B101,Journal!$E$3:$E$143,AK$3))</f>
        <v/>
      </c>
      <c r="AL101" s="86" t="str">
        <f>IF(SUMIFS(Journal!$D$3:$D$143,Journal!$A$3:$A$143,$B101,Journal!$F$3:$F$143,AK$3)=0,"",SUMIFS(Journal!$D$3:$D$143,Journal!$A$3:$A$143,$B101,Journal!$F$3:$F$143,AK$3))</f>
        <v/>
      </c>
      <c r="AM101" s="86" t="str">
        <f>IF(SUMIFS(Journal!$D$3:$D$143,Journal!$A$3:$A$143,$B101,Journal!$E$3:$E$143,AM$3)=0,"",SUMIFS(Journal!$D$3:$D$143,Journal!$A$3:$A$143,$B101,Journal!$E$3:$E$143,AM$3))</f>
        <v/>
      </c>
      <c r="AN101" s="86" t="str">
        <f>IF(SUMIFS(Journal!$D$3:$D$143,Journal!$A$3:$A$143,$B101,Journal!$F$3:$F$143,AM$3)=0,"",SUMIFS(Journal!$D$3:$D$143,Journal!$A$3:$A$143,$B101,Journal!$F$3:$F$143,AM$3))</f>
        <v/>
      </c>
      <c r="AO101" s="86" t="str">
        <f>IF(SUMIFS(Journal!$D$3:$D$143,Journal!$A$3:$A$143,$B101,Journal!$E$3:$E$143,AO$3)=0,"",SUMIFS(Journal!$D$3:$D$143,Journal!$A$3:$A$143,$B101,Journal!$E$3:$E$143,AO$3))</f>
        <v/>
      </c>
      <c r="AP101" s="86" t="str">
        <f>IF(SUMIFS(Journal!$D$3:$D$143,Journal!$A$3:$A$143,$B101,Journal!$F$3:$F$143,AO$3)=0,"",SUMIFS(Journal!$D$3:$D$143,Journal!$A$3:$A$143,$B101,Journal!$F$3:$F$143,AO$3))</f>
        <v/>
      </c>
      <c r="AQ101" s="86" t="str">
        <f>IF(SUMIFS(Journal!$D$3:$D$143,Journal!$A$3:$A$143,$B101,Journal!$E$3:$E$143,AQ$3)=0,"",SUMIFS(Journal!$D$3:$D$143,Journal!$A$3:$A$143,$B101,Journal!$E$3:$E$143,AQ$3))</f>
        <v/>
      </c>
      <c r="AR101" s="86" t="str">
        <f>IF(SUMIFS(Journal!$D$3:$D$143,Journal!$A$3:$A$143,$B101,Journal!$F$3:$F$143,AQ$3)=0,"",SUMIFS(Journal!$D$3:$D$143,Journal!$A$3:$A$143,$B101,Journal!$F$3:$F$143,AQ$3))</f>
        <v/>
      </c>
      <c r="AS101" s="86" t="str">
        <f>IF(SUMIFS(Journal!$D$3:$D$143,Journal!$A$3:$A$143,$B101,Journal!$E$3:$E$143,AS$3)=0,"",SUMIFS(Journal!$D$3:$D$143,Journal!$A$3:$A$143,$B101,Journal!$E$3:$E$143,AS$3))</f>
        <v/>
      </c>
      <c r="AT101" s="86" t="str">
        <f>IF(SUMIFS(Journal!$D$3:$D$143,Journal!$A$3:$A$143,$B101,Journal!$F$3:$F$143,AS$3)=0,"",SUMIFS(Journal!$D$3:$D$143,Journal!$A$3:$A$143,$B101,Journal!$F$3:$F$143,AS$3))</f>
        <v/>
      </c>
      <c r="AU101" s="86" t="str">
        <f>IF(SUMIFS(Journal!$D$3:$D$143,Journal!$A$3:$A$143,$B101,Journal!$E$3:$E$143,AU$3)=0,"",SUMIFS(Journal!$D$3:$D$143,Journal!$A$3:$A$143,$B101,Journal!$E$3:$E$143,AU$3))</f>
        <v/>
      </c>
      <c r="AV101" s="86" t="str">
        <f>IF(SUMIFS(Journal!$D$3:$D$143,Journal!$A$3:$A$143,$B101,Journal!$F$3:$F$143,AU$3)=0,"",SUMIFS(Journal!$D$3:$D$143,Journal!$A$3:$A$143,$B101,Journal!$F$3:$F$143,AU$3))</f>
        <v/>
      </c>
      <c r="AW101" s="86" t="str">
        <f>IF(SUMIFS(Journal!$D$3:$D$143,Journal!$A$3:$A$143,$B101,Journal!$E$3:$E$143,AW$3)=0,"",SUMIFS(Journal!$D$3:$D$143,Journal!$A$3:$A$143,$B101,Journal!$E$3:$E$143,AW$3))</f>
        <v/>
      </c>
      <c r="AX101" s="86" t="str">
        <f>IF(SUMIFS(Journal!$D$3:$D$143,Journal!$A$3:$A$143,$B101,Journal!$F$3:$F$143,AW$3)=0,"",SUMIFS(Journal!$D$3:$D$143,Journal!$A$3:$A$143,$B101,Journal!$F$3:$F$143,AW$3))</f>
        <v/>
      </c>
      <c r="AY101" s="86" t="str">
        <f>IF(SUMIFS(Journal!$D$3:$D$143,Journal!$A$3:$A$143,$B101,Journal!$E$3:$E$143,AY$3)=0,"",SUMIFS(Journal!$D$3:$D$143,Journal!$A$3:$A$143,$B101,Journal!$E$3:$E$143,AY$3))</f>
        <v/>
      </c>
      <c r="AZ101" s="86" t="str">
        <f>IF(SUMIFS(Journal!$D$3:$D$143,Journal!$A$3:$A$143,$B101,Journal!$F$3:$F$143,AY$3)=0,"",SUMIFS(Journal!$D$3:$D$143,Journal!$A$3:$A$143,$B101,Journal!$F$3:$F$143,AY$3))</f>
        <v/>
      </c>
      <c r="BA101" s="86" t="str">
        <f>IF(SUMIFS(Journal!$D$3:$D$143,Journal!$A$3:$A$143,$B101,Journal!$E$3:$E$143,BA$3)=0,"",SUMIFS(Journal!$D$3:$D$143,Journal!$A$3:$A$143,$B101,Journal!$E$3:$E$143,BA$3))</f>
        <v/>
      </c>
      <c r="BB101" s="86" t="str">
        <f>IF(SUMIFS(Journal!$D$3:$D$143,Journal!$A$3:$A$143,$B101,Journal!$F$3:$F$143,BA$3)=0,"",SUMIFS(Journal!$D$3:$D$143,Journal!$A$3:$A$143,$B101,Journal!$F$3:$F$143,BA$3))</f>
        <v/>
      </c>
    </row>
    <row r="102">
      <c r="A102" s="84">
        <f>VLOOKUP(B102,Journal!$A$3:$C$143,2,FALSE)</f>
        <v>45555</v>
      </c>
      <c r="B102" s="85" t="s">
        <v>564</v>
      </c>
      <c r="C102" s="86" t="str">
        <f>VLOOKUP(B102,Journal!$A$3:$C$143,3,FALSE)</f>
        <v>Guided tour revenue</v>
      </c>
      <c r="D102" s="86">
        <f>SUMIF(Journal!$A$3:$A$143,B102,Journal!$D$3:$D$143)</f>
        <v>8000</v>
      </c>
      <c r="E102" s="86">
        <f>IF(SUMIFS(Journal!$D$3:$D$143,Journal!$A$3:$A$143,$B102,Journal!$E$3:$E$143,E$3)=0,"",SUMIFS(Journal!$D$3:$D$143,Journal!$A$3:$A$143,$B102,Journal!$E$3:$E$143,E$3))</f>
        <v>8000</v>
      </c>
      <c r="F102" s="86" t="str">
        <f>IF(SUMIFS(Journal!$D$3:$D$143,Journal!$A$3:$A$143,$B102,Journal!$F$3:$F$143,E$3)=0,"",SUMIFS(Journal!$D$3:$D$143,Journal!$A$3:$A$143,$B102,Journal!$F$3:$F$143,E$3))</f>
        <v/>
      </c>
      <c r="G102" s="86" t="str">
        <f>IF(SUMIFS(Journal!$D$3:$D$143,Journal!$A$3:$A$143,$B102,Journal!$E$3:$E$143,G$3)=0,"",SUMIFS(Journal!$D$3:$D$143,Journal!$A$3:$A$143,$B102,Journal!$E$3:$E$143,G$3))</f>
        <v/>
      </c>
      <c r="H102" s="86" t="str">
        <f>IF(SUMIFS(Journal!$D$3:$D$143,Journal!$A$3:$A$143,$B102,Journal!$F$3:$F$143,G$3)=0,"",SUMIFS(Journal!$D$3:$D$143,Journal!$A$3:$A$143,$B102,Journal!$F$3:$F$143,G$3))</f>
        <v/>
      </c>
      <c r="I102" s="86" t="str">
        <f>IF(SUMIFS(Journal!$D$3:$D$143,Journal!$A$3:$A$143,$B102,Journal!$E$3:$E$143,I$3)=0,"",SUMIFS(Journal!$D$3:$D$143,Journal!$A$3:$A$143,$B102,Journal!$E$3:$E$143,I$3))</f>
        <v/>
      </c>
      <c r="J102" s="86" t="str">
        <f>IF(SUMIFS(Journal!$D$3:$D$143,Journal!$A$3:$A$143,$B102,Journal!$F$3:$F$143,I$3)=0,"",SUMIFS(Journal!$D$3:$D$143,Journal!$A$3:$A$143,$B102,Journal!$F$3:$F$143,I$3))</f>
        <v/>
      </c>
      <c r="K102" s="86" t="str">
        <f>IF(SUMIFS(Journal!$D$3:$D$143,Journal!$A$3:$A$143,$B102,Journal!$E$3:$E$143,K$3)=0,"",SUMIFS(Journal!$D$3:$D$143,Journal!$A$3:$A$143,$B102,Journal!$E$3:$E$143,K$3))</f>
        <v/>
      </c>
      <c r="L102" s="86" t="str">
        <f>IF(SUMIFS(Journal!$D$3:$D$143,Journal!$A$3:$A$143,$B102,Journal!$F$3:$F$143,K$3)=0,"",SUMIFS(Journal!$D$3:$D$143,Journal!$A$3:$A$143,$B102,Journal!$F$3:$F$143,K$3))</f>
        <v/>
      </c>
      <c r="M102" s="86" t="str">
        <f>IF(SUMIFS(Journal!$D$3:$D$143,Journal!$A$3:$A$143,$B102,Journal!$E$3:$E$143,M$3)=0,"",SUMIFS(Journal!$D$3:$D$143,Journal!$A$3:$A$143,$B102,Journal!$E$3:$E$143,M$3))</f>
        <v/>
      </c>
      <c r="N102" s="86" t="str">
        <f>IF(SUMIFS(Journal!$D$3:$D$143,Journal!$A$3:$A$143,$B102,Journal!$F$3:$F$143,M$3)=0,"",SUMIFS(Journal!$D$3:$D$143,Journal!$A$3:$A$143,$B102,Journal!$F$3:$F$143,M$3))</f>
        <v/>
      </c>
      <c r="O102" s="86" t="str">
        <f>IF(SUMIFS(Journal!$D$3:$D$143,Journal!$A$3:$A$143,$B102,Journal!$E$3:$E$143,O$3)=0,"",SUMIFS(Journal!$D$3:$D$143,Journal!$A$3:$A$143,$B102,Journal!$E$3:$E$143,O$3))</f>
        <v/>
      </c>
      <c r="P102" s="86" t="str">
        <f>IF(SUMIFS(Journal!$D$3:$D$143,Journal!$A$3:$A$143,$B102,Journal!$F$3:$F$143,O$3)=0,"",SUMIFS(Journal!$D$3:$D$143,Journal!$A$3:$A$143,$B102,Journal!$F$3:$F$143,O$3))</f>
        <v/>
      </c>
      <c r="Q102" s="86" t="str">
        <f>IF(SUMIFS(Journal!$D$3:$D$143,Journal!$A$3:$A$143,$B102,Journal!$E$3:$E$143,Q$3)=0,"",SUMIFS(Journal!$D$3:$D$143,Journal!$A$3:$A$143,$B102,Journal!$E$3:$E$143,Q$3))</f>
        <v/>
      </c>
      <c r="R102" s="86" t="str">
        <f>IF(SUMIFS(Journal!$D$3:$D$143,Journal!$A$3:$A$143,$B102,Journal!$F$3:$F$143,Q$3)=0,"",SUMIFS(Journal!$D$3:$D$143,Journal!$A$3:$A$143,$B102,Journal!$F$3:$F$143,Q$3))</f>
        <v/>
      </c>
      <c r="S102" s="86" t="str">
        <f>IF(SUMIFS(Journal!$D$3:$D$143,Journal!$A$3:$A$143,$B102,Journal!$E$3:$E$143,S$3)=0,"",SUMIFS(Journal!$D$3:$D$143,Journal!$A$3:$A$143,$B102,Journal!$E$3:$E$143,S$3))</f>
        <v/>
      </c>
      <c r="T102" s="86" t="str">
        <f>IF(SUMIFS(Journal!$D$3:$D$143,Journal!$A$3:$A$143,$B102,Journal!$F$3:$F$143,S$3)=0,"",SUMIFS(Journal!$D$3:$D$143,Journal!$A$3:$A$143,$B102,Journal!$F$3:$F$143,S$3))</f>
        <v/>
      </c>
      <c r="U102" s="86" t="str">
        <f>IF(SUMIFS(Journal!$D$3:$D$143,Journal!$A$3:$A$143,$B102,Journal!$E$3:$E$143,U$3)=0,"",SUMIFS(Journal!$D$3:$D$143,Journal!$A$3:$A$143,$B102,Journal!$E$3:$E$143,U$3))</f>
        <v/>
      </c>
      <c r="V102" s="86" t="str">
        <f>IF(SUMIFS(Journal!$D$3:$D$143,Journal!$A$3:$A$143,$B102,Journal!$F$3:$F$143,U$3)=0,"",SUMIFS(Journal!$D$3:$D$143,Journal!$A$3:$A$143,$B102,Journal!$F$3:$F$143,U$3))</f>
        <v/>
      </c>
      <c r="W102" s="86" t="str">
        <f>IF(SUMIFS(Journal!$D$3:$D$143,Journal!$A$3:$A$143,$B102,Journal!$E$3:$E$143,W$3)=0,"",SUMIFS(Journal!$D$3:$D$143,Journal!$A$3:$A$143,$B102,Journal!$E$3:$E$143,W$3))</f>
        <v/>
      </c>
      <c r="X102" s="86" t="str">
        <f>IF(SUMIFS(Journal!$D$3:$D$143,Journal!$A$3:$A$143,$B102,Journal!$F$3:$F$143,W$3)=0,"",SUMIFS(Journal!$D$3:$D$143,Journal!$A$3:$A$143,$B102,Journal!$F$3:$F$143,W$3))</f>
        <v/>
      </c>
      <c r="Y102" s="86" t="str">
        <f>IF(SUMIFS(Journal!$D$3:$D$143,Journal!$A$3:$A$143,$B102,Journal!$E$3:$E$143,Y$3)=0,"",SUMIFS(Journal!$D$3:$D$143,Journal!$A$3:$A$143,$B102,Journal!$E$3:$E$143,Y$3))</f>
        <v/>
      </c>
      <c r="Z102" s="86">
        <f>IF(SUMIFS(Journal!$D$3:$D$143,Journal!$A$3:$A$143,$B102,Journal!$F$3:$F$143,Y$3)=0,"",SUMIFS(Journal!$D$3:$D$143,Journal!$A$3:$A$143,$B102,Journal!$F$3:$F$143,Y$3))</f>
        <v>8000</v>
      </c>
      <c r="AA102" s="86" t="str">
        <f>IF(SUMIFS(Journal!$D$3:$D$143,Journal!$A$3:$A$143,$B102,Journal!$E$3:$E$143,AA$3)=0,"",SUMIFS(Journal!$D$3:$D$143,Journal!$A$3:$A$143,$B102,Journal!$E$3:$E$143,AA$3))</f>
        <v/>
      </c>
      <c r="AB102" s="86" t="str">
        <f>IF(SUMIFS(Journal!$D$3:$D$143,Journal!$A$3:$A$143,$B102,Journal!$F$3:$F$143,AA$3)=0,"",SUMIFS(Journal!$D$3:$D$143,Journal!$A$3:$A$143,$B102,Journal!$F$3:$F$143,AA$3))</f>
        <v/>
      </c>
      <c r="AC102" s="86" t="str">
        <f>IF(SUMIFS(Journal!$D$3:$D$143,Journal!$A$3:$A$143,$B102,Journal!$E$3:$E$143,AC$3)=0,"",SUMIFS(Journal!$D$3:$D$143,Journal!$A$3:$A$143,$B102,Journal!$E$3:$E$143,AC$3))</f>
        <v/>
      </c>
      <c r="AD102" s="86" t="str">
        <f>IF(SUMIFS(Journal!$D$3:$D$143,Journal!$A$3:$A$143,$B102,Journal!$F$3:$F$143,AC$3)=0,"",SUMIFS(Journal!$D$3:$D$143,Journal!$A$3:$A$143,$B102,Journal!$F$3:$F$143,AC$3))</f>
        <v/>
      </c>
      <c r="AE102" s="86" t="str">
        <f>IF(SUMIFS(Journal!$D$3:$D$143,Journal!$A$3:$A$143,$B102,Journal!$E$3:$E$143,AE$3)=0,"",SUMIFS(Journal!$D$3:$D$143,Journal!$A$3:$A$143,$B102,Journal!$E$3:$E$143,AE$3))</f>
        <v/>
      </c>
      <c r="AF102" s="86" t="str">
        <f>IF(SUMIFS(Journal!$D$3:$D$143,Journal!$A$3:$A$143,$B102,Journal!$F$3:$F$143,AE$3)=0,"",SUMIFS(Journal!$D$3:$D$143,Journal!$A$3:$A$143,$B102,Journal!$F$3:$F$143,AE$3))</f>
        <v/>
      </c>
      <c r="AG102" s="86" t="str">
        <f>IF(SUMIFS(Journal!$D$3:$D$143,Journal!$A$3:$A$143,$B102,Journal!$E$3:$E$143,AG$3)=0,"",SUMIFS(Journal!$D$3:$D$143,Journal!$A$3:$A$143,$B102,Journal!$E$3:$E$143,AG$3))</f>
        <v/>
      </c>
      <c r="AH102" s="86" t="str">
        <f>IF(SUMIFS(Journal!$D$3:$D$143,Journal!$A$3:$A$143,$B102,Journal!$F$3:$F$143,AG$3)=0,"",SUMIFS(Journal!$D$3:$D$143,Journal!$A$3:$A$143,$B102,Journal!$F$3:$F$143,AG$3))</f>
        <v/>
      </c>
      <c r="AI102" s="86" t="str">
        <f>IF(SUMIFS(Journal!$D$3:$D$143,Journal!$A$3:$A$143,$B102,Journal!$E$3:$E$143,AI$3)=0,"",SUMIFS(Journal!$D$3:$D$143,Journal!$A$3:$A$143,$B102,Journal!$E$3:$E$143,AI$3))</f>
        <v/>
      </c>
      <c r="AJ102" s="86" t="str">
        <f>IF(SUMIFS(Journal!$D$3:$D$143,Journal!$A$3:$A$143,$B102,Journal!$F$3:$F$143,AI$3)=0,"",SUMIFS(Journal!$D$3:$D$143,Journal!$A$3:$A$143,$B102,Journal!$F$3:$F$143,AI$3))</f>
        <v/>
      </c>
      <c r="AK102" s="86" t="str">
        <f>IF(SUMIFS(Journal!$D$3:$D$143,Journal!$A$3:$A$143,$B102,Journal!$E$3:$E$143,AK$3)=0,"",SUMIFS(Journal!$D$3:$D$143,Journal!$A$3:$A$143,$B102,Journal!$E$3:$E$143,AK$3))</f>
        <v/>
      </c>
      <c r="AL102" s="86" t="str">
        <f>IF(SUMIFS(Journal!$D$3:$D$143,Journal!$A$3:$A$143,$B102,Journal!$F$3:$F$143,AK$3)=0,"",SUMIFS(Journal!$D$3:$D$143,Journal!$A$3:$A$143,$B102,Journal!$F$3:$F$143,AK$3))</f>
        <v/>
      </c>
      <c r="AM102" s="86" t="str">
        <f>IF(SUMIFS(Journal!$D$3:$D$143,Journal!$A$3:$A$143,$B102,Journal!$E$3:$E$143,AM$3)=0,"",SUMIFS(Journal!$D$3:$D$143,Journal!$A$3:$A$143,$B102,Journal!$E$3:$E$143,AM$3))</f>
        <v/>
      </c>
      <c r="AN102" s="86" t="str">
        <f>IF(SUMIFS(Journal!$D$3:$D$143,Journal!$A$3:$A$143,$B102,Journal!$F$3:$F$143,AM$3)=0,"",SUMIFS(Journal!$D$3:$D$143,Journal!$A$3:$A$143,$B102,Journal!$F$3:$F$143,AM$3))</f>
        <v/>
      </c>
      <c r="AO102" s="86" t="str">
        <f>IF(SUMIFS(Journal!$D$3:$D$143,Journal!$A$3:$A$143,$B102,Journal!$E$3:$E$143,AO$3)=0,"",SUMIFS(Journal!$D$3:$D$143,Journal!$A$3:$A$143,$B102,Journal!$E$3:$E$143,AO$3))</f>
        <v/>
      </c>
      <c r="AP102" s="86" t="str">
        <f>IF(SUMIFS(Journal!$D$3:$D$143,Journal!$A$3:$A$143,$B102,Journal!$F$3:$F$143,AO$3)=0,"",SUMIFS(Journal!$D$3:$D$143,Journal!$A$3:$A$143,$B102,Journal!$F$3:$F$143,AO$3))</f>
        <v/>
      </c>
      <c r="AQ102" s="86" t="str">
        <f>IF(SUMIFS(Journal!$D$3:$D$143,Journal!$A$3:$A$143,$B102,Journal!$E$3:$E$143,AQ$3)=0,"",SUMIFS(Journal!$D$3:$D$143,Journal!$A$3:$A$143,$B102,Journal!$E$3:$E$143,AQ$3))</f>
        <v/>
      </c>
      <c r="AR102" s="86" t="str">
        <f>IF(SUMIFS(Journal!$D$3:$D$143,Journal!$A$3:$A$143,$B102,Journal!$F$3:$F$143,AQ$3)=0,"",SUMIFS(Journal!$D$3:$D$143,Journal!$A$3:$A$143,$B102,Journal!$F$3:$F$143,AQ$3))</f>
        <v/>
      </c>
      <c r="AS102" s="86" t="str">
        <f>IF(SUMIFS(Journal!$D$3:$D$143,Journal!$A$3:$A$143,$B102,Journal!$E$3:$E$143,AS$3)=0,"",SUMIFS(Journal!$D$3:$D$143,Journal!$A$3:$A$143,$B102,Journal!$E$3:$E$143,AS$3))</f>
        <v/>
      </c>
      <c r="AT102" s="86" t="str">
        <f>IF(SUMIFS(Journal!$D$3:$D$143,Journal!$A$3:$A$143,$B102,Journal!$F$3:$F$143,AS$3)=0,"",SUMIFS(Journal!$D$3:$D$143,Journal!$A$3:$A$143,$B102,Journal!$F$3:$F$143,AS$3))</f>
        <v/>
      </c>
      <c r="AU102" s="86" t="str">
        <f>IF(SUMIFS(Journal!$D$3:$D$143,Journal!$A$3:$A$143,$B102,Journal!$E$3:$E$143,AU$3)=0,"",SUMIFS(Journal!$D$3:$D$143,Journal!$A$3:$A$143,$B102,Journal!$E$3:$E$143,AU$3))</f>
        <v/>
      </c>
      <c r="AV102" s="86" t="str">
        <f>IF(SUMIFS(Journal!$D$3:$D$143,Journal!$A$3:$A$143,$B102,Journal!$F$3:$F$143,AU$3)=0,"",SUMIFS(Journal!$D$3:$D$143,Journal!$A$3:$A$143,$B102,Journal!$F$3:$F$143,AU$3))</f>
        <v/>
      </c>
      <c r="AW102" s="86" t="str">
        <f>IF(SUMIFS(Journal!$D$3:$D$143,Journal!$A$3:$A$143,$B102,Journal!$E$3:$E$143,AW$3)=0,"",SUMIFS(Journal!$D$3:$D$143,Journal!$A$3:$A$143,$B102,Journal!$E$3:$E$143,AW$3))</f>
        <v/>
      </c>
      <c r="AX102" s="86" t="str">
        <f>IF(SUMIFS(Journal!$D$3:$D$143,Journal!$A$3:$A$143,$B102,Journal!$F$3:$F$143,AW$3)=0,"",SUMIFS(Journal!$D$3:$D$143,Journal!$A$3:$A$143,$B102,Journal!$F$3:$F$143,AW$3))</f>
        <v/>
      </c>
      <c r="AY102" s="86" t="str">
        <f>IF(SUMIFS(Journal!$D$3:$D$143,Journal!$A$3:$A$143,$B102,Journal!$E$3:$E$143,AY$3)=0,"",SUMIFS(Journal!$D$3:$D$143,Journal!$A$3:$A$143,$B102,Journal!$E$3:$E$143,AY$3))</f>
        <v/>
      </c>
      <c r="AZ102" s="86" t="str">
        <f>IF(SUMIFS(Journal!$D$3:$D$143,Journal!$A$3:$A$143,$B102,Journal!$F$3:$F$143,AY$3)=0,"",SUMIFS(Journal!$D$3:$D$143,Journal!$A$3:$A$143,$B102,Journal!$F$3:$F$143,AY$3))</f>
        <v/>
      </c>
      <c r="BA102" s="86" t="str">
        <f>IF(SUMIFS(Journal!$D$3:$D$143,Journal!$A$3:$A$143,$B102,Journal!$E$3:$E$143,BA$3)=0,"",SUMIFS(Journal!$D$3:$D$143,Journal!$A$3:$A$143,$B102,Journal!$E$3:$E$143,BA$3))</f>
        <v/>
      </c>
      <c r="BB102" s="86" t="str">
        <f>IF(SUMIFS(Journal!$D$3:$D$143,Journal!$A$3:$A$143,$B102,Journal!$F$3:$F$143,BA$3)=0,"",SUMIFS(Journal!$D$3:$D$143,Journal!$A$3:$A$143,$B102,Journal!$F$3:$F$143,BA$3))</f>
        <v/>
      </c>
    </row>
    <row r="103">
      <c r="A103" s="84">
        <f>VLOOKUP(B103,Journal!$A$3:$C$143,2,FALSE)</f>
        <v>45559</v>
      </c>
      <c r="B103" s="85" t="s">
        <v>567</v>
      </c>
      <c r="C103" s="86" t="str">
        <f>VLOOKUP(B103,Journal!$A$3:$C$143,3,FALSE)</f>
        <v>Employee payroll settlement</v>
      </c>
      <c r="D103" s="86">
        <f>SUMIF(Journal!$A$3:$A$143,B103,Journal!$D$3:$D$143)</f>
        <v>10240</v>
      </c>
      <c r="E103" s="86" t="str">
        <f>IF(SUMIFS(Journal!$D$3:$D$143,Journal!$A$3:$A$143,$B103,Journal!$E$3:$E$143,E$3)=0,"",SUMIFS(Journal!$D$3:$D$143,Journal!$A$3:$A$143,$B103,Journal!$E$3:$E$143,E$3))</f>
        <v/>
      </c>
      <c r="F103" s="86">
        <f>IF(SUMIFS(Journal!$D$3:$D$143,Journal!$A$3:$A$143,$B103,Journal!$F$3:$F$143,E$3)=0,"",SUMIFS(Journal!$D$3:$D$143,Journal!$A$3:$A$143,$B103,Journal!$F$3:$F$143,E$3))</f>
        <v>10240</v>
      </c>
      <c r="G103" s="86" t="str">
        <f>IF(SUMIFS(Journal!$D$3:$D$143,Journal!$A$3:$A$143,$B103,Journal!$E$3:$E$143,G$3)=0,"",SUMIFS(Journal!$D$3:$D$143,Journal!$A$3:$A$143,$B103,Journal!$E$3:$E$143,G$3))</f>
        <v/>
      </c>
      <c r="H103" s="86" t="str">
        <f>IF(SUMIFS(Journal!$D$3:$D$143,Journal!$A$3:$A$143,$B103,Journal!$F$3:$F$143,G$3)=0,"",SUMIFS(Journal!$D$3:$D$143,Journal!$A$3:$A$143,$B103,Journal!$F$3:$F$143,G$3))</f>
        <v/>
      </c>
      <c r="I103" s="86" t="str">
        <f>IF(SUMIFS(Journal!$D$3:$D$143,Journal!$A$3:$A$143,$B103,Journal!$E$3:$E$143,I$3)=0,"",SUMIFS(Journal!$D$3:$D$143,Journal!$A$3:$A$143,$B103,Journal!$E$3:$E$143,I$3))</f>
        <v/>
      </c>
      <c r="J103" s="86" t="str">
        <f>IF(SUMIFS(Journal!$D$3:$D$143,Journal!$A$3:$A$143,$B103,Journal!$F$3:$F$143,I$3)=0,"",SUMIFS(Journal!$D$3:$D$143,Journal!$A$3:$A$143,$B103,Journal!$F$3:$F$143,I$3))</f>
        <v/>
      </c>
      <c r="K103" s="86" t="str">
        <f>IF(SUMIFS(Journal!$D$3:$D$143,Journal!$A$3:$A$143,$B103,Journal!$E$3:$E$143,K$3)=0,"",SUMIFS(Journal!$D$3:$D$143,Journal!$A$3:$A$143,$B103,Journal!$E$3:$E$143,K$3))</f>
        <v/>
      </c>
      <c r="L103" s="86" t="str">
        <f>IF(SUMIFS(Journal!$D$3:$D$143,Journal!$A$3:$A$143,$B103,Journal!$F$3:$F$143,K$3)=0,"",SUMIFS(Journal!$D$3:$D$143,Journal!$A$3:$A$143,$B103,Journal!$F$3:$F$143,K$3))</f>
        <v/>
      </c>
      <c r="M103" s="86" t="str">
        <f>IF(SUMIFS(Journal!$D$3:$D$143,Journal!$A$3:$A$143,$B103,Journal!$E$3:$E$143,M$3)=0,"",SUMIFS(Journal!$D$3:$D$143,Journal!$A$3:$A$143,$B103,Journal!$E$3:$E$143,M$3))</f>
        <v/>
      </c>
      <c r="N103" s="86" t="str">
        <f>IF(SUMIFS(Journal!$D$3:$D$143,Journal!$A$3:$A$143,$B103,Journal!$F$3:$F$143,M$3)=0,"",SUMIFS(Journal!$D$3:$D$143,Journal!$A$3:$A$143,$B103,Journal!$F$3:$F$143,M$3))</f>
        <v/>
      </c>
      <c r="O103" s="86" t="str">
        <f>IF(SUMIFS(Journal!$D$3:$D$143,Journal!$A$3:$A$143,$B103,Journal!$E$3:$E$143,O$3)=0,"",SUMIFS(Journal!$D$3:$D$143,Journal!$A$3:$A$143,$B103,Journal!$E$3:$E$143,O$3))</f>
        <v/>
      </c>
      <c r="P103" s="86" t="str">
        <f>IF(SUMIFS(Journal!$D$3:$D$143,Journal!$A$3:$A$143,$B103,Journal!$F$3:$F$143,O$3)=0,"",SUMIFS(Journal!$D$3:$D$143,Journal!$A$3:$A$143,$B103,Journal!$F$3:$F$143,O$3))</f>
        <v/>
      </c>
      <c r="Q103" s="86" t="str">
        <f>IF(SUMIFS(Journal!$D$3:$D$143,Journal!$A$3:$A$143,$B103,Journal!$E$3:$E$143,Q$3)=0,"",SUMIFS(Journal!$D$3:$D$143,Journal!$A$3:$A$143,$B103,Journal!$E$3:$E$143,Q$3))</f>
        <v/>
      </c>
      <c r="R103" s="86" t="str">
        <f>IF(SUMIFS(Journal!$D$3:$D$143,Journal!$A$3:$A$143,$B103,Journal!$F$3:$F$143,Q$3)=0,"",SUMIFS(Journal!$D$3:$D$143,Journal!$A$3:$A$143,$B103,Journal!$F$3:$F$143,Q$3))</f>
        <v/>
      </c>
      <c r="S103" s="86" t="str">
        <f>IF(SUMIFS(Journal!$D$3:$D$143,Journal!$A$3:$A$143,$B103,Journal!$E$3:$E$143,S$3)=0,"",SUMIFS(Journal!$D$3:$D$143,Journal!$A$3:$A$143,$B103,Journal!$E$3:$E$143,S$3))</f>
        <v/>
      </c>
      <c r="T103" s="86" t="str">
        <f>IF(SUMIFS(Journal!$D$3:$D$143,Journal!$A$3:$A$143,$B103,Journal!$F$3:$F$143,S$3)=0,"",SUMIFS(Journal!$D$3:$D$143,Journal!$A$3:$A$143,$B103,Journal!$F$3:$F$143,S$3))</f>
        <v/>
      </c>
      <c r="U103" s="86" t="str">
        <f>IF(SUMIFS(Journal!$D$3:$D$143,Journal!$A$3:$A$143,$B103,Journal!$E$3:$E$143,U$3)=0,"",SUMIFS(Journal!$D$3:$D$143,Journal!$A$3:$A$143,$B103,Journal!$E$3:$E$143,U$3))</f>
        <v/>
      </c>
      <c r="V103" s="86" t="str">
        <f>IF(SUMIFS(Journal!$D$3:$D$143,Journal!$A$3:$A$143,$B103,Journal!$F$3:$F$143,U$3)=0,"",SUMIFS(Journal!$D$3:$D$143,Journal!$A$3:$A$143,$B103,Journal!$F$3:$F$143,U$3))</f>
        <v/>
      </c>
      <c r="W103" s="86" t="str">
        <f>IF(SUMIFS(Journal!$D$3:$D$143,Journal!$A$3:$A$143,$B103,Journal!$E$3:$E$143,W$3)=0,"",SUMIFS(Journal!$D$3:$D$143,Journal!$A$3:$A$143,$B103,Journal!$E$3:$E$143,W$3))</f>
        <v/>
      </c>
      <c r="X103" s="86" t="str">
        <f>IF(SUMIFS(Journal!$D$3:$D$143,Journal!$A$3:$A$143,$B103,Journal!$F$3:$F$143,W$3)=0,"",SUMIFS(Journal!$D$3:$D$143,Journal!$A$3:$A$143,$B103,Journal!$F$3:$F$143,W$3))</f>
        <v/>
      </c>
      <c r="Y103" s="86" t="str">
        <f>IF(SUMIFS(Journal!$D$3:$D$143,Journal!$A$3:$A$143,$B103,Journal!$E$3:$E$143,Y$3)=0,"",SUMIFS(Journal!$D$3:$D$143,Journal!$A$3:$A$143,$B103,Journal!$E$3:$E$143,Y$3))</f>
        <v/>
      </c>
      <c r="Z103" s="86" t="str">
        <f>IF(SUMIFS(Journal!$D$3:$D$143,Journal!$A$3:$A$143,$B103,Journal!$F$3:$F$143,Y$3)=0,"",SUMIFS(Journal!$D$3:$D$143,Journal!$A$3:$A$143,$B103,Journal!$F$3:$F$143,Y$3))</f>
        <v/>
      </c>
      <c r="AA103" s="86" t="str">
        <f>IF(SUMIFS(Journal!$D$3:$D$143,Journal!$A$3:$A$143,$B103,Journal!$E$3:$E$143,AA$3)=0,"",SUMIFS(Journal!$D$3:$D$143,Journal!$A$3:$A$143,$B103,Journal!$E$3:$E$143,AA$3))</f>
        <v/>
      </c>
      <c r="AB103" s="86" t="str">
        <f>IF(SUMIFS(Journal!$D$3:$D$143,Journal!$A$3:$A$143,$B103,Journal!$F$3:$F$143,AA$3)=0,"",SUMIFS(Journal!$D$3:$D$143,Journal!$A$3:$A$143,$B103,Journal!$F$3:$F$143,AA$3))</f>
        <v/>
      </c>
      <c r="AC103" s="86" t="str">
        <f>IF(SUMIFS(Journal!$D$3:$D$143,Journal!$A$3:$A$143,$B103,Journal!$E$3:$E$143,AC$3)=0,"",SUMIFS(Journal!$D$3:$D$143,Journal!$A$3:$A$143,$B103,Journal!$E$3:$E$143,AC$3))</f>
        <v/>
      </c>
      <c r="AD103" s="86" t="str">
        <f>IF(SUMIFS(Journal!$D$3:$D$143,Journal!$A$3:$A$143,$B103,Journal!$F$3:$F$143,AC$3)=0,"",SUMIFS(Journal!$D$3:$D$143,Journal!$A$3:$A$143,$B103,Journal!$F$3:$F$143,AC$3))</f>
        <v/>
      </c>
      <c r="AE103" s="86" t="str">
        <f>IF(SUMIFS(Journal!$D$3:$D$143,Journal!$A$3:$A$143,$B103,Journal!$E$3:$E$143,AE$3)=0,"",SUMIFS(Journal!$D$3:$D$143,Journal!$A$3:$A$143,$B103,Journal!$E$3:$E$143,AE$3))</f>
        <v/>
      </c>
      <c r="AF103" s="86" t="str">
        <f>IF(SUMIFS(Journal!$D$3:$D$143,Journal!$A$3:$A$143,$B103,Journal!$F$3:$F$143,AE$3)=0,"",SUMIFS(Journal!$D$3:$D$143,Journal!$A$3:$A$143,$B103,Journal!$F$3:$F$143,AE$3))</f>
        <v/>
      </c>
      <c r="AG103" s="86">
        <f>IF(SUMIFS(Journal!$D$3:$D$143,Journal!$A$3:$A$143,$B103,Journal!$E$3:$E$143,AG$3)=0,"",SUMIFS(Journal!$D$3:$D$143,Journal!$A$3:$A$143,$B103,Journal!$E$3:$E$143,AG$3))</f>
        <v>10240</v>
      </c>
      <c r="AH103" s="86" t="str">
        <f>IF(SUMIFS(Journal!$D$3:$D$143,Journal!$A$3:$A$143,$B103,Journal!$F$3:$F$143,AG$3)=0,"",SUMIFS(Journal!$D$3:$D$143,Journal!$A$3:$A$143,$B103,Journal!$F$3:$F$143,AG$3))</f>
        <v/>
      </c>
      <c r="AI103" s="86" t="str">
        <f>IF(SUMIFS(Journal!$D$3:$D$143,Journal!$A$3:$A$143,$B103,Journal!$E$3:$E$143,AI$3)=0,"",SUMIFS(Journal!$D$3:$D$143,Journal!$A$3:$A$143,$B103,Journal!$E$3:$E$143,AI$3))</f>
        <v/>
      </c>
      <c r="AJ103" s="86" t="str">
        <f>IF(SUMIFS(Journal!$D$3:$D$143,Journal!$A$3:$A$143,$B103,Journal!$F$3:$F$143,AI$3)=0,"",SUMIFS(Journal!$D$3:$D$143,Journal!$A$3:$A$143,$B103,Journal!$F$3:$F$143,AI$3))</f>
        <v/>
      </c>
      <c r="AK103" s="86" t="str">
        <f>IF(SUMIFS(Journal!$D$3:$D$143,Journal!$A$3:$A$143,$B103,Journal!$E$3:$E$143,AK$3)=0,"",SUMIFS(Journal!$D$3:$D$143,Journal!$A$3:$A$143,$B103,Journal!$E$3:$E$143,AK$3))</f>
        <v/>
      </c>
      <c r="AL103" s="86" t="str">
        <f>IF(SUMIFS(Journal!$D$3:$D$143,Journal!$A$3:$A$143,$B103,Journal!$F$3:$F$143,AK$3)=0,"",SUMIFS(Journal!$D$3:$D$143,Journal!$A$3:$A$143,$B103,Journal!$F$3:$F$143,AK$3))</f>
        <v/>
      </c>
      <c r="AM103" s="86" t="str">
        <f>IF(SUMIFS(Journal!$D$3:$D$143,Journal!$A$3:$A$143,$B103,Journal!$E$3:$E$143,AM$3)=0,"",SUMIFS(Journal!$D$3:$D$143,Journal!$A$3:$A$143,$B103,Journal!$E$3:$E$143,AM$3))</f>
        <v/>
      </c>
      <c r="AN103" s="86" t="str">
        <f>IF(SUMIFS(Journal!$D$3:$D$143,Journal!$A$3:$A$143,$B103,Journal!$F$3:$F$143,AM$3)=0,"",SUMIFS(Journal!$D$3:$D$143,Journal!$A$3:$A$143,$B103,Journal!$F$3:$F$143,AM$3))</f>
        <v/>
      </c>
      <c r="AO103" s="86" t="str">
        <f>IF(SUMIFS(Journal!$D$3:$D$143,Journal!$A$3:$A$143,$B103,Journal!$E$3:$E$143,AO$3)=0,"",SUMIFS(Journal!$D$3:$D$143,Journal!$A$3:$A$143,$B103,Journal!$E$3:$E$143,AO$3))</f>
        <v/>
      </c>
      <c r="AP103" s="86" t="str">
        <f>IF(SUMIFS(Journal!$D$3:$D$143,Journal!$A$3:$A$143,$B103,Journal!$F$3:$F$143,AO$3)=0,"",SUMIFS(Journal!$D$3:$D$143,Journal!$A$3:$A$143,$B103,Journal!$F$3:$F$143,AO$3))</f>
        <v/>
      </c>
      <c r="AQ103" s="86" t="str">
        <f>IF(SUMIFS(Journal!$D$3:$D$143,Journal!$A$3:$A$143,$B103,Journal!$E$3:$E$143,AQ$3)=0,"",SUMIFS(Journal!$D$3:$D$143,Journal!$A$3:$A$143,$B103,Journal!$E$3:$E$143,AQ$3))</f>
        <v/>
      </c>
      <c r="AR103" s="86" t="str">
        <f>IF(SUMIFS(Journal!$D$3:$D$143,Journal!$A$3:$A$143,$B103,Journal!$F$3:$F$143,AQ$3)=0,"",SUMIFS(Journal!$D$3:$D$143,Journal!$A$3:$A$143,$B103,Journal!$F$3:$F$143,AQ$3))</f>
        <v/>
      </c>
      <c r="AS103" s="86" t="str">
        <f>IF(SUMIFS(Journal!$D$3:$D$143,Journal!$A$3:$A$143,$B103,Journal!$E$3:$E$143,AS$3)=0,"",SUMIFS(Journal!$D$3:$D$143,Journal!$A$3:$A$143,$B103,Journal!$E$3:$E$143,AS$3))</f>
        <v/>
      </c>
      <c r="AT103" s="86" t="str">
        <f>IF(SUMIFS(Journal!$D$3:$D$143,Journal!$A$3:$A$143,$B103,Journal!$F$3:$F$143,AS$3)=0,"",SUMIFS(Journal!$D$3:$D$143,Journal!$A$3:$A$143,$B103,Journal!$F$3:$F$143,AS$3))</f>
        <v/>
      </c>
      <c r="AU103" s="86" t="str">
        <f>IF(SUMIFS(Journal!$D$3:$D$143,Journal!$A$3:$A$143,$B103,Journal!$E$3:$E$143,AU$3)=0,"",SUMIFS(Journal!$D$3:$D$143,Journal!$A$3:$A$143,$B103,Journal!$E$3:$E$143,AU$3))</f>
        <v/>
      </c>
      <c r="AV103" s="86" t="str">
        <f>IF(SUMIFS(Journal!$D$3:$D$143,Journal!$A$3:$A$143,$B103,Journal!$F$3:$F$143,AU$3)=0,"",SUMIFS(Journal!$D$3:$D$143,Journal!$A$3:$A$143,$B103,Journal!$F$3:$F$143,AU$3))</f>
        <v/>
      </c>
      <c r="AW103" s="86" t="str">
        <f>IF(SUMIFS(Journal!$D$3:$D$143,Journal!$A$3:$A$143,$B103,Journal!$E$3:$E$143,AW$3)=0,"",SUMIFS(Journal!$D$3:$D$143,Journal!$A$3:$A$143,$B103,Journal!$E$3:$E$143,AW$3))</f>
        <v/>
      </c>
      <c r="AX103" s="86" t="str">
        <f>IF(SUMIFS(Journal!$D$3:$D$143,Journal!$A$3:$A$143,$B103,Journal!$F$3:$F$143,AW$3)=0,"",SUMIFS(Journal!$D$3:$D$143,Journal!$A$3:$A$143,$B103,Journal!$F$3:$F$143,AW$3))</f>
        <v/>
      </c>
      <c r="AY103" s="86" t="str">
        <f>IF(SUMIFS(Journal!$D$3:$D$143,Journal!$A$3:$A$143,$B103,Journal!$E$3:$E$143,AY$3)=0,"",SUMIFS(Journal!$D$3:$D$143,Journal!$A$3:$A$143,$B103,Journal!$E$3:$E$143,AY$3))</f>
        <v/>
      </c>
      <c r="AZ103" s="86" t="str">
        <f>IF(SUMIFS(Journal!$D$3:$D$143,Journal!$A$3:$A$143,$B103,Journal!$F$3:$F$143,AY$3)=0,"",SUMIFS(Journal!$D$3:$D$143,Journal!$A$3:$A$143,$B103,Journal!$F$3:$F$143,AY$3))</f>
        <v/>
      </c>
      <c r="BA103" s="86" t="str">
        <f>IF(SUMIFS(Journal!$D$3:$D$143,Journal!$A$3:$A$143,$B103,Journal!$E$3:$E$143,BA$3)=0,"",SUMIFS(Journal!$D$3:$D$143,Journal!$A$3:$A$143,$B103,Journal!$E$3:$E$143,BA$3))</f>
        <v/>
      </c>
      <c r="BB103" s="86" t="str">
        <f>IF(SUMIFS(Journal!$D$3:$D$143,Journal!$A$3:$A$143,$B103,Journal!$F$3:$F$143,BA$3)=0,"",SUMIFS(Journal!$D$3:$D$143,Journal!$A$3:$A$143,$B103,Journal!$F$3:$F$143,BA$3))</f>
        <v/>
      </c>
    </row>
    <row r="104">
      <c r="A104" s="84">
        <f>VLOOKUP(B104,Journal!$A$3:$C$143,2,FALSE)</f>
        <v>45565</v>
      </c>
      <c r="B104" s="85" t="s">
        <v>570</v>
      </c>
      <c r="C104" s="86" t="str">
        <f>VLOOKUP(B104,Journal!$A$3:$C$143,3,FALSE)</f>
        <v>Monthly utility settlement</v>
      </c>
      <c r="D104" s="86">
        <f>SUMIF(Journal!$A$3:$A$143,B104,Journal!$D$3:$D$143)</f>
        <v>1054</v>
      </c>
      <c r="E104" s="86" t="str">
        <f>IF(SUMIFS(Journal!$D$3:$D$143,Journal!$A$3:$A$143,$B104,Journal!$E$3:$E$143,E$3)=0,"",SUMIFS(Journal!$D$3:$D$143,Journal!$A$3:$A$143,$B104,Journal!$E$3:$E$143,E$3))</f>
        <v/>
      </c>
      <c r="F104" s="86">
        <f>IF(SUMIFS(Journal!$D$3:$D$143,Journal!$A$3:$A$143,$B104,Journal!$F$3:$F$143,E$3)=0,"",SUMIFS(Journal!$D$3:$D$143,Journal!$A$3:$A$143,$B104,Journal!$F$3:$F$143,E$3))</f>
        <v>1054</v>
      </c>
      <c r="G104" s="86" t="str">
        <f>IF(SUMIFS(Journal!$D$3:$D$143,Journal!$A$3:$A$143,$B104,Journal!$E$3:$E$143,G$3)=0,"",SUMIFS(Journal!$D$3:$D$143,Journal!$A$3:$A$143,$B104,Journal!$E$3:$E$143,G$3))</f>
        <v/>
      </c>
      <c r="H104" s="86" t="str">
        <f>IF(SUMIFS(Journal!$D$3:$D$143,Journal!$A$3:$A$143,$B104,Journal!$F$3:$F$143,G$3)=0,"",SUMIFS(Journal!$D$3:$D$143,Journal!$A$3:$A$143,$B104,Journal!$F$3:$F$143,G$3))</f>
        <v/>
      </c>
      <c r="I104" s="86" t="str">
        <f>IF(SUMIFS(Journal!$D$3:$D$143,Journal!$A$3:$A$143,$B104,Journal!$E$3:$E$143,I$3)=0,"",SUMIFS(Journal!$D$3:$D$143,Journal!$A$3:$A$143,$B104,Journal!$E$3:$E$143,I$3))</f>
        <v/>
      </c>
      <c r="J104" s="86" t="str">
        <f>IF(SUMIFS(Journal!$D$3:$D$143,Journal!$A$3:$A$143,$B104,Journal!$F$3:$F$143,I$3)=0,"",SUMIFS(Journal!$D$3:$D$143,Journal!$A$3:$A$143,$B104,Journal!$F$3:$F$143,I$3))</f>
        <v/>
      </c>
      <c r="K104" s="86" t="str">
        <f>IF(SUMIFS(Journal!$D$3:$D$143,Journal!$A$3:$A$143,$B104,Journal!$E$3:$E$143,K$3)=0,"",SUMIFS(Journal!$D$3:$D$143,Journal!$A$3:$A$143,$B104,Journal!$E$3:$E$143,K$3))</f>
        <v/>
      </c>
      <c r="L104" s="86" t="str">
        <f>IF(SUMIFS(Journal!$D$3:$D$143,Journal!$A$3:$A$143,$B104,Journal!$F$3:$F$143,K$3)=0,"",SUMIFS(Journal!$D$3:$D$143,Journal!$A$3:$A$143,$B104,Journal!$F$3:$F$143,K$3))</f>
        <v/>
      </c>
      <c r="M104" s="86" t="str">
        <f>IF(SUMIFS(Journal!$D$3:$D$143,Journal!$A$3:$A$143,$B104,Journal!$E$3:$E$143,M$3)=0,"",SUMIFS(Journal!$D$3:$D$143,Journal!$A$3:$A$143,$B104,Journal!$E$3:$E$143,M$3))</f>
        <v/>
      </c>
      <c r="N104" s="86" t="str">
        <f>IF(SUMIFS(Journal!$D$3:$D$143,Journal!$A$3:$A$143,$B104,Journal!$F$3:$F$143,M$3)=0,"",SUMIFS(Journal!$D$3:$D$143,Journal!$A$3:$A$143,$B104,Journal!$F$3:$F$143,M$3))</f>
        <v/>
      </c>
      <c r="O104" s="86" t="str">
        <f>IF(SUMIFS(Journal!$D$3:$D$143,Journal!$A$3:$A$143,$B104,Journal!$E$3:$E$143,O$3)=0,"",SUMIFS(Journal!$D$3:$D$143,Journal!$A$3:$A$143,$B104,Journal!$E$3:$E$143,O$3))</f>
        <v/>
      </c>
      <c r="P104" s="86" t="str">
        <f>IF(SUMIFS(Journal!$D$3:$D$143,Journal!$A$3:$A$143,$B104,Journal!$F$3:$F$143,O$3)=0,"",SUMIFS(Journal!$D$3:$D$143,Journal!$A$3:$A$143,$B104,Journal!$F$3:$F$143,O$3))</f>
        <v/>
      </c>
      <c r="Q104" s="86" t="str">
        <f>IF(SUMIFS(Journal!$D$3:$D$143,Journal!$A$3:$A$143,$B104,Journal!$E$3:$E$143,Q$3)=0,"",SUMIFS(Journal!$D$3:$D$143,Journal!$A$3:$A$143,$B104,Journal!$E$3:$E$143,Q$3))</f>
        <v/>
      </c>
      <c r="R104" s="86" t="str">
        <f>IF(SUMIFS(Journal!$D$3:$D$143,Journal!$A$3:$A$143,$B104,Journal!$F$3:$F$143,Q$3)=0,"",SUMIFS(Journal!$D$3:$D$143,Journal!$A$3:$A$143,$B104,Journal!$F$3:$F$143,Q$3))</f>
        <v/>
      </c>
      <c r="S104" s="86" t="str">
        <f>IF(SUMIFS(Journal!$D$3:$D$143,Journal!$A$3:$A$143,$B104,Journal!$E$3:$E$143,S$3)=0,"",SUMIFS(Journal!$D$3:$D$143,Journal!$A$3:$A$143,$B104,Journal!$E$3:$E$143,S$3))</f>
        <v/>
      </c>
      <c r="T104" s="86" t="str">
        <f>IF(SUMIFS(Journal!$D$3:$D$143,Journal!$A$3:$A$143,$B104,Journal!$F$3:$F$143,S$3)=0,"",SUMIFS(Journal!$D$3:$D$143,Journal!$A$3:$A$143,$B104,Journal!$F$3:$F$143,S$3))</f>
        <v/>
      </c>
      <c r="U104" s="86" t="str">
        <f>IF(SUMIFS(Journal!$D$3:$D$143,Journal!$A$3:$A$143,$B104,Journal!$E$3:$E$143,U$3)=0,"",SUMIFS(Journal!$D$3:$D$143,Journal!$A$3:$A$143,$B104,Journal!$E$3:$E$143,U$3))</f>
        <v/>
      </c>
      <c r="V104" s="86" t="str">
        <f>IF(SUMIFS(Journal!$D$3:$D$143,Journal!$A$3:$A$143,$B104,Journal!$F$3:$F$143,U$3)=0,"",SUMIFS(Journal!$D$3:$D$143,Journal!$A$3:$A$143,$B104,Journal!$F$3:$F$143,U$3))</f>
        <v/>
      </c>
      <c r="W104" s="86" t="str">
        <f>IF(SUMIFS(Journal!$D$3:$D$143,Journal!$A$3:$A$143,$B104,Journal!$E$3:$E$143,W$3)=0,"",SUMIFS(Journal!$D$3:$D$143,Journal!$A$3:$A$143,$B104,Journal!$E$3:$E$143,W$3))</f>
        <v/>
      </c>
      <c r="X104" s="86" t="str">
        <f>IF(SUMIFS(Journal!$D$3:$D$143,Journal!$A$3:$A$143,$B104,Journal!$F$3:$F$143,W$3)=0,"",SUMIFS(Journal!$D$3:$D$143,Journal!$A$3:$A$143,$B104,Journal!$F$3:$F$143,W$3))</f>
        <v/>
      </c>
      <c r="Y104" s="86" t="str">
        <f>IF(SUMIFS(Journal!$D$3:$D$143,Journal!$A$3:$A$143,$B104,Journal!$E$3:$E$143,Y$3)=0,"",SUMIFS(Journal!$D$3:$D$143,Journal!$A$3:$A$143,$B104,Journal!$E$3:$E$143,Y$3))</f>
        <v/>
      </c>
      <c r="Z104" s="86" t="str">
        <f>IF(SUMIFS(Journal!$D$3:$D$143,Journal!$A$3:$A$143,$B104,Journal!$F$3:$F$143,Y$3)=0,"",SUMIFS(Journal!$D$3:$D$143,Journal!$A$3:$A$143,$B104,Journal!$F$3:$F$143,Y$3))</f>
        <v/>
      </c>
      <c r="AA104" s="86" t="str">
        <f>IF(SUMIFS(Journal!$D$3:$D$143,Journal!$A$3:$A$143,$B104,Journal!$E$3:$E$143,AA$3)=0,"",SUMIFS(Journal!$D$3:$D$143,Journal!$A$3:$A$143,$B104,Journal!$E$3:$E$143,AA$3))</f>
        <v/>
      </c>
      <c r="AB104" s="86" t="str">
        <f>IF(SUMIFS(Journal!$D$3:$D$143,Journal!$A$3:$A$143,$B104,Journal!$F$3:$F$143,AA$3)=0,"",SUMIFS(Journal!$D$3:$D$143,Journal!$A$3:$A$143,$B104,Journal!$F$3:$F$143,AA$3))</f>
        <v/>
      </c>
      <c r="AC104" s="86" t="str">
        <f>IF(SUMIFS(Journal!$D$3:$D$143,Journal!$A$3:$A$143,$B104,Journal!$E$3:$E$143,AC$3)=0,"",SUMIFS(Journal!$D$3:$D$143,Journal!$A$3:$A$143,$B104,Journal!$E$3:$E$143,AC$3))</f>
        <v/>
      </c>
      <c r="AD104" s="86" t="str">
        <f>IF(SUMIFS(Journal!$D$3:$D$143,Journal!$A$3:$A$143,$B104,Journal!$F$3:$F$143,AC$3)=0,"",SUMIFS(Journal!$D$3:$D$143,Journal!$A$3:$A$143,$B104,Journal!$F$3:$F$143,AC$3))</f>
        <v/>
      </c>
      <c r="AE104" s="86" t="str">
        <f>IF(SUMIFS(Journal!$D$3:$D$143,Journal!$A$3:$A$143,$B104,Journal!$E$3:$E$143,AE$3)=0,"",SUMIFS(Journal!$D$3:$D$143,Journal!$A$3:$A$143,$B104,Journal!$E$3:$E$143,AE$3))</f>
        <v/>
      </c>
      <c r="AF104" s="86" t="str">
        <f>IF(SUMIFS(Journal!$D$3:$D$143,Journal!$A$3:$A$143,$B104,Journal!$F$3:$F$143,AE$3)=0,"",SUMIFS(Journal!$D$3:$D$143,Journal!$A$3:$A$143,$B104,Journal!$F$3:$F$143,AE$3))</f>
        <v/>
      </c>
      <c r="AG104" s="86" t="str">
        <f>IF(SUMIFS(Journal!$D$3:$D$143,Journal!$A$3:$A$143,$B104,Journal!$E$3:$E$143,AG$3)=0,"",SUMIFS(Journal!$D$3:$D$143,Journal!$A$3:$A$143,$B104,Journal!$E$3:$E$143,AG$3))</f>
        <v/>
      </c>
      <c r="AH104" s="86" t="str">
        <f>IF(SUMIFS(Journal!$D$3:$D$143,Journal!$A$3:$A$143,$B104,Journal!$F$3:$F$143,AG$3)=0,"",SUMIFS(Journal!$D$3:$D$143,Journal!$A$3:$A$143,$B104,Journal!$F$3:$F$143,AG$3))</f>
        <v/>
      </c>
      <c r="AI104" s="86" t="str">
        <f>IF(SUMIFS(Journal!$D$3:$D$143,Journal!$A$3:$A$143,$B104,Journal!$E$3:$E$143,AI$3)=0,"",SUMIFS(Journal!$D$3:$D$143,Journal!$A$3:$A$143,$B104,Journal!$E$3:$E$143,AI$3))</f>
        <v/>
      </c>
      <c r="AJ104" s="86" t="str">
        <f>IF(SUMIFS(Journal!$D$3:$D$143,Journal!$A$3:$A$143,$B104,Journal!$F$3:$F$143,AI$3)=0,"",SUMIFS(Journal!$D$3:$D$143,Journal!$A$3:$A$143,$B104,Journal!$F$3:$F$143,AI$3))</f>
        <v/>
      </c>
      <c r="AK104" s="86" t="str">
        <f>IF(SUMIFS(Journal!$D$3:$D$143,Journal!$A$3:$A$143,$B104,Journal!$E$3:$E$143,AK$3)=0,"",SUMIFS(Journal!$D$3:$D$143,Journal!$A$3:$A$143,$B104,Journal!$E$3:$E$143,AK$3))</f>
        <v/>
      </c>
      <c r="AL104" s="86" t="str">
        <f>IF(SUMIFS(Journal!$D$3:$D$143,Journal!$A$3:$A$143,$B104,Journal!$F$3:$F$143,AK$3)=0,"",SUMIFS(Journal!$D$3:$D$143,Journal!$A$3:$A$143,$B104,Journal!$F$3:$F$143,AK$3))</f>
        <v/>
      </c>
      <c r="AM104" s="86">
        <f>IF(SUMIFS(Journal!$D$3:$D$143,Journal!$A$3:$A$143,$B104,Journal!$E$3:$E$143,AM$3)=0,"",SUMIFS(Journal!$D$3:$D$143,Journal!$A$3:$A$143,$B104,Journal!$E$3:$E$143,AM$3))</f>
        <v>1054</v>
      </c>
      <c r="AN104" s="86" t="str">
        <f>IF(SUMIFS(Journal!$D$3:$D$143,Journal!$A$3:$A$143,$B104,Journal!$F$3:$F$143,AM$3)=0,"",SUMIFS(Journal!$D$3:$D$143,Journal!$A$3:$A$143,$B104,Journal!$F$3:$F$143,AM$3))</f>
        <v/>
      </c>
      <c r="AO104" s="86" t="str">
        <f>IF(SUMIFS(Journal!$D$3:$D$143,Journal!$A$3:$A$143,$B104,Journal!$E$3:$E$143,AO$3)=0,"",SUMIFS(Journal!$D$3:$D$143,Journal!$A$3:$A$143,$B104,Journal!$E$3:$E$143,AO$3))</f>
        <v/>
      </c>
      <c r="AP104" s="86" t="str">
        <f>IF(SUMIFS(Journal!$D$3:$D$143,Journal!$A$3:$A$143,$B104,Journal!$F$3:$F$143,AO$3)=0,"",SUMIFS(Journal!$D$3:$D$143,Journal!$A$3:$A$143,$B104,Journal!$F$3:$F$143,AO$3))</f>
        <v/>
      </c>
      <c r="AQ104" s="86" t="str">
        <f>IF(SUMIFS(Journal!$D$3:$D$143,Journal!$A$3:$A$143,$B104,Journal!$E$3:$E$143,AQ$3)=0,"",SUMIFS(Journal!$D$3:$D$143,Journal!$A$3:$A$143,$B104,Journal!$E$3:$E$143,AQ$3))</f>
        <v/>
      </c>
      <c r="AR104" s="86" t="str">
        <f>IF(SUMIFS(Journal!$D$3:$D$143,Journal!$A$3:$A$143,$B104,Journal!$F$3:$F$143,AQ$3)=0,"",SUMIFS(Journal!$D$3:$D$143,Journal!$A$3:$A$143,$B104,Journal!$F$3:$F$143,AQ$3))</f>
        <v/>
      </c>
      <c r="AS104" s="86" t="str">
        <f>IF(SUMIFS(Journal!$D$3:$D$143,Journal!$A$3:$A$143,$B104,Journal!$E$3:$E$143,AS$3)=0,"",SUMIFS(Journal!$D$3:$D$143,Journal!$A$3:$A$143,$B104,Journal!$E$3:$E$143,AS$3))</f>
        <v/>
      </c>
      <c r="AT104" s="86" t="str">
        <f>IF(SUMIFS(Journal!$D$3:$D$143,Journal!$A$3:$A$143,$B104,Journal!$F$3:$F$143,AS$3)=0,"",SUMIFS(Journal!$D$3:$D$143,Journal!$A$3:$A$143,$B104,Journal!$F$3:$F$143,AS$3))</f>
        <v/>
      </c>
      <c r="AU104" s="86" t="str">
        <f>IF(SUMIFS(Journal!$D$3:$D$143,Journal!$A$3:$A$143,$B104,Journal!$E$3:$E$143,AU$3)=0,"",SUMIFS(Journal!$D$3:$D$143,Journal!$A$3:$A$143,$B104,Journal!$E$3:$E$143,AU$3))</f>
        <v/>
      </c>
      <c r="AV104" s="86" t="str">
        <f>IF(SUMIFS(Journal!$D$3:$D$143,Journal!$A$3:$A$143,$B104,Journal!$F$3:$F$143,AU$3)=0,"",SUMIFS(Journal!$D$3:$D$143,Journal!$A$3:$A$143,$B104,Journal!$F$3:$F$143,AU$3))</f>
        <v/>
      </c>
      <c r="AW104" s="86" t="str">
        <f>IF(SUMIFS(Journal!$D$3:$D$143,Journal!$A$3:$A$143,$B104,Journal!$E$3:$E$143,AW$3)=0,"",SUMIFS(Journal!$D$3:$D$143,Journal!$A$3:$A$143,$B104,Journal!$E$3:$E$143,AW$3))</f>
        <v/>
      </c>
      <c r="AX104" s="86" t="str">
        <f>IF(SUMIFS(Journal!$D$3:$D$143,Journal!$A$3:$A$143,$B104,Journal!$F$3:$F$143,AW$3)=0,"",SUMIFS(Journal!$D$3:$D$143,Journal!$A$3:$A$143,$B104,Journal!$F$3:$F$143,AW$3))</f>
        <v/>
      </c>
      <c r="AY104" s="86" t="str">
        <f>IF(SUMIFS(Journal!$D$3:$D$143,Journal!$A$3:$A$143,$B104,Journal!$E$3:$E$143,AY$3)=0,"",SUMIFS(Journal!$D$3:$D$143,Journal!$A$3:$A$143,$B104,Journal!$E$3:$E$143,AY$3))</f>
        <v/>
      </c>
      <c r="AZ104" s="86" t="str">
        <f>IF(SUMIFS(Journal!$D$3:$D$143,Journal!$A$3:$A$143,$B104,Journal!$F$3:$F$143,AY$3)=0,"",SUMIFS(Journal!$D$3:$D$143,Journal!$A$3:$A$143,$B104,Journal!$F$3:$F$143,AY$3))</f>
        <v/>
      </c>
      <c r="BA104" s="86" t="str">
        <f>IF(SUMIFS(Journal!$D$3:$D$143,Journal!$A$3:$A$143,$B104,Journal!$E$3:$E$143,BA$3)=0,"",SUMIFS(Journal!$D$3:$D$143,Journal!$A$3:$A$143,$B104,Journal!$E$3:$E$143,BA$3))</f>
        <v/>
      </c>
      <c r="BB104" s="86" t="str">
        <f>IF(SUMIFS(Journal!$D$3:$D$143,Journal!$A$3:$A$143,$B104,Journal!$F$3:$F$143,BA$3)=0,"",SUMIFS(Journal!$D$3:$D$143,Journal!$A$3:$A$143,$B104,Journal!$F$3:$F$143,BA$3))</f>
        <v/>
      </c>
    </row>
    <row r="105">
      <c r="A105" s="84">
        <f>VLOOKUP(B105,Journal!$A$3:$C$143,2,FALSE)</f>
        <v>45566</v>
      </c>
      <c r="B105" s="85" t="s">
        <v>573</v>
      </c>
      <c r="C105" s="86" t="str">
        <f>VLOOKUP(B105,Journal!$A$3:$C$143,3,FALSE)</f>
        <v>Monthly facility rent</v>
      </c>
      <c r="D105" s="86">
        <f>SUMIF(Journal!$A$3:$A$143,B105,Journal!$D$3:$D$143)</f>
        <v>5400</v>
      </c>
      <c r="E105" s="86" t="str">
        <f>IF(SUMIFS(Journal!$D$3:$D$143,Journal!$A$3:$A$143,$B105,Journal!$E$3:$E$143,E$3)=0,"",SUMIFS(Journal!$D$3:$D$143,Journal!$A$3:$A$143,$B105,Journal!$E$3:$E$143,E$3))</f>
        <v/>
      </c>
      <c r="F105" s="86">
        <f>IF(SUMIFS(Journal!$D$3:$D$143,Journal!$A$3:$A$143,$B105,Journal!$F$3:$F$143,E$3)=0,"",SUMIFS(Journal!$D$3:$D$143,Journal!$A$3:$A$143,$B105,Journal!$F$3:$F$143,E$3))</f>
        <v>5400</v>
      </c>
      <c r="G105" s="86" t="str">
        <f>IF(SUMIFS(Journal!$D$3:$D$143,Journal!$A$3:$A$143,$B105,Journal!$E$3:$E$143,G$3)=0,"",SUMIFS(Journal!$D$3:$D$143,Journal!$A$3:$A$143,$B105,Journal!$E$3:$E$143,G$3))</f>
        <v/>
      </c>
      <c r="H105" s="86" t="str">
        <f>IF(SUMIFS(Journal!$D$3:$D$143,Journal!$A$3:$A$143,$B105,Journal!$F$3:$F$143,G$3)=0,"",SUMIFS(Journal!$D$3:$D$143,Journal!$A$3:$A$143,$B105,Journal!$F$3:$F$143,G$3))</f>
        <v/>
      </c>
      <c r="I105" s="86" t="str">
        <f>IF(SUMIFS(Journal!$D$3:$D$143,Journal!$A$3:$A$143,$B105,Journal!$E$3:$E$143,I$3)=0,"",SUMIFS(Journal!$D$3:$D$143,Journal!$A$3:$A$143,$B105,Journal!$E$3:$E$143,I$3))</f>
        <v/>
      </c>
      <c r="J105" s="86" t="str">
        <f>IF(SUMIFS(Journal!$D$3:$D$143,Journal!$A$3:$A$143,$B105,Journal!$F$3:$F$143,I$3)=0,"",SUMIFS(Journal!$D$3:$D$143,Journal!$A$3:$A$143,$B105,Journal!$F$3:$F$143,I$3))</f>
        <v/>
      </c>
      <c r="K105" s="86" t="str">
        <f>IF(SUMIFS(Journal!$D$3:$D$143,Journal!$A$3:$A$143,$B105,Journal!$E$3:$E$143,K$3)=0,"",SUMIFS(Journal!$D$3:$D$143,Journal!$A$3:$A$143,$B105,Journal!$E$3:$E$143,K$3))</f>
        <v/>
      </c>
      <c r="L105" s="86" t="str">
        <f>IF(SUMIFS(Journal!$D$3:$D$143,Journal!$A$3:$A$143,$B105,Journal!$F$3:$F$143,K$3)=0,"",SUMIFS(Journal!$D$3:$D$143,Journal!$A$3:$A$143,$B105,Journal!$F$3:$F$143,K$3))</f>
        <v/>
      </c>
      <c r="M105" s="86" t="str">
        <f>IF(SUMIFS(Journal!$D$3:$D$143,Journal!$A$3:$A$143,$B105,Journal!$E$3:$E$143,M$3)=0,"",SUMIFS(Journal!$D$3:$D$143,Journal!$A$3:$A$143,$B105,Journal!$E$3:$E$143,M$3))</f>
        <v/>
      </c>
      <c r="N105" s="86" t="str">
        <f>IF(SUMIFS(Journal!$D$3:$D$143,Journal!$A$3:$A$143,$B105,Journal!$F$3:$F$143,M$3)=0,"",SUMIFS(Journal!$D$3:$D$143,Journal!$A$3:$A$143,$B105,Journal!$F$3:$F$143,M$3))</f>
        <v/>
      </c>
      <c r="O105" s="86" t="str">
        <f>IF(SUMIFS(Journal!$D$3:$D$143,Journal!$A$3:$A$143,$B105,Journal!$E$3:$E$143,O$3)=0,"",SUMIFS(Journal!$D$3:$D$143,Journal!$A$3:$A$143,$B105,Journal!$E$3:$E$143,O$3))</f>
        <v/>
      </c>
      <c r="P105" s="86" t="str">
        <f>IF(SUMIFS(Journal!$D$3:$D$143,Journal!$A$3:$A$143,$B105,Journal!$F$3:$F$143,O$3)=0,"",SUMIFS(Journal!$D$3:$D$143,Journal!$A$3:$A$143,$B105,Journal!$F$3:$F$143,O$3))</f>
        <v/>
      </c>
      <c r="Q105" s="86" t="str">
        <f>IF(SUMIFS(Journal!$D$3:$D$143,Journal!$A$3:$A$143,$B105,Journal!$E$3:$E$143,Q$3)=0,"",SUMIFS(Journal!$D$3:$D$143,Journal!$A$3:$A$143,$B105,Journal!$E$3:$E$143,Q$3))</f>
        <v/>
      </c>
      <c r="R105" s="86" t="str">
        <f>IF(SUMIFS(Journal!$D$3:$D$143,Journal!$A$3:$A$143,$B105,Journal!$F$3:$F$143,Q$3)=0,"",SUMIFS(Journal!$D$3:$D$143,Journal!$A$3:$A$143,$B105,Journal!$F$3:$F$143,Q$3))</f>
        <v/>
      </c>
      <c r="S105" s="86" t="str">
        <f>IF(SUMIFS(Journal!$D$3:$D$143,Journal!$A$3:$A$143,$B105,Journal!$E$3:$E$143,S$3)=0,"",SUMIFS(Journal!$D$3:$D$143,Journal!$A$3:$A$143,$B105,Journal!$E$3:$E$143,S$3))</f>
        <v/>
      </c>
      <c r="T105" s="86" t="str">
        <f>IF(SUMIFS(Journal!$D$3:$D$143,Journal!$A$3:$A$143,$B105,Journal!$F$3:$F$143,S$3)=0,"",SUMIFS(Journal!$D$3:$D$143,Journal!$A$3:$A$143,$B105,Journal!$F$3:$F$143,S$3))</f>
        <v/>
      </c>
      <c r="U105" s="86" t="str">
        <f>IF(SUMIFS(Journal!$D$3:$D$143,Journal!$A$3:$A$143,$B105,Journal!$E$3:$E$143,U$3)=0,"",SUMIFS(Journal!$D$3:$D$143,Journal!$A$3:$A$143,$B105,Journal!$E$3:$E$143,U$3))</f>
        <v/>
      </c>
      <c r="V105" s="86" t="str">
        <f>IF(SUMIFS(Journal!$D$3:$D$143,Journal!$A$3:$A$143,$B105,Journal!$F$3:$F$143,U$3)=0,"",SUMIFS(Journal!$D$3:$D$143,Journal!$A$3:$A$143,$B105,Journal!$F$3:$F$143,U$3))</f>
        <v/>
      </c>
      <c r="W105" s="86" t="str">
        <f>IF(SUMIFS(Journal!$D$3:$D$143,Journal!$A$3:$A$143,$B105,Journal!$E$3:$E$143,W$3)=0,"",SUMIFS(Journal!$D$3:$D$143,Journal!$A$3:$A$143,$B105,Journal!$E$3:$E$143,W$3))</f>
        <v/>
      </c>
      <c r="X105" s="86" t="str">
        <f>IF(SUMIFS(Journal!$D$3:$D$143,Journal!$A$3:$A$143,$B105,Journal!$F$3:$F$143,W$3)=0,"",SUMIFS(Journal!$D$3:$D$143,Journal!$A$3:$A$143,$B105,Journal!$F$3:$F$143,W$3))</f>
        <v/>
      </c>
      <c r="Y105" s="86" t="str">
        <f>IF(SUMIFS(Journal!$D$3:$D$143,Journal!$A$3:$A$143,$B105,Journal!$E$3:$E$143,Y$3)=0,"",SUMIFS(Journal!$D$3:$D$143,Journal!$A$3:$A$143,$B105,Journal!$E$3:$E$143,Y$3))</f>
        <v/>
      </c>
      <c r="Z105" s="86" t="str">
        <f>IF(SUMIFS(Journal!$D$3:$D$143,Journal!$A$3:$A$143,$B105,Journal!$F$3:$F$143,Y$3)=0,"",SUMIFS(Journal!$D$3:$D$143,Journal!$A$3:$A$143,$B105,Journal!$F$3:$F$143,Y$3))</f>
        <v/>
      </c>
      <c r="AA105" s="86" t="str">
        <f>IF(SUMIFS(Journal!$D$3:$D$143,Journal!$A$3:$A$143,$B105,Journal!$E$3:$E$143,AA$3)=0,"",SUMIFS(Journal!$D$3:$D$143,Journal!$A$3:$A$143,$B105,Journal!$E$3:$E$143,AA$3))</f>
        <v/>
      </c>
      <c r="AB105" s="86" t="str">
        <f>IF(SUMIFS(Journal!$D$3:$D$143,Journal!$A$3:$A$143,$B105,Journal!$F$3:$F$143,AA$3)=0,"",SUMIFS(Journal!$D$3:$D$143,Journal!$A$3:$A$143,$B105,Journal!$F$3:$F$143,AA$3))</f>
        <v/>
      </c>
      <c r="AC105" s="86" t="str">
        <f>IF(SUMIFS(Journal!$D$3:$D$143,Journal!$A$3:$A$143,$B105,Journal!$E$3:$E$143,AC$3)=0,"",SUMIFS(Journal!$D$3:$D$143,Journal!$A$3:$A$143,$B105,Journal!$E$3:$E$143,AC$3))</f>
        <v/>
      </c>
      <c r="AD105" s="86" t="str">
        <f>IF(SUMIFS(Journal!$D$3:$D$143,Journal!$A$3:$A$143,$B105,Journal!$F$3:$F$143,AC$3)=0,"",SUMIFS(Journal!$D$3:$D$143,Journal!$A$3:$A$143,$B105,Journal!$F$3:$F$143,AC$3))</f>
        <v/>
      </c>
      <c r="AE105" s="86" t="str">
        <f>IF(SUMIFS(Journal!$D$3:$D$143,Journal!$A$3:$A$143,$B105,Journal!$E$3:$E$143,AE$3)=0,"",SUMIFS(Journal!$D$3:$D$143,Journal!$A$3:$A$143,$B105,Journal!$E$3:$E$143,AE$3))</f>
        <v/>
      </c>
      <c r="AF105" s="86" t="str">
        <f>IF(SUMIFS(Journal!$D$3:$D$143,Journal!$A$3:$A$143,$B105,Journal!$F$3:$F$143,AE$3)=0,"",SUMIFS(Journal!$D$3:$D$143,Journal!$A$3:$A$143,$B105,Journal!$F$3:$F$143,AE$3))</f>
        <v/>
      </c>
      <c r="AG105" s="86" t="str">
        <f>IF(SUMIFS(Journal!$D$3:$D$143,Journal!$A$3:$A$143,$B105,Journal!$E$3:$E$143,AG$3)=0,"",SUMIFS(Journal!$D$3:$D$143,Journal!$A$3:$A$143,$B105,Journal!$E$3:$E$143,AG$3))</f>
        <v/>
      </c>
      <c r="AH105" s="86" t="str">
        <f>IF(SUMIFS(Journal!$D$3:$D$143,Journal!$A$3:$A$143,$B105,Journal!$F$3:$F$143,AG$3)=0,"",SUMIFS(Journal!$D$3:$D$143,Journal!$A$3:$A$143,$B105,Journal!$F$3:$F$143,AG$3))</f>
        <v/>
      </c>
      <c r="AI105" s="86">
        <f>IF(SUMIFS(Journal!$D$3:$D$143,Journal!$A$3:$A$143,$B105,Journal!$E$3:$E$143,AI$3)=0,"",SUMIFS(Journal!$D$3:$D$143,Journal!$A$3:$A$143,$B105,Journal!$E$3:$E$143,AI$3))</f>
        <v>5400</v>
      </c>
      <c r="AJ105" s="86" t="str">
        <f>IF(SUMIFS(Journal!$D$3:$D$143,Journal!$A$3:$A$143,$B105,Journal!$F$3:$F$143,AI$3)=0,"",SUMIFS(Journal!$D$3:$D$143,Journal!$A$3:$A$143,$B105,Journal!$F$3:$F$143,AI$3))</f>
        <v/>
      </c>
      <c r="AK105" s="86" t="str">
        <f>IF(SUMIFS(Journal!$D$3:$D$143,Journal!$A$3:$A$143,$B105,Journal!$E$3:$E$143,AK$3)=0,"",SUMIFS(Journal!$D$3:$D$143,Journal!$A$3:$A$143,$B105,Journal!$E$3:$E$143,AK$3))</f>
        <v/>
      </c>
      <c r="AL105" s="86" t="str">
        <f>IF(SUMIFS(Journal!$D$3:$D$143,Journal!$A$3:$A$143,$B105,Journal!$F$3:$F$143,AK$3)=0,"",SUMIFS(Journal!$D$3:$D$143,Journal!$A$3:$A$143,$B105,Journal!$F$3:$F$143,AK$3))</f>
        <v/>
      </c>
      <c r="AM105" s="86" t="str">
        <f>IF(SUMIFS(Journal!$D$3:$D$143,Journal!$A$3:$A$143,$B105,Journal!$E$3:$E$143,AM$3)=0,"",SUMIFS(Journal!$D$3:$D$143,Journal!$A$3:$A$143,$B105,Journal!$E$3:$E$143,AM$3))</f>
        <v/>
      </c>
      <c r="AN105" s="86" t="str">
        <f>IF(SUMIFS(Journal!$D$3:$D$143,Journal!$A$3:$A$143,$B105,Journal!$F$3:$F$143,AM$3)=0,"",SUMIFS(Journal!$D$3:$D$143,Journal!$A$3:$A$143,$B105,Journal!$F$3:$F$143,AM$3))</f>
        <v/>
      </c>
      <c r="AO105" s="86" t="str">
        <f>IF(SUMIFS(Journal!$D$3:$D$143,Journal!$A$3:$A$143,$B105,Journal!$E$3:$E$143,AO$3)=0,"",SUMIFS(Journal!$D$3:$D$143,Journal!$A$3:$A$143,$B105,Journal!$E$3:$E$143,AO$3))</f>
        <v/>
      </c>
      <c r="AP105" s="86" t="str">
        <f>IF(SUMIFS(Journal!$D$3:$D$143,Journal!$A$3:$A$143,$B105,Journal!$F$3:$F$143,AO$3)=0,"",SUMIFS(Journal!$D$3:$D$143,Journal!$A$3:$A$143,$B105,Journal!$F$3:$F$143,AO$3))</f>
        <v/>
      </c>
      <c r="AQ105" s="86" t="str">
        <f>IF(SUMIFS(Journal!$D$3:$D$143,Journal!$A$3:$A$143,$B105,Journal!$E$3:$E$143,AQ$3)=0,"",SUMIFS(Journal!$D$3:$D$143,Journal!$A$3:$A$143,$B105,Journal!$E$3:$E$143,AQ$3))</f>
        <v/>
      </c>
      <c r="AR105" s="86" t="str">
        <f>IF(SUMIFS(Journal!$D$3:$D$143,Journal!$A$3:$A$143,$B105,Journal!$F$3:$F$143,AQ$3)=0,"",SUMIFS(Journal!$D$3:$D$143,Journal!$A$3:$A$143,$B105,Journal!$F$3:$F$143,AQ$3))</f>
        <v/>
      </c>
      <c r="AS105" s="86" t="str">
        <f>IF(SUMIFS(Journal!$D$3:$D$143,Journal!$A$3:$A$143,$B105,Journal!$E$3:$E$143,AS$3)=0,"",SUMIFS(Journal!$D$3:$D$143,Journal!$A$3:$A$143,$B105,Journal!$E$3:$E$143,AS$3))</f>
        <v/>
      </c>
      <c r="AT105" s="86" t="str">
        <f>IF(SUMIFS(Journal!$D$3:$D$143,Journal!$A$3:$A$143,$B105,Journal!$F$3:$F$143,AS$3)=0,"",SUMIFS(Journal!$D$3:$D$143,Journal!$A$3:$A$143,$B105,Journal!$F$3:$F$143,AS$3))</f>
        <v/>
      </c>
      <c r="AU105" s="86" t="str">
        <f>IF(SUMIFS(Journal!$D$3:$D$143,Journal!$A$3:$A$143,$B105,Journal!$E$3:$E$143,AU$3)=0,"",SUMIFS(Journal!$D$3:$D$143,Journal!$A$3:$A$143,$B105,Journal!$E$3:$E$143,AU$3))</f>
        <v/>
      </c>
      <c r="AV105" s="86" t="str">
        <f>IF(SUMIFS(Journal!$D$3:$D$143,Journal!$A$3:$A$143,$B105,Journal!$F$3:$F$143,AU$3)=0,"",SUMIFS(Journal!$D$3:$D$143,Journal!$A$3:$A$143,$B105,Journal!$F$3:$F$143,AU$3))</f>
        <v/>
      </c>
      <c r="AW105" s="86" t="str">
        <f>IF(SUMIFS(Journal!$D$3:$D$143,Journal!$A$3:$A$143,$B105,Journal!$E$3:$E$143,AW$3)=0,"",SUMIFS(Journal!$D$3:$D$143,Journal!$A$3:$A$143,$B105,Journal!$E$3:$E$143,AW$3))</f>
        <v/>
      </c>
      <c r="AX105" s="86" t="str">
        <f>IF(SUMIFS(Journal!$D$3:$D$143,Journal!$A$3:$A$143,$B105,Journal!$F$3:$F$143,AW$3)=0,"",SUMIFS(Journal!$D$3:$D$143,Journal!$A$3:$A$143,$B105,Journal!$F$3:$F$143,AW$3))</f>
        <v/>
      </c>
      <c r="AY105" s="86" t="str">
        <f>IF(SUMIFS(Journal!$D$3:$D$143,Journal!$A$3:$A$143,$B105,Journal!$E$3:$E$143,AY$3)=0,"",SUMIFS(Journal!$D$3:$D$143,Journal!$A$3:$A$143,$B105,Journal!$E$3:$E$143,AY$3))</f>
        <v/>
      </c>
      <c r="AZ105" s="86" t="str">
        <f>IF(SUMIFS(Journal!$D$3:$D$143,Journal!$A$3:$A$143,$B105,Journal!$F$3:$F$143,AY$3)=0,"",SUMIFS(Journal!$D$3:$D$143,Journal!$A$3:$A$143,$B105,Journal!$F$3:$F$143,AY$3))</f>
        <v/>
      </c>
      <c r="BA105" s="86" t="str">
        <f>IF(SUMIFS(Journal!$D$3:$D$143,Journal!$A$3:$A$143,$B105,Journal!$E$3:$E$143,BA$3)=0,"",SUMIFS(Journal!$D$3:$D$143,Journal!$A$3:$A$143,$B105,Journal!$E$3:$E$143,BA$3))</f>
        <v/>
      </c>
      <c r="BB105" s="86" t="str">
        <f>IF(SUMIFS(Journal!$D$3:$D$143,Journal!$A$3:$A$143,$B105,Journal!$F$3:$F$143,BA$3)=0,"",SUMIFS(Journal!$D$3:$D$143,Journal!$A$3:$A$143,$B105,Journal!$F$3:$F$143,BA$3))</f>
        <v/>
      </c>
    </row>
    <row r="106">
      <c r="A106" s="84">
        <f>VLOOKUP(B106,Journal!$A$3:$C$143,2,FALSE)</f>
        <v>45570</v>
      </c>
      <c r="B106" s="85" t="s">
        <v>576</v>
      </c>
      <c r="C106" s="86" t="str">
        <f>VLOOKUP(B106,Journal!$A$3:$C$143,3,FALSE)</f>
        <v>Fleet service work order</v>
      </c>
      <c r="D106" s="86">
        <f>SUMIF(Journal!$A$3:$A$143,B106,Journal!$D$3:$D$143)</f>
        <v>1000</v>
      </c>
      <c r="E106" s="86" t="str">
        <f>IF(SUMIFS(Journal!$D$3:$D$143,Journal!$A$3:$A$143,$B106,Journal!$E$3:$E$143,E$3)=0,"",SUMIFS(Journal!$D$3:$D$143,Journal!$A$3:$A$143,$B106,Journal!$E$3:$E$143,E$3))</f>
        <v/>
      </c>
      <c r="F106" s="86">
        <f>IF(SUMIFS(Journal!$D$3:$D$143,Journal!$A$3:$A$143,$B106,Journal!$F$3:$F$143,E$3)=0,"",SUMIFS(Journal!$D$3:$D$143,Journal!$A$3:$A$143,$B106,Journal!$F$3:$F$143,E$3))</f>
        <v>1000</v>
      </c>
      <c r="G106" s="86" t="str">
        <f>IF(SUMIFS(Journal!$D$3:$D$143,Journal!$A$3:$A$143,$B106,Journal!$E$3:$E$143,G$3)=0,"",SUMIFS(Journal!$D$3:$D$143,Journal!$A$3:$A$143,$B106,Journal!$E$3:$E$143,G$3))</f>
        <v/>
      </c>
      <c r="H106" s="86" t="str">
        <f>IF(SUMIFS(Journal!$D$3:$D$143,Journal!$A$3:$A$143,$B106,Journal!$F$3:$F$143,G$3)=0,"",SUMIFS(Journal!$D$3:$D$143,Journal!$A$3:$A$143,$B106,Journal!$F$3:$F$143,G$3))</f>
        <v/>
      </c>
      <c r="I106" s="86" t="str">
        <f>IF(SUMIFS(Journal!$D$3:$D$143,Journal!$A$3:$A$143,$B106,Journal!$E$3:$E$143,I$3)=0,"",SUMIFS(Journal!$D$3:$D$143,Journal!$A$3:$A$143,$B106,Journal!$E$3:$E$143,I$3))</f>
        <v/>
      </c>
      <c r="J106" s="86" t="str">
        <f>IF(SUMIFS(Journal!$D$3:$D$143,Journal!$A$3:$A$143,$B106,Journal!$F$3:$F$143,I$3)=0,"",SUMIFS(Journal!$D$3:$D$143,Journal!$A$3:$A$143,$B106,Journal!$F$3:$F$143,I$3))</f>
        <v/>
      </c>
      <c r="K106" s="86" t="str">
        <f>IF(SUMIFS(Journal!$D$3:$D$143,Journal!$A$3:$A$143,$B106,Journal!$E$3:$E$143,K$3)=0,"",SUMIFS(Journal!$D$3:$D$143,Journal!$A$3:$A$143,$B106,Journal!$E$3:$E$143,K$3))</f>
        <v/>
      </c>
      <c r="L106" s="86" t="str">
        <f>IF(SUMIFS(Journal!$D$3:$D$143,Journal!$A$3:$A$143,$B106,Journal!$F$3:$F$143,K$3)=0,"",SUMIFS(Journal!$D$3:$D$143,Journal!$A$3:$A$143,$B106,Journal!$F$3:$F$143,K$3))</f>
        <v/>
      </c>
      <c r="M106" s="86" t="str">
        <f>IF(SUMIFS(Journal!$D$3:$D$143,Journal!$A$3:$A$143,$B106,Journal!$E$3:$E$143,M$3)=0,"",SUMIFS(Journal!$D$3:$D$143,Journal!$A$3:$A$143,$B106,Journal!$E$3:$E$143,M$3))</f>
        <v/>
      </c>
      <c r="N106" s="86" t="str">
        <f>IF(SUMIFS(Journal!$D$3:$D$143,Journal!$A$3:$A$143,$B106,Journal!$F$3:$F$143,M$3)=0,"",SUMIFS(Journal!$D$3:$D$143,Journal!$A$3:$A$143,$B106,Journal!$F$3:$F$143,M$3))</f>
        <v/>
      </c>
      <c r="O106" s="86" t="str">
        <f>IF(SUMIFS(Journal!$D$3:$D$143,Journal!$A$3:$A$143,$B106,Journal!$E$3:$E$143,O$3)=0,"",SUMIFS(Journal!$D$3:$D$143,Journal!$A$3:$A$143,$B106,Journal!$E$3:$E$143,O$3))</f>
        <v/>
      </c>
      <c r="P106" s="86" t="str">
        <f>IF(SUMIFS(Journal!$D$3:$D$143,Journal!$A$3:$A$143,$B106,Journal!$F$3:$F$143,O$3)=0,"",SUMIFS(Journal!$D$3:$D$143,Journal!$A$3:$A$143,$B106,Journal!$F$3:$F$143,O$3))</f>
        <v/>
      </c>
      <c r="Q106" s="86" t="str">
        <f>IF(SUMIFS(Journal!$D$3:$D$143,Journal!$A$3:$A$143,$B106,Journal!$E$3:$E$143,Q$3)=0,"",SUMIFS(Journal!$D$3:$D$143,Journal!$A$3:$A$143,$B106,Journal!$E$3:$E$143,Q$3))</f>
        <v/>
      </c>
      <c r="R106" s="86" t="str">
        <f>IF(SUMIFS(Journal!$D$3:$D$143,Journal!$A$3:$A$143,$B106,Journal!$F$3:$F$143,Q$3)=0,"",SUMIFS(Journal!$D$3:$D$143,Journal!$A$3:$A$143,$B106,Journal!$F$3:$F$143,Q$3))</f>
        <v/>
      </c>
      <c r="S106" s="86" t="str">
        <f>IF(SUMIFS(Journal!$D$3:$D$143,Journal!$A$3:$A$143,$B106,Journal!$E$3:$E$143,S$3)=0,"",SUMIFS(Journal!$D$3:$D$143,Journal!$A$3:$A$143,$B106,Journal!$E$3:$E$143,S$3))</f>
        <v/>
      </c>
      <c r="T106" s="86" t="str">
        <f>IF(SUMIFS(Journal!$D$3:$D$143,Journal!$A$3:$A$143,$B106,Journal!$F$3:$F$143,S$3)=0,"",SUMIFS(Journal!$D$3:$D$143,Journal!$A$3:$A$143,$B106,Journal!$F$3:$F$143,S$3))</f>
        <v/>
      </c>
      <c r="U106" s="86" t="str">
        <f>IF(SUMIFS(Journal!$D$3:$D$143,Journal!$A$3:$A$143,$B106,Journal!$E$3:$E$143,U$3)=0,"",SUMIFS(Journal!$D$3:$D$143,Journal!$A$3:$A$143,$B106,Journal!$E$3:$E$143,U$3))</f>
        <v/>
      </c>
      <c r="V106" s="86" t="str">
        <f>IF(SUMIFS(Journal!$D$3:$D$143,Journal!$A$3:$A$143,$B106,Journal!$F$3:$F$143,U$3)=0,"",SUMIFS(Journal!$D$3:$D$143,Journal!$A$3:$A$143,$B106,Journal!$F$3:$F$143,U$3))</f>
        <v/>
      </c>
      <c r="W106" s="86" t="str">
        <f>IF(SUMIFS(Journal!$D$3:$D$143,Journal!$A$3:$A$143,$B106,Journal!$E$3:$E$143,W$3)=0,"",SUMIFS(Journal!$D$3:$D$143,Journal!$A$3:$A$143,$B106,Journal!$E$3:$E$143,W$3))</f>
        <v/>
      </c>
      <c r="X106" s="86" t="str">
        <f>IF(SUMIFS(Journal!$D$3:$D$143,Journal!$A$3:$A$143,$B106,Journal!$F$3:$F$143,W$3)=0,"",SUMIFS(Journal!$D$3:$D$143,Journal!$A$3:$A$143,$B106,Journal!$F$3:$F$143,W$3))</f>
        <v/>
      </c>
      <c r="Y106" s="86" t="str">
        <f>IF(SUMIFS(Journal!$D$3:$D$143,Journal!$A$3:$A$143,$B106,Journal!$E$3:$E$143,Y$3)=0,"",SUMIFS(Journal!$D$3:$D$143,Journal!$A$3:$A$143,$B106,Journal!$E$3:$E$143,Y$3))</f>
        <v/>
      </c>
      <c r="Z106" s="86" t="str">
        <f>IF(SUMIFS(Journal!$D$3:$D$143,Journal!$A$3:$A$143,$B106,Journal!$F$3:$F$143,Y$3)=0,"",SUMIFS(Journal!$D$3:$D$143,Journal!$A$3:$A$143,$B106,Journal!$F$3:$F$143,Y$3))</f>
        <v/>
      </c>
      <c r="AA106" s="86" t="str">
        <f>IF(SUMIFS(Journal!$D$3:$D$143,Journal!$A$3:$A$143,$B106,Journal!$E$3:$E$143,AA$3)=0,"",SUMIFS(Journal!$D$3:$D$143,Journal!$A$3:$A$143,$B106,Journal!$E$3:$E$143,AA$3))</f>
        <v/>
      </c>
      <c r="AB106" s="86" t="str">
        <f>IF(SUMIFS(Journal!$D$3:$D$143,Journal!$A$3:$A$143,$B106,Journal!$F$3:$F$143,AA$3)=0,"",SUMIFS(Journal!$D$3:$D$143,Journal!$A$3:$A$143,$B106,Journal!$F$3:$F$143,AA$3))</f>
        <v/>
      </c>
      <c r="AC106" s="86" t="str">
        <f>IF(SUMIFS(Journal!$D$3:$D$143,Journal!$A$3:$A$143,$B106,Journal!$E$3:$E$143,AC$3)=0,"",SUMIFS(Journal!$D$3:$D$143,Journal!$A$3:$A$143,$B106,Journal!$E$3:$E$143,AC$3))</f>
        <v/>
      </c>
      <c r="AD106" s="86" t="str">
        <f>IF(SUMIFS(Journal!$D$3:$D$143,Journal!$A$3:$A$143,$B106,Journal!$F$3:$F$143,AC$3)=0,"",SUMIFS(Journal!$D$3:$D$143,Journal!$A$3:$A$143,$B106,Journal!$F$3:$F$143,AC$3))</f>
        <v/>
      </c>
      <c r="AE106" s="86" t="str">
        <f>IF(SUMIFS(Journal!$D$3:$D$143,Journal!$A$3:$A$143,$B106,Journal!$E$3:$E$143,AE$3)=0,"",SUMIFS(Journal!$D$3:$D$143,Journal!$A$3:$A$143,$B106,Journal!$E$3:$E$143,AE$3))</f>
        <v/>
      </c>
      <c r="AF106" s="86" t="str">
        <f>IF(SUMIFS(Journal!$D$3:$D$143,Journal!$A$3:$A$143,$B106,Journal!$F$3:$F$143,AE$3)=0,"",SUMIFS(Journal!$D$3:$D$143,Journal!$A$3:$A$143,$B106,Journal!$F$3:$F$143,AE$3))</f>
        <v/>
      </c>
      <c r="AG106" s="86" t="str">
        <f>IF(SUMIFS(Journal!$D$3:$D$143,Journal!$A$3:$A$143,$B106,Journal!$E$3:$E$143,AG$3)=0,"",SUMIFS(Journal!$D$3:$D$143,Journal!$A$3:$A$143,$B106,Journal!$E$3:$E$143,AG$3))</f>
        <v/>
      </c>
      <c r="AH106" s="86" t="str">
        <f>IF(SUMIFS(Journal!$D$3:$D$143,Journal!$A$3:$A$143,$B106,Journal!$F$3:$F$143,AG$3)=0,"",SUMIFS(Journal!$D$3:$D$143,Journal!$A$3:$A$143,$B106,Journal!$F$3:$F$143,AG$3))</f>
        <v/>
      </c>
      <c r="AI106" s="86" t="str">
        <f>IF(SUMIFS(Journal!$D$3:$D$143,Journal!$A$3:$A$143,$B106,Journal!$E$3:$E$143,AI$3)=0,"",SUMIFS(Journal!$D$3:$D$143,Journal!$A$3:$A$143,$B106,Journal!$E$3:$E$143,AI$3))</f>
        <v/>
      </c>
      <c r="AJ106" s="86" t="str">
        <f>IF(SUMIFS(Journal!$D$3:$D$143,Journal!$A$3:$A$143,$B106,Journal!$F$3:$F$143,AI$3)=0,"",SUMIFS(Journal!$D$3:$D$143,Journal!$A$3:$A$143,$B106,Journal!$F$3:$F$143,AI$3))</f>
        <v/>
      </c>
      <c r="AK106" s="86" t="str">
        <f>IF(SUMIFS(Journal!$D$3:$D$143,Journal!$A$3:$A$143,$B106,Journal!$E$3:$E$143,AK$3)=0,"",SUMIFS(Journal!$D$3:$D$143,Journal!$A$3:$A$143,$B106,Journal!$E$3:$E$143,AK$3))</f>
        <v/>
      </c>
      <c r="AL106" s="86" t="str">
        <f>IF(SUMIFS(Journal!$D$3:$D$143,Journal!$A$3:$A$143,$B106,Journal!$F$3:$F$143,AK$3)=0,"",SUMIFS(Journal!$D$3:$D$143,Journal!$A$3:$A$143,$B106,Journal!$F$3:$F$143,AK$3))</f>
        <v/>
      </c>
      <c r="AM106" s="86" t="str">
        <f>IF(SUMIFS(Journal!$D$3:$D$143,Journal!$A$3:$A$143,$B106,Journal!$E$3:$E$143,AM$3)=0,"",SUMIFS(Journal!$D$3:$D$143,Journal!$A$3:$A$143,$B106,Journal!$E$3:$E$143,AM$3))</f>
        <v/>
      </c>
      <c r="AN106" s="86" t="str">
        <f>IF(SUMIFS(Journal!$D$3:$D$143,Journal!$A$3:$A$143,$B106,Journal!$F$3:$F$143,AM$3)=0,"",SUMIFS(Journal!$D$3:$D$143,Journal!$A$3:$A$143,$B106,Journal!$F$3:$F$143,AM$3))</f>
        <v/>
      </c>
      <c r="AO106" s="86" t="str">
        <f>IF(SUMIFS(Journal!$D$3:$D$143,Journal!$A$3:$A$143,$B106,Journal!$E$3:$E$143,AO$3)=0,"",SUMIFS(Journal!$D$3:$D$143,Journal!$A$3:$A$143,$B106,Journal!$E$3:$E$143,AO$3))</f>
        <v/>
      </c>
      <c r="AP106" s="86" t="str">
        <f>IF(SUMIFS(Journal!$D$3:$D$143,Journal!$A$3:$A$143,$B106,Journal!$F$3:$F$143,AO$3)=0,"",SUMIFS(Journal!$D$3:$D$143,Journal!$A$3:$A$143,$B106,Journal!$F$3:$F$143,AO$3))</f>
        <v/>
      </c>
      <c r="AQ106" s="86" t="str">
        <f>IF(SUMIFS(Journal!$D$3:$D$143,Journal!$A$3:$A$143,$B106,Journal!$E$3:$E$143,AQ$3)=0,"",SUMIFS(Journal!$D$3:$D$143,Journal!$A$3:$A$143,$B106,Journal!$E$3:$E$143,AQ$3))</f>
        <v/>
      </c>
      <c r="AR106" s="86" t="str">
        <f>IF(SUMIFS(Journal!$D$3:$D$143,Journal!$A$3:$A$143,$B106,Journal!$F$3:$F$143,AQ$3)=0,"",SUMIFS(Journal!$D$3:$D$143,Journal!$A$3:$A$143,$B106,Journal!$F$3:$F$143,AQ$3))</f>
        <v/>
      </c>
      <c r="AS106" s="86" t="str">
        <f>IF(SUMIFS(Journal!$D$3:$D$143,Journal!$A$3:$A$143,$B106,Journal!$E$3:$E$143,AS$3)=0,"",SUMIFS(Journal!$D$3:$D$143,Journal!$A$3:$A$143,$B106,Journal!$E$3:$E$143,AS$3))</f>
        <v/>
      </c>
      <c r="AT106" s="86" t="str">
        <f>IF(SUMIFS(Journal!$D$3:$D$143,Journal!$A$3:$A$143,$B106,Journal!$F$3:$F$143,AS$3)=0,"",SUMIFS(Journal!$D$3:$D$143,Journal!$A$3:$A$143,$B106,Journal!$F$3:$F$143,AS$3))</f>
        <v/>
      </c>
      <c r="AU106" s="86">
        <f>IF(SUMIFS(Journal!$D$3:$D$143,Journal!$A$3:$A$143,$B106,Journal!$E$3:$E$143,AU$3)=0,"",SUMIFS(Journal!$D$3:$D$143,Journal!$A$3:$A$143,$B106,Journal!$E$3:$E$143,AU$3))</f>
        <v>1000</v>
      </c>
      <c r="AV106" s="86" t="str">
        <f>IF(SUMIFS(Journal!$D$3:$D$143,Journal!$A$3:$A$143,$B106,Journal!$F$3:$F$143,AU$3)=0,"",SUMIFS(Journal!$D$3:$D$143,Journal!$A$3:$A$143,$B106,Journal!$F$3:$F$143,AU$3))</f>
        <v/>
      </c>
      <c r="AW106" s="86" t="str">
        <f>IF(SUMIFS(Journal!$D$3:$D$143,Journal!$A$3:$A$143,$B106,Journal!$E$3:$E$143,AW$3)=0,"",SUMIFS(Journal!$D$3:$D$143,Journal!$A$3:$A$143,$B106,Journal!$E$3:$E$143,AW$3))</f>
        <v/>
      </c>
      <c r="AX106" s="86" t="str">
        <f>IF(SUMIFS(Journal!$D$3:$D$143,Journal!$A$3:$A$143,$B106,Journal!$F$3:$F$143,AW$3)=0,"",SUMIFS(Journal!$D$3:$D$143,Journal!$A$3:$A$143,$B106,Journal!$F$3:$F$143,AW$3))</f>
        <v/>
      </c>
      <c r="AY106" s="86" t="str">
        <f>IF(SUMIFS(Journal!$D$3:$D$143,Journal!$A$3:$A$143,$B106,Journal!$E$3:$E$143,AY$3)=0,"",SUMIFS(Journal!$D$3:$D$143,Journal!$A$3:$A$143,$B106,Journal!$E$3:$E$143,AY$3))</f>
        <v/>
      </c>
      <c r="AZ106" s="86" t="str">
        <f>IF(SUMIFS(Journal!$D$3:$D$143,Journal!$A$3:$A$143,$B106,Journal!$F$3:$F$143,AY$3)=0,"",SUMIFS(Journal!$D$3:$D$143,Journal!$A$3:$A$143,$B106,Journal!$F$3:$F$143,AY$3))</f>
        <v/>
      </c>
      <c r="BA106" s="86" t="str">
        <f>IF(SUMIFS(Journal!$D$3:$D$143,Journal!$A$3:$A$143,$B106,Journal!$E$3:$E$143,BA$3)=0,"",SUMIFS(Journal!$D$3:$D$143,Journal!$A$3:$A$143,$B106,Journal!$E$3:$E$143,BA$3))</f>
        <v/>
      </c>
      <c r="BB106" s="86" t="str">
        <f>IF(SUMIFS(Journal!$D$3:$D$143,Journal!$A$3:$A$143,$B106,Journal!$F$3:$F$143,BA$3)=0,"",SUMIFS(Journal!$D$3:$D$143,Journal!$A$3:$A$143,$B106,Journal!$F$3:$F$143,BA$3))</f>
        <v/>
      </c>
    </row>
    <row r="107">
      <c r="A107" s="84">
        <f>VLOOKUP(B107,Journal!$A$3:$C$143,2,FALSE)</f>
        <v>45571</v>
      </c>
      <c r="B107" s="85" t="s">
        <v>579</v>
      </c>
      <c r="C107" s="86" t="str">
        <f>VLOOKUP(B107,Journal!$A$3:$C$143,3,FALSE)</f>
        <v>Monthly business insurance premium</v>
      </c>
      <c r="D107" s="86">
        <f>SUMIF(Journal!$A$3:$A$143,B107,Journal!$D$3:$D$143)</f>
        <v>600</v>
      </c>
      <c r="E107" s="86" t="str">
        <f>IF(SUMIFS(Journal!$D$3:$D$143,Journal!$A$3:$A$143,$B107,Journal!$E$3:$E$143,E$3)=0,"",SUMIFS(Journal!$D$3:$D$143,Journal!$A$3:$A$143,$B107,Journal!$E$3:$E$143,E$3))</f>
        <v/>
      </c>
      <c r="F107" s="86">
        <f>IF(SUMIFS(Journal!$D$3:$D$143,Journal!$A$3:$A$143,$B107,Journal!$F$3:$F$143,E$3)=0,"",SUMIFS(Journal!$D$3:$D$143,Journal!$A$3:$A$143,$B107,Journal!$F$3:$F$143,E$3))</f>
        <v>600</v>
      </c>
      <c r="G107" s="86" t="str">
        <f>IF(SUMIFS(Journal!$D$3:$D$143,Journal!$A$3:$A$143,$B107,Journal!$E$3:$E$143,G$3)=0,"",SUMIFS(Journal!$D$3:$D$143,Journal!$A$3:$A$143,$B107,Journal!$E$3:$E$143,G$3))</f>
        <v/>
      </c>
      <c r="H107" s="86" t="str">
        <f>IF(SUMIFS(Journal!$D$3:$D$143,Journal!$A$3:$A$143,$B107,Journal!$F$3:$F$143,G$3)=0,"",SUMIFS(Journal!$D$3:$D$143,Journal!$A$3:$A$143,$B107,Journal!$F$3:$F$143,G$3))</f>
        <v/>
      </c>
      <c r="I107" s="86" t="str">
        <f>IF(SUMIFS(Journal!$D$3:$D$143,Journal!$A$3:$A$143,$B107,Journal!$E$3:$E$143,I$3)=0,"",SUMIFS(Journal!$D$3:$D$143,Journal!$A$3:$A$143,$B107,Journal!$E$3:$E$143,I$3))</f>
        <v/>
      </c>
      <c r="J107" s="86" t="str">
        <f>IF(SUMIFS(Journal!$D$3:$D$143,Journal!$A$3:$A$143,$B107,Journal!$F$3:$F$143,I$3)=0,"",SUMIFS(Journal!$D$3:$D$143,Journal!$A$3:$A$143,$B107,Journal!$F$3:$F$143,I$3))</f>
        <v/>
      </c>
      <c r="K107" s="86" t="str">
        <f>IF(SUMIFS(Journal!$D$3:$D$143,Journal!$A$3:$A$143,$B107,Journal!$E$3:$E$143,K$3)=0,"",SUMIFS(Journal!$D$3:$D$143,Journal!$A$3:$A$143,$B107,Journal!$E$3:$E$143,K$3))</f>
        <v/>
      </c>
      <c r="L107" s="86" t="str">
        <f>IF(SUMIFS(Journal!$D$3:$D$143,Journal!$A$3:$A$143,$B107,Journal!$F$3:$F$143,K$3)=0,"",SUMIFS(Journal!$D$3:$D$143,Journal!$A$3:$A$143,$B107,Journal!$F$3:$F$143,K$3))</f>
        <v/>
      </c>
      <c r="M107" s="86" t="str">
        <f>IF(SUMIFS(Journal!$D$3:$D$143,Journal!$A$3:$A$143,$B107,Journal!$E$3:$E$143,M$3)=0,"",SUMIFS(Journal!$D$3:$D$143,Journal!$A$3:$A$143,$B107,Journal!$E$3:$E$143,M$3))</f>
        <v/>
      </c>
      <c r="N107" s="86" t="str">
        <f>IF(SUMIFS(Journal!$D$3:$D$143,Journal!$A$3:$A$143,$B107,Journal!$F$3:$F$143,M$3)=0,"",SUMIFS(Journal!$D$3:$D$143,Journal!$A$3:$A$143,$B107,Journal!$F$3:$F$143,M$3))</f>
        <v/>
      </c>
      <c r="O107" s="86" t="str">
        <f>IF(SUMIFS(Journal!$D$3:$D$143,Journal!$A$3:$A$143,$B107,Journal!$E$3:$E$143,O$3)=0,"",SUMIFS(Journal!$D$3:$D$143,Journal!$A$3:$A$143,$B107,Journal!$E$3:$E$143,O$3))</f>
        <v/>
      </c>
      <c r="P107" s="86" t="str">
        <f>IF(SUMIFS(Journal!$D$3:$D$143,Journal!$A$3:$A$143,$B107,Journal!$F$3:$F$143,O$3)=0,"",SUMIFS(Journal!$D$3:$D$143,Journal!$A$3:$A$143,$B107,Journal!$F$3:$F$143,O$3))</f>
        <v/>
      </c>
      <c r="Q107" s="86" t="str">
        <f>IF(SUMIFS(Journal!$D$3:$D$143,Journal!$A$3:$A$143,$B107,Journal!$E$3:$E$143,Q$3)=0,"",SUMIFS(Journal!$D$3:$D$143,Journal!$A$3:$A$143,$B107,Journal!$E$3:$E$143,Q$3))</f>
        <v/>
      </c>
      <c r="R107" s="86" t="str">
        <f>IF(SUMIFS(Journal!$D$3:$D$143,Journal!$A$3:$A$143,$B107,Journal!$F$3:$F$143,Q$3)=0,"",SUMIFS(Journal!$D$3:$D$143,Journal!$A$3:$A$143,$B107,Journal!$F$3:$F$143,Q$3))</f>
        <v/>
      </c>
      <c r="S107" s="86" t="str">
        <f>IF(SUMIFS(Journal!$D$3:$D$143,Journal!$A$3:$A$143,$B107,Journal!$E$3:$E$143,S$3)=0,"",SUMIFS(Journal!$D$3:$D$143,Journal!$A$3:$A$143,$B107,Journal!$E$3:$E$143,S$3))</f>
        <v/>
      </c>
      <c r="T107" s="86" t="str">
        <f>IF(SUMIFS(Journal!$D$3:$D$143,Journal!$A$3:$A$143,$B107,Journal!$F$3:$F$143,S$3)=0,"",SUMIFS(Journal!$D$3:$D$143,Journal!$A$3:$A$143,$B107,Journal!$F$3:$F$143,S$3))</f>
        <v/>
      </c>
      <c r="U107" s="86" t="str">
        <f>IF(SUMIFS(Journal!$D$3:$D$143,Journal!$A$3:$A$143,$B107,Journal!$E$3:$E$143,U$3)=0,"",SUMIFS(Journal!$D$3:$D$143,Journal!$A$3:$A$143,$B107,Journal!$E$3:$E$143,U$3))</f>
        <v/>
      </c>
      <c r="V107" s="86" t="str">
        <f>IF(SUMIFS(Journal!$D$3:$D$143,Journal!$A$3:$A$143,$B107,Journal!$F$3:$F$143,U$3)=0,"",SUMIFS(Journal!$D$3:$D$143,Journal!$A$3:$A$143,$B107,Journal!$F$3:$F$143,U$3))</f>
        <v/>
      </c>
      <c r="W107" s="86" t="str">
        <f>IF(SUMIFS(Journal!$D$3:$D$143,Journal!$A$3:$A$143,$B107,Journal!$E$3:$E$143,W$3)=0,"",SUMIFS(Journal!$D$3:$D$143,Journal!$A$3:$A$143,$B107,Journal!$E$3:$E$143,W$3))</f>
        <v/>
      </c>
      <c r="X107" s="86" t="str">
        <f>IF(SUMIFS(Journal!$D$3:$D$143,Journal!$A$3:$A$143,$B107,Journal!$F$3:$F$143,W$3)=0,"",SUMIFS(Journal!$D$3:$D$143,Journal!$A$3:$A$143,$B107,Journal!$F$3:$F$143,W$3))</f>
        <v/>
      </c>
      <c r="Y107" s="86" t="str">
        <f>IF(SUMIFS(Journal!$D$3:$D$143,Journal!$A$3:$A$143,$B107,Journal!$E$3:$E$143,Y$3)=0,"",SUMIFS(Journal!$D$3:$D$143,Journal!$A$3:$A$143,$B107,Journal!$E$3:$E$143,Y$3))</f>
        <v/>
      </c>
      <c r="Z107" s="86" t="str">
        <f>IF(SUMIFS(Journal!$D$3:$D$143,Journal!$A$3:$A$143,$B107,Journal!$F$3:$F$143,Y$3)=0,"",SUMIFS(Journal!$D$3:$D$143,Journal!$A$3:$A$143,$B107,Journal!$F$3:$F$143,Y$3))</f>
        <v/>
      </c>
      <c r="AA107" s="86" t="str">
        <f>IF(SUMIFS(Journal!$D$3:$D$143,Journal!$A$3:$A$143,$B107,Journal!$E$3:$E$143,AA$3)=0,"",SUMIFS(Journal!$D$3:$D$143,Journal!$A$3:$A$143,$B107,Journal!$E$3:$E$143,AA$3))</f>
        <v/>
      </c>
      <c r="AB107" s="86" t="str">
        <f>IF(SUMIFS(Journal!$D$3:$D$143,Journal!$A$3:$A$143,$B107,Journal!$F$3:$F$143,AA$3)=0,"",SUMIFS(Journal!$D$3:$D$143,Journal!$A$3:$A$143,$B107,Journal!$F$3:$F$143,AA$3))</f>
        <v/>
      </c>
      <c r="AC107" s="86" t="str">
        <f>IF(SUMIFS(Journal!$D$3:$D$143,Journal!$A$3:$A$143,$B107,Journal!$E$3:$E$143,AC$3)=0,"",SUMIFS(Journal!$D$3:$D$143,Journal!$A$3:$A$143,$B107,Journal!$E$3:$E$143,AC$3))</f>
        <v/>
      </c>
      <c r="AD107" s="86" t="str">
        <f>IF(SUMIFS(Journal!$D$3:$D$143,Journal!$A$3:$A$143,$B107,Journal!$F$3:$F$143,AC$3)=0,"",SUMIFS(Journal!$D$3:$D$143,Journal!$A$3:$A$143,$B107,Journal!$F$3:$F$143,AC$3))</f>
        <v/>
      </c>
      <c r="AE107" s="86" t="str">
        <f>IF(SUMIFS(Journal!$D$3:$D$143,Journal!$A$3:$A$143,$B107,Journal!$E$3:$E$143,AE$3)=0,"",SUMIFS(Journal!$D$3:$D$143,Journal!$A$3:$A$143,$B107,Journal!$E$3:$E$143,AE$3))</f>
        <v/>
      </c>
      <c r="AF107" s="86" t="str">
        <f>IF(SUMIFS(Journal!$D$3:$D$143,Journal!$A$3:$A$143,$B107,Journal!$F$3:$F$143,AE$3)=0,"",SUMIFS(Journal!$D$3:$D$143,Journal!$A$3:$A$143,$B107,Journal!$F$3:$F$143,AE$3))</f>
        <v/>
      </c>
      <c r="AG107" s="86" t="str">
        <f>IF(SUMIFS(Journal!$D$3:$D$143,Journal!$A$3:$A$143,$B107,Journal!$E$3:$E$143,AG$3)=0,"",SUMIFS(Journal!$D$3:$D$143,Journal!$A$3:$A$143,$B107,Journal!$E$3:$E$143,AG$3))</f>
        <v/>
      </c>
      <c r="AH107" s="86" t="str">
        <f>IF(SUMIFS(Journal!$D$3:$D$143,Journal!$A$3:$A$143,$B107,Journal!$F$3:$F$143,AG$3)=0,"",SUMIFS(Journal!$D$3:$D$143,Journal!$A$3:$A$143,$B107,Journal!$F$3:$F$143,AG$3))</f>
        <v/>
      </c>
      <c r="AI107" s="86" t="str">
        <f>IF(SUMIFS(Journal!$D$3:$D$143,Journal!$A$3:$A$143,$B107,Journal!$E$3:$E$143,AI$3)=0,"",SUMIFS(Journal!$D$3:$D$143,Journal!$A$3:$A$143,$B107,Journal!$E$3:$E$143,AI$3))</f>
        <v/>
      </c>
      <c r="AJ107" s="86" t="str">
        <f>IF(SUMIFS(Journal!$D$3:$D$143,Journal!$A$3:$A$143,$B107,Journal!$F$3:$F$143,AI$3)=0,"",SUMIFS(Journal!$D$3:$D$143,Journal!$A$3:$A$143,$B107,Journal!$F$3:$F$143,AI$3))</f>
        <v/>
      </c>
      <c r="AK107" s="86">
        <f>IF(SUMIFS(Journal!$D$3:$D$143,Journal!$A$3:$A$143,$B107,Journal!$E$3:$E$143,AK$3)=0,"",SUMIFS(Journal!$D$3:$D$143,Journal!$A$3:$A$143,$B107,Journal!$E$3:$E$143,AK$3))</f>
        <v>600</v>
      </c>
      <c r="AL107" s="86" t="str">
        <f>IF(SUMIFS(Journal!$D$3:$D$143,Journal!$A$3:$A$143,$B107,Journal!$F$3:$F$143,AK$3)=0,"",SUMIFS(Journal!$D$3:$D$143,Journal!$A$3:$A$143,$B107,Journal!$F$3:$F$143,AK$3))</f>
        <v/>
      </c>
      <c r="AM107" s="86" t="str">
        <f>IF(SUMIFS(Journal!$D$3:$D$143,Journal!$A$3:$A$143,$B107,Journal!$E$3:$E$143,AM$3)=0,"",SUMIFS(Journal!$D$3:$D$143,Journal!$A$3:$A$143,$B107,Journal!$E$3:$E$143,AM$3))</f>
        <v/>
      </c>
      <c r="AN107" s="86" t="str">
        <f>IF(SUMIFS(Journal!$D$3:$D$143,Journal!$A$3:$A$143,$B107,Journal!$F$3:$F$143,AM$3)=0,"",SUMIFS(Journal!$D$3:$D$143,Journal!$A$3:$A$143,$B107,Journal!$F$3:$F$143,AM$3))</f>
        <v/>
      </c>
      <c r="AO107" s="86" t="str">
        <f>IF(SUMIFS(Journal!$D$3:$D$143,Journal!$A$3:$A$143,$B107,Journal!$E$3:$E$143,AO$3)=0,"",SUMIFS(Journal!$D$3:$D$143,Journal!$A$3:$A$143,$B107,Journal!$E$3:$E$143,AO$3))</f>
        <v/>
      </c>
      <c r="AP107" s="86" t="str">
        <f>IF(SUMIFS(Journal!$D$3:$D$143,Journal!$A$3:$A$143,$B107,Journal!$F$3:$F$143,AO$3)=0,"",SUMIFS(Journal!$D$3:$D$143,Journal!$A$3:$A$143,$B107,Journal!$F$3:$F$143,AO$3))</f>
        <v/>
      </c>
      <c r="AQ107" s="86" t="str">
        <f>IF(SUMIFS(Journal!$D$3:$D$143,Journal!$A$3:$A$143,$B107,Journal!$E$3:$E$143,AQ$3)=0,"",SUMIFS(Journal!$D$3:$D$143,Journal!$A$3:$A$143,$B107,Journal!$E$3:$E$143,AQ$3))</f>
        <v/>
      </c>
      <c r="AR107" s="86" t="str">
        <f>IF(SUMIFS(Journal!$D$3:$D$143,Journal!$A$3:$A$143,$B107,Journal!$F$3:$F$143,AQ$3)=0,"",SUMIFS(Journal!$D$3:$D$143,Journal!$A$3:$A$143,$B107,Journal!$F$3:$F$143,AQ$3))</f>
        <v/>
      </c>
      <c r="AS107" s="86" t="str">
        <f>IF(SUMIFS(Journal!$D$3:$D$143,Journal!$A$3:$A$143,$B107,Journal!$E$3:$E$143,AS$3)=0,"",SUMIFS(Journal!$D$3:$D$143,Journal!$A$3:$A$143,$B107,Journal!$E$3:$E$143,AS$3))</f>
        <v/>
      </c>
      <c r="AT107" s="86" t="str">
        <f>IF(SUMIFS(Journal!$D$3:$D$143,Journal!$A$3:$A$143,$B107,Journal!$F$3:$F$143,AS$3)=0,"",SUMIFS(Journal!$D$3:$D$143,Journal!$A$3:$A$143,$B107,Journal!$F$3:$F$143,AS$3))</f>
        <v/>
      </c>
      <c r="AU107" s="86" t="str">
        <f>IF(SUMIFS(Journal!$D$3:$D$143,Journal!$A$3:$A$143,$B107,Journal!$E$3:$E$143,AU$3)=0,"",SUMIFS(Journal!$D$3:$D$143,Journal!$A$3:$A$143,$B107,Journal!$E$3:$E$143,AU$3))</f>
        <v/>
      </c>
      <c r="AV107" s="86" t="str">
        <f>IF(SUMIFS(Journal!$D$3:$D$143,Journal!$A$3:$A$143,$B107,Journal!$F$3:$F$143,AU$3)=0,"",SUMIFS(Journal!$D$3:$D$143,Journal!$A$3:$A$143,$B107,Journal!$F$3:$F$143,AU$3))</f>
        <v/>
      </c>
      <c r="AW107" s="86" t="str">
        <f>IF(SUMIFS(Journal!$D$3:$D$143,Journal!$A$3:$A$143,$B107,Journal!$E$3:$E$143,AW$3)=0,"",SUMIFS(Journal!$D$3:$D$143,Journal!$A$3:$A$143,$B107,Journal!$E$3:$E$143,AW$3))</f>
        <v/>
      </c>
      <c r="AX107" s="86" t="str">
        <f>IF(SUMIFS(Journal!$D$3:$D$143,Journal!$A$3:$A$143,$B107,Journal!$F$3:$F$143,AW$3)=0,"",SUMIFS(Journal!$D$3:$D$143,Journal!$A$3:$A$143,$B107,Journal!$F$3:$F$143,AW$3))</f>
        <v/>
      </c>
      <c r="AY107" s="86" t="str">
        <f>IF(SUMIFS(Journal!$D$3:$D$143,Journal!$A$3:$A$143,$B107,Journal!$E$3:$E$143,AY$3)=0,"",SUMIFS(Journal!$D$3:$D$143,Journal!$A$3:$A$143,$B107,Journal!$E$3:$E$143,AY$3))</f>
        <v/>
      </c>
      <c r="AZ107" s="86" t="str">
        <f>IF(SUMIFS(Journal!$D$3:$D$143,Journal!$A$3:$A$143,$B107,Journal!$F$3:$F$143,AY$3)=0,"",SUMIFS(Journal!$D$3:$D$143,Journal!$A$3:$A$143,$B107,Journal!$F$3:$F$143,AY$3))</f>
        <v/>
      </c>
      <c r="BA107" s="86" t="str">
        <f>IF(SUMIFS(Journal!$D$3:$D$143,Journal!$A$3:$A$143,$B107,Journal!$E$3:$E$143,BA$3)=0,"",SUMIFS(Journal!$D$3:$D$143,Journal!$A$3:$A$143,$B107,Journal!$E$3:$E$143,BA$3))</f>
        <v/>
      </c>
      <c r="BB107" s="86" t="str">
        <f>IF(SUMIFS(Journal!$D$3:$D$143,Journal!$A$3:$A$143,$B107,Journal!$F$3:$F$143,BA$3)=0,"",SUMIFS(Journal!$D$3:$D$143,Journal!$A$3:$A$143,$B107,Journal!$F$3:$F$143,BA$3))</f>
        <v/>
      </c>
    </row>
    <row r="108">
      <c r="A108" s="84">
        <f>VLOOKUP(B108,Journal!$A$3:$C$143,2,FALSE)</f>
        <v>45577</v>
      </c>
      <c r="B108" s="85" t="s">
        <v>582</v>
      </c>
      <c r="C108" s="86" t="str">
        <f>VLOOKUP(B108,Journal!$A$3:$C$143,3,FALSE)</f>
        <v>Equipment rental receipts batch</v>
      </c>
      <c r="D108" s="86">
        <f>SUMIF(Journal!$A$3:$A$143,B108,Journal!$D$3:$D$143)</f>
        <v>7000</v>
      </c>
      <c r="E108" s="86">
        <f>IF(SUMIFS(Journal!$D$3:$D$143,Journal!$A$3:$A$143,$B108,Journal!$E$3:$E$143,E$3)=0,"",SUMIFS(Journal!$D$3:$D$143,Journal!$A$3:$A$143,$B108,Journal!$E$3:$E$143,E$3))</f>
        <v>7000</v>
      </c>
      <c r="F108" s="86" t="str">
        <f>IF(SUMIFS(Journal!$D$3:$D$143,Journal!$A$3:$A$143,$B108,Journal!$F$3:$F$143,E$3)=0,"",SUMIFS(Journal!$D$3:$D$143,Journal!$A$3:$A$143,$B108,Journal!$F$3:$F$143,E$3))</f>
        <v/>
      </c>
      <c r="G108" s="86" t="str">
        <f>IF(SUMIFS(Journal!$D$3:$D$143,Journal!$A$3:$A$143,$B108,Journal!$E$3:$E$143,G$3)=0,"",SUMIFS(Journal!$D$3:$D$143,Journal!$A$3:$A$143,$B108,Journal!$E$3:$E$143,G$3))</f>
        <v/>
      </c>
      <c r="H108" s="86" t="str">
        <f>IF(SUMIFS(Journal!$D$3:$D$143,Journal!$A$3:$A$143,$B108,Journal!$F$3:$F$143,G$3)=0,"",SUMIFS(Journal!$D$3:$D$143,Journal!$A$3:$A$143,$B108,Journal!$F$3:$F$143,G$3))</f>
        <v/>
      </c>
      <c r="I108" s="86" t="str">
        <f>IF(SUMIFS(Journal!$D$3:$D$143,Journal!$A$3:$A$143,$B108,Journal!$E$3:$E$143,I$3)=0,"",SUMIFS(Journal!$D$3:$D$143,Journal!$A$3:$A$143,$B108,Journal!$E$3:$E$143,I$3))</f>
        <v/>
      </c>
      <c r="J108" s="86" t="str">
        <f>IF(SUMIFS(Journal!$D$3:$D$143,Journal!$A$3:$A$143,$B108,Journal!$F$3:$F$143,I$3)=0,"",SUMIFS(Journal!$D$3:$D$143,Journal!$A$3:$A$143,$B108,Journal!$F$3:$F$143,I$3))</f>
        <v/>
      </c>
      <c r="K108" s="86" t="str">
        <f>IF(SUMIFS(Journal!$D$3:$D$143,Journal!$A$3:$A$143,$B108,Journal!$E$3:$E$143,K$3)=0,"",SUMIFS(Journal!$D$3:$D$143,Journal!$A$3:$A$143,$B108,Journal!$E$3:$E$143,K$3))</f>
        <v/>
      </c>
      <c r="L108" s="86" t="str">
        <f>IF(SUMIFS(Journal!$D$3:$D$143,Journal!$A$3:$A$143,$B108,Journal!$F$3:$F$143,K$3)=0,"",SUMIFS(Journal!$D$3:$D$143,Journal!$A$3:$A$143,$B108,Journal!$F$3:$F$143,K$3))</f>
        <v/>
      </c>
      <c r="M108" s="86" t="str">
        <f>IF(SUMIFS(Journal!$D$3:$D$143,Journal!$A$3:$A$143,$B108,Journal!$E$3:$E$143,M$3)=0,"",SUMIFS(Journal!$D$3:$D$143,Journal!$A$3:$A$143,$B108,Journal!$E$3:$E$143,M$3))</f>
        <v/>
      </c>
      <c r="N108" s="86" t="str">
        <f>IF(SUMIFS(Journal!$D$3:$D$143,Journal!$A$3:$A$143,$B108,Journal!$F$3:$F$143,M$3)=0,"",SUMIFS(Journal!$D$3:$D$143,Journal!$A$3:$A$143,$B108,Journal!$F$3:$F$143,M$3))</f>
        <v/>
      </c>
      <c r="O108" s="86" t="str">
        <f>IF(SUMIFS(Journal!$D$3:$D$143,Journal!$A$3:$A$143,$B108,Journal!$E$3:$E$143,O$3)=0,"",SUMIFS(Journal!$D$3:$D$143,Journal!$A$3:$A$143,$B108,Journal!$E$3:$E$143,O$3))</f>
        <v/>
      </c>
      <c r="P108" s="86" t="str">
        <f>IF(SUMIFS(Journal!$D$3:$D$143,Journal!$A$3:$A$143,$B108,Journal!$F$3:$F$143,O$3)=0,"",SUMIFS(Journal!$D$3:$D$143,Journal!$A$3:$A$143,$B108,Journal!$F$3:$F$143,O$3))</f>
        <v/>
      </c>
      <c r="Q108" s="86" t="str">
        <f>IF(SUMIFS(Journal!$D$3:$D$143,Journal!$A$3:$A$143,$B108,Journal!$E$3:$E$143,Q$3)=0,"",SUMIFS(Journal!$D$3:$D$143,Journal!$A$3:$A$143,$B108,Journal!$E$3:$E$143,Q$3))</f>
        <v/>
      </c>
      <c r="R108" s="86" t="str">
        <f>IF(SUMIFS(Journal!$D$3:$D$143,Journal!$A$3:$A$143,$B108,Journal!$F$3:$F$143,Q$3)=0,"",SUMIFS(Journal!$D$3:$D$143,Journal!$A$3:$A$143,$B108,Journal!$F$3:$F$143,Q$3))</f>
        <v/>
      </c>
      <c r="S108" s="86" t="str">
        <f>IF(SUMIFS(Journal!$D$3:$D$143,Journal!$A$3:$A$143,$B108,Journal!$E$3:$E$143,S$3)=0,"",SUMIFS(Journal!$D$3:$D$143,Journal!$A$3:$A$143,$B108,Journal!$E$3:$E$143,S$3))</f>
        <v/>
      </c>
      <c r="T108" s="86" t="str">
        <f>IF(SUMIFS(Journal!$D$3:$D$143,Journal!$A$3:$A$143,$B108,Journal!$F$3:$F$143,S$3)=0,"",SUMIFS(Journal!$D$3:$D$143,Journal!$A$3:$A$143,$B108,Journal!$F$3:$F$143,S$3))</f>
        <v/>
      </c>
      <c r="U108" s="86" t="str">
        <f>IF(SUMIFS(Journal!$D$3:$D$143,Journal!$A$3:$A$143,$B108,Journal!$E$3:$E$143,U$3)=0,"",SUMIFS(Journal!$D$3:$D$143,Journal!$A$3:$A$143,$B108,Journal!$E$3:$E$143,U$3))</f>
        <v/>
      </c>
      <c r="V108" s="86" t="str">
        <f>IF(SUMIFS(Journal!$D$3:$D$143,Journal!$A$3:$A$143,$B108,Journal!$F$3:$F$143,U$3)=0,"",SUMIFS(Journal!$D$3:$D$143,Journal!$A$3:$A$143,$B108,Journal!$F$3:$F$143,U$3))</f>
        <v/>
      </c>
      <c r="W108" s="86" t="str">
        <f>IF(SUMIFS(Journal!$D$3:$D$143,Journal!$A$3:$A$143,$B108,Journal!$E$3:$E$143,W$3)=0,"",SUMIFS(Journal!$D$3:$D$143,Journal!$A$3:$A$143,$B108,Journal!$E$3:$E$143,W$3))</f>
        <v/>
      </c>
      <c r="X108" s="86">
        <f>IF(SUMIFS(Journal!$D$3:$D$143,Journal!$A$3:$A$143,$B108,Journal!$F$3:$F$143,W$3)=0,"",SUMIFS(Journal!$D$3:$D$143,Journal!$A$3:$A$143,$B108,Journal!$F$3:$F$143,W$3))</f>
        <v>7000</v>
      </c>
      <c r="Y108" s="86" t="str">
        <f>IF(SUMIFS(Journal!$D$3:$D$143,Journal!$A$3:$A$143,$B108,Journal!$E$3:$E$143,Y$3)=0,"",SUMIFS(Journal!$D$3:$D$143,Journal!$A$3:$A$143,$B108,Journal!$E$3:$E$143,Y$3))</f>
        <v/>
      </c>
      <c r="Z108" s="86" t="str">
        <f>IF(SUMIFS(Journal!$D$3:$D$143,Journal!$A$3:$A$143,$B108,Journal!$F$3:$F$143,Y$3)=0,"",SUMIFS(Journal!$D$3:$D$143,Journal!$A$3:$A$143,$B108,Journal!$F$3:$F$143,Y$3))</f>
        <v/>
      </c>
      <c r="AA108" s="86" t="str">
        <f>IF(SUMIFS(Journal!$D$3:$D$143,Journal!$A$3:$A$143,$B108,Journal!$E$3:$E$143,AA$3)=0,"",SUMIFS(Journal!$D$3:$D$143,Journal!$A$3:$A$143,$B108,Journal!$E$3:$E$143,AA$3))</f>
        <v/>
      </c>
      <c r="AB108" s="86" t="str">
        <f>IF(SUMIFS(Journal!$D$3:$D$143,Journal!$A$3:$A$143,$B108,Journal!$F$3:$F$143,AA$3)=0,"",SUMIFS(Journal!$D$3:$D$143,Journal!$A$3:$A$143,$B108,Journal!$F$3:$F$143,AA$3))</f>
        <v/>
      </c>
      <c r="AC108" s="86" t="str">
        <f>IF(SUMIFS(Journal!$D$3:$D$143,Journal!$A$3:$A$143,$B108,Journal!$E$3:$E$143,AC$3)=0,"",SUMIFS(Journal!$D$3:$D$143,Journal!$A$3:$A$143,$B108,Journal!$E$3:$E$143,AC$3))</f>
        <v/>
      </c>
      <c r="AD108" s="86" t="str">
        <f>IF(SUMIFS(Journal!$D$3:$D$143,Journal!$A$3:$A$143,$B108,Journal!$F$3:$F$143,AC$3)=0,"",SUMIFS(Journal!$D$3:$D$143,Journal!$A$3:$A$143,$B108,Journal!$F$3:$F$143,AC$3))</f>
        <v/>
      </c>
      <c r="AE108" s="86" t="str">
        <f>IF(SUMIFS(Journal!$D$3:$D$143,Journal!$A$3:$A$143,$B108,Journal!$E$3:$E$143,AE$3)=0,"",SUMIFS(Journal!$D$3:$D$143,Journal!$A$3:$A$143,$B108,Journal!$E$3:$E$143,AE$3))</f>
        <v/>
      </c>
      <c r="AF108" s="86" t="str">
        <f>IF(SUMIFS(Journal!$D$3:$D$143,Journal!$A$3:$A$143,$B108,Journal!$F$3:$F$143,AE$3)=0,"",SUMIFS(Journal!$D$3:$D$143,Journal!$A$3:$A$143,$B108,Journal!$F$3:$F$143,AE$3))</f>
        <v/>
      </c>
      <c r="AG108" s="86" t="str">
        <f>IF(SUMIFS(Journal!$D$3:$D$143,Journal!$A$3:$A$143,$B108,Journal!$E$3:$E$143,AG$3)=0,"",SUMIFS(Journal!$D$3:$D$143,Journal!$A$3:$A$143,$B108,Journal!$E$3:$E$143,AG$3))</f>
        <v/>
      </c>
      <c r="AH108" s="86" t="str">
        <f>IF(SUMIFS(Journal!$D$3:$D$143,Journal!$A$3:$A$143,$B108,Journal!$F$3:$F$143,AG$3)=0,"",SUMIFS(Journal!$D$3:$D$143,Journal!$A$3:$A$143,$B108,Journal!$F$3:$F$143,AG$3))</f>
        <v/>
      </c>
      <c r="AI108" s="86" t="str">
        <f>IF(SUMIFS(Journal!$D$3:$D$143,Journal!$A$3:$A$143,$B108,Journal!$E$3:$E$143,AI$3)=0,"",SUMIFS(Journal!$D$3:$D$143,Journal!$A$3:$A$143,$B108,Journal!$E$3:$E$143,AI$3))</f>
        <v/>
      </c>
      <c r="AJ108" s="86" t="str">
        <f>IF(SUMIFS(Journal!$D$3:$D$143,Journal!$A$3:$A$143,$B108,Journal!$F$3:$F$143,AI$3)=0,"",SUMIFS(Journal!$D$3:$D$143,Journal!$A$3:$A$143,$B108,Journal!$F$3:$F$143,AI$3))</f>
        <v/>
      </c>
      <c r="AK108" s="86" t="str">
        <f>IF(SUMIFS(Journal!$D$3:$D$143,Journal!$A$3:$A$143,$B108,Journal!$E$3:$E$143,AK$3)=0,"",SUMIFS(Journal!$D$3:$D$143,Journal!$A$3:$A$143,$B108,Journal!$E$3:$E$143,AK$3))</f>
        <v/>
      </c>
      <c r="AL108" s="86" t="str">
        <f>IF(SUMIFS(Journal!$D$3:$D$143,Journal!$A$3:$A$143,$B108,Journal!$F$3:$F$143,AK$3)=0,"",SUMIFS(Journal!$D$3:$D$143,Journal!$A$3:$A$143,$B108,Journal!$F$3:$F$143,AK$3))</f>
        <v/>
      </c>
      <c r="AM108" s="86" t="str">
        <f>IF(SUMIFS(Journal!$D$3:$D$143,Journal!$A$3:$A$143,$B108,Journal!$E$3:$E$143,AM$3)=0,"",SUMIFS(Journal!$D$3:$D$143,Journal!$A$3:$A$143,$B108,Journal!$E$3:$E$143,AM$3))</f>
        <v/>
      </c>
      <c r="AN108" s="86" t="str">
        <f>IF(SUMIFS(Journal!$D$3:$D$143,Journal!$A$3:$A$143,$B108,Journal!$F$3:$F$143,AM$3)=0,"",SUMIFS(Journal!$D$3:$D$143,Journal!$A$3:$A$143,$B108,Journal!$F$3:$F$143,AM$3))</f>
        <v/>
      </c>
      <c r="AO108" s="86" t="str">
        <f>IF(SUMIFS(Journal!$D$3:$D$143,Journal!$A$3:$A$143,$B108,Journal!$E$3:$E$143,AO$3)=0,"",SUMIFS(Journal!$D$3:$D$143,Journal!$A$3:$A$143,$B108,Journal!$E$3:$E$143,AO$3))</f>
        <v/>
      </c>
      <c r="AP108" s="86" t="str">
        <f>IF(SUMIFS(Journal!$D$3:$D$143,Journal!$A$3:$A$143,$B108,Journal!$F$3:$F$143,AO$3)=0,"",SUMIFS(Journal!$D$3:$D$143,Journal!$A$3:$A$143,$B108,Journal!$F$3:$F$143,AO$3))</f>
        <v/>
      </c>
      <c r="AQ108" s="86" t="str">
        <f>IF(SUMIFS(Journal!$D$3:$D$143,Journal!$A$3:$A$143,$B108,Journal!$E$3:$E$143,AQ$3)=0,"",SUMIFS(Journal!$D$3:$D$143,Journal!$A$3:$A$143,$B108,Journal!$E$3:$E$143,AQ$3))</f>
        <v/>
      </c>
      <c r="AR108" s="86" t="str">
        <f>IF(SUMIFS(Journal!$D$3:$D$143,Journal!$A$3:$A$143,$B108,Journal!$F$3:$F$143,AQ$3)=0,"",SUMIFS(Journal!$D$3:$D$143,Journal!$A$3:$A$143,$B108,Journal!$F$3:$F$143,AQ$3))</f>
        <v/>
      </c>
      <c r="AS108" s="86" t="str">
        <f>IF(SUMIFS(Journal!$D$3:$D$143,Journal!$A$3:$A$143,$B108,Journal!$E$3:$E$143,AS$3)=0,"",SUMIFS(Journal!$D$3:$D$143,Journal!$A$3:$A$143,$B108,Journal!$E$3:$E$143,AS$3))</f>
        <v/>
      </c>
      <c r="AT108" s="86" t="str">
        <f>IF(SUMIFS(Journal!$D$3:$D$143,Journal!$A$3:$A$143,$B108,Journal!$F$3:$F$143,AS$3)=0,"",SUMIFS(Journal!$D$3:$D$143,Journal!$A$3:$A$143,$B108,Journal!$F$3:$F$143,AS$3))</f>
        <v/>
      </c>
      <c r="AU108" s="86" t="str">
        <f>IF(SUMIFS(Journal!$D$3:$D$143,Journal!$A$3:$A$143,$B108,Journal!$E$3:$E$143,AU$3)=0,"",SUMIFS(Journal!$D$3:$D$143,Journal!$A$3:$A$143,$B108,Journal!$E$3:$E$143,AU$3))</f>
        <v/>
      </c>
      <c r="AV108" s="86" t="str">
        <f>IF(SUMIFS(Journal!$D$3:$D$143,Journal!$A$3:$A$143,$B108,Journal!$F$3:$F$143,AU$3)=0,"",SUMIFS(Journal!$D$3:$D$143,Journal!$A$3:$A$143,$B108,Journal!$F$3:$F$143,AU$3))</f>
        <v/>
      </c>
      <c r="AW108" s="86" t="str">
        <f>IF(SUMIFS(Journal!$D$3:$D$143,Journal!$A$3:$A$143,$B108,Journal!$E$3:$E$143,AW$3)=0,"",SUMIFS(Journal!$D$3:$D$143,Journal!$A$3:$A$143,$B108,Journal!$E$3:$E$143,AW$3))</f>
        <v/>
      </c>
      <c r="AX108" s="86" t="str">
        <f>IF(SUMIFS(Journal!$D$3:$D$143,Journal!$A$3:$A$143,$B108,Journal!$F$3:$F$143,AW$3)=0,"",SUMIFS(Journal!$D$3:$D$143,Journal!$A$3:$A$143,$B108,Journal!$F$3:$F$143,AW$3))</f>
        <v/>
      </c>
      <c r="AY108" s="86" t="str">
        <f>IF(SUMIFS(Journal!$D$3:$D$143,Journal!$A$3:$A$143,$B108,Journal!$E$3:$E$143,AY$3)=0,"",SUMIFS(Journal!$D$3:$D$143,Journal!$A$3:$A$143,$B108,Journal!$E$3:$E$143,AY$3))</f>
        <v/>
      </c>
      <c r="AZ108" s="86" t="str">
        <f>IF(SUMIFS(Journal!$D$3:$D$143,Journal!$A$3:$A$143,$B108,Journal!$F$3:$F$143,AY$3)=0,"",SUMIFS(Journal!$D$3:$D$143,Journal!$A$3:$A$143,$B108,Journal!$F$3:$F$143,AY$3))</f>
        <v/>
      </c>
      <c r="BA108" s="86" t="str">
        <f>IF(SUMIFS(Journal!$D$3:$D$143,Journal!$A$3:$A$143,$B108,Journal!$E$3:$E$143,BA$3)=0,"",SUMIFS(Journal!$D$3:$D$143,Journal!$A$3:$A$143,$B108,Journal!$E$3:$E$143,BA$3))</f>
        <v/>
      </c>
      <c r="BB108" s="86" t="str">
        <f>IF(SUMIFS(Journal!$D$3:$D$143,Journal!$A$3:$A$143,$B108,Journal!$F$3:$F$143,BA$3)=0,"",SUMIFS(Journal!$D$3:$D$143,Journal!$A$3:$A$143,$B108,Journal!$F$3:$F$143,BA$3))</f>
        <v/>
      </c>
    </row>
    <row r="109">
      <c r="A109" s="84">
        <f>VLOOKUP(B109,Journal!$A$3:$C$143,2,FALSE)</f>
        <v>45585</v>
      </c>
      <c r="B109" s="85" t="s">
        <v>585</v>
      </c>
      <c r="C109" s="86" t="str">
        <f>VLOOKUP(B109,Journal!$A$3:$C$143,3,FALSE)</f>
        <v>Corporate guided tour completed on account</v>
      </c>
      <c r="D109" s="86">
        <f>SUMIF(Journal!$A$3:$A$143,B109,Journal!$D$3:$D$143)</f>
        <v>5000</v>
      </c>
      <c r="E109" s="86" t="str">
        <f>IF(SUMIFS(Journal!$D$3:$D$143,Journal!$A$3:$A$143,$B109,Journal!$E$3:$E$143,E$3)=0,"",SUMIFS(Journal!$D$3:$D$143,Journal!$A$3:$A$143,$B109,Journal!$E$3:$E$143,E$3))</f>
        <v/>
      </c>
      <c r="F109" s="86" t="str">
        <f>IF(SUMIFS(Journal!$D$3:$D$143,Journal!$A$3:$A$143,$B109,Journal!$F$3:$F$143,E$3)=0,"",SUMIFS(Journal!$D$3:$D$143,Journal!$A$3:$A$143,$B109,Journal!$F$3:$F$143,E$3))</f>
        <v/>
      </c>
      <c r="G109" s="86">
        <f>IF(SUMIFS(Journal!$D$3:$D$143,Journal!$A$3:$A$143,$B109,Journal!$E$3:$E$143,G$3)=0,"",SUMIFS(Journal!$D$3:$D$143,Journal!$A$3:$A$143,$B109,Journal!$E$3:$E$143,G$3))</f>
        <v>5000</v>
      </c>
      <c r="H109" s="86" t="str">
        <f>IF(SUMIFS(Journal!$D$3:$D$143,Journal!$A$3:$A$143,$B109,Journal!$F$3:$F$143,G$3)=0,"",SUMIFS(Journal!$D$3:$D$143,Journal!$A$3:$A$143,$B109,Journal!$F$3:$F$143,G$3))</f>
        <v/>
      </c>
      <c r="I109" s="86" t="str">
        <f>IF(SUMIFS(Journal!$D$3:$D$143,Journal!$A$3:$A$143,$B109,Journal!$E$3:$E$143,I$3)=0,"",SUMIFS(Journal!$D$3:$D$143,Journal!$A$3:$A$143,$B109,Journal!$E$3:$E$143,I$3))</f>
        <v/>
      </c>
      <c r="J109" s="86" t="str">
        <f>IF(SUMIFS(Journal!$D$3:$D$143,Journal!$A$3:$A$143,$B109,Journal!$F$3:$F$143,I$3)=0,"",SUMIFS(Journal!$D$3:$D$143,Journal!$A$3:$A$143,$B109,Journal!$F$3:$F$143,I$3))</f>
        <v/>
      </c>
      <c r="K109" s="86" t="str">
        <f>IF(SUMIFS(Journal!$D$3:$D$143,Journal!$A$3:$A$143,$B109,Journal!$E$3:$E$143,K$3)=0,"",SUMIFS(Journal!$D$3:$D$143,Journal!$A$3:$A$143,$B109,Journal!$E$3:$E$143,K$3))</f>
        <v/>
      </c>
      <c r="L109" s="86" t="str">
        <f>IF(SUMIFS(Journal!$D$3:$D$143,Journal!$A$3:$A$143,$B109,Journal!$F$3:$F$143,K$3)=0,"",SUMIFS(Journal!$D$3:$D$143,Journal!$A$3:$A$143,$B109,Journal!$F$3:$F$143,K$3))</f>
        <v/>
      </c>
      <c r="M109" s="86" t="str">
        <f>IF(SUMIFS(Journal!$D$3:$D$143,Journal!$A$3:$A$143,$B109,Journal!$E$3:$E$143,M$3)=0,"",SUMIFS(Journal!$D$3:$D$143,Journal!$A$3:$A$143,$B109,Journal!$E$3:$E$143,M$3))</f>
        <v/>
      </c>
      <c r="N109" s="86" t="str">
        <f>IF(SUMIFS(Journal!$D$3:$D$143,Journal!$A$3:$A$143,$B109,Journal!$F$3:$F$143,M$3)=0,"",SUMIFS(Journal!$D$3:$D$143,Journal!$A$3:$A$143,$B109,Journal!$F$3:$F$143,M$3))</f>
        <v/>
      </c>
      <c r="O109" s="86" t="str">
        <f>IF(SUMIFS(Journal!$D$3:$D$143,Journal!$A$3:$A$143,$B109,Journal!$E$3:$E$143,O$3)=0,"",SUMIFS(Journal!$D$3:$D$143,Journal!$A$3:$A$143,$B109,Journal!$E$3:$E$143,O$3))</f>
        <v/>
      </c>
      <c r="P109" s="86" t="str">
        <f>IF(SUMIFS(Journal!$D$3:$D$143,Journal!$A$3:$A$143,$B109,Journal!$F$3:$F$143,O$3)=0,"",SUMIFS(Journal!$D$3:$D$143,Journal!$A$3:$A$143,$B109,Journal!$F$3:$F$143,O$3))</f>
        <v/>
      </c>
      <c r="Q109" s="86" t="str">
        <f>IF(SUMIFS(Journal!$D$3:$D$143,Journal!$A$3:$A$143,$B109,Journal!$E$3:$E$143,Q$3)=0,"",SUMIFS(Journal!$D$3:$D$143,Journal!$A$3:$A$143,$B109,Journal!$E$3:$E$143,Q$3))</f>
        <v/>
      </c>
      <c r="R109" s="86" t="str">
        <f>IF(SUMIFS(Journal!$D$3:$D$143,Journal!$A$3:$A$143,$B109,Journal!$F$3:$F$143,Q$3)=0,"",SUMIFS(Journal!$D$3:$D$143,Journal!$A$3:$A$143,$B109,Journal!$F$3:$F$143,Q$3))</f>
        <v/>
      </c>
      <c r="S109" s="86" t="str">
        <f>IF(SUMIFS(Journal!$D$3:$D$143,Journal!$A$3:$A$143,$B109,Journal!$E$3:$E$143,S$3)=0,"",SUMIFS(Journal!$D$3:$D$143,Journal!$A$3:$A$143,$B109,Journal!$E$3:$E$143,S$3))</f>
        <v/>
      </c>
      <c r="T109" s="86" t="str">
        <f>IF(SUMIFS(Journal!$D$3:$D$143,Journal!$A$3:$A$143,$B109,Journal!$F$3:$F$143,S$3)=0,"",SUMIFS(Journal!$D$3:$D$143,Journal!$A$3:$A$143,$B109,Journal!$F$3:$F$143,S$3))</f>
        <v/>
      </c>
      <c r="U109" s="86" t="str">
        <f>IF(SUMIFS(Journal!$D$3:$D$143,Journal!$A$3:$A$143,$B109,Journal!$E$3:$E$143,U$3)=0,"",SUMIFS(Journal!$D$3:$D$143,Journal!$A$3:$A$143,$B109,Journal!$E$3:$E$143,U$3))</f>
        <v/>
      </c>
      <c r="V109" s="86" t="str">
        <f>IF(SUMIFS(Journal!$D$3:$D$143,Journal!$A$3:$A$143,$B109,Journal!$F$3:$F$143,U$3)=0,"",SUMIFS(Journal!$D$3:$D$143,Journal!$A$3:$A$143,$B109,Journal!$F$3:$F$143,U$3))</f>
        <v/>
      </c>
      <c r="W109" s="86" t="str">
        <f>IF(SUMIFS(Journal!$D$3:$D$143,Journal!$A$3:$A$143,$B109,Journal!$E$3:$E$143,W$3)=0,"",SUMIFS(Journal!$D$3:$D$143,Journal!$A$3:$A$143,$B109,Journal!$E$3:$E$143,W$3))</f>
        <v/>
      </c>
      <c r="X109" s="86" t="str">
        <f>IF(SUMIFS(Journal!$D$3:$D$143,Journal!$A$3:$A$143,$B109,Journal!$F$3:$F$143,W$3)=0,"",SUMIFS(Journal!$D$3:$D$143,Journal!$A$3:$A$143,$B109,Journal!$F$3:$F$143,W$3))</f>
        <v/>
      </c>
      <c r="Y109" s="86" t="str">
        <f>IF(SUMIFS(Journal!$D$3:$D$143,Journal!$A$3:$A$143,$B109,Journal!$E$3:$E$143,Y$3)=0,"",SUMIFS(Journal!$D$3:$D$143,Journal!$A$3:$A$143,$B109,Journal!$E$3:$E$143,Y$3))</f>
        <v/>
      </c>
      <c r="Z109" s="86">
        <f>IF(SUMIFS(Journal!$D$3:$D$143,Journal!$A$3:$A$143,$B109,Journal!$F$3:$F$143,Y$3)=0,"",SUMIFS(Journal!$D$3:$D$143,Journal!$A$3:$A$143,$B109,Journal!$F$3:$F$143,Y$3))</f>
        <v>5000</v>
      </c>
      <c r="AA109" s="86" t="str">
        <f>IF(SUMIFS(Journal!$D$3:$D$143,Journal!$A$3:$A$143,$B109,Journal!$E$3:$E$143,AA$3)=0,"",SUMIFS(Journal!$D$3:$D$143,Journal!$A$3:$A$143,$B109,Journal!$E$3:$E$143,AA$3))</f>
        <v/>
      </c>
      <c r="AB109" s="86" t="str">
        <f>IF(SUMIFS(Journal!$D$3:$D$143,Journal!$A$3:$A$143,$B109,Journal!$F$3:$F$143,AA$3)=0,"",SUMIFS(Journal!$D$3:$D$143,Journal!$A$3:$A$143,$B109,Journal!$F$3:$F$143,AA$3))</f>
        <v/>
      </c>
      <c r="AC109" s="86" t="str">
        <f>IF(SUMIFS(Journal!$D$3:$D$143,Journal!$A$3:$A$143,$B109,Journal!$E$3:$E$143,AC$3)=0,"",SUMIFS(Journal!$D$3:$D$143,Journal!$A$3:$A$143,$B109,Journal!$E$3:$E$143,AC$3))</f>
        <v/>
      </c>
      <c r="AD109" s="86" t="str">
        <f>IF(SUMIFS(Journal!$D$3:$D$143,Journal!$A$3:$A$143,$B109,Journal!$F$3:$F$143,AC$3)=0,"",SUMIFS(Journal!$D$3:$D$143,Journal!$A$3:$A$143,$B109,Journal!$F$3:$F$143,AC$3))</f>
        <v/>
      </c>
      <c r="AE109" s="86" t="str">
        <f>IF(SUMIFS(Journal!$D$3:$D$143,Journal!$A$3:$A$143,$B109,Journal!$E$3:$E$143,AE$3)=0,"",SUMIFS(Journal!$D$3:$D$143,Journal!$A$3:$A$143,$B109,Journal!$E$3:$E$143,AE$3))</f>
        <v/>
      </c>
      <c r="AF109" s="86" t="str">
        <f>IF(SUMIFS(Journal!$D$3:$D$143,Journal!$A$3:$A$143,$B109,Journal!$F$3:$F$143,AE$3)=0,"",SUMIFS(Journal!$D$3:$D$143,Journal!$A$3:$A$143,$B109,Journal!$F$3:$F$143,AE$3))</f>
        <v/>
      </c>
      <c r="AG109" s="86" t="str">
        <f>IF(SUMIFS(Journal!$D$3:$D$143,Journal!$A$3:$A$143,$B109,Journal!$E$3:$E$143,AG$3)=0,"",SUMIFS(Journal!$D$3:$D$143,Journal!$A$3:$A$143,$B109,Journal!$E$3:$E$143,AG$3))</f>
        <v/>
      </c>
      <c r="AH109" s="86" t="str">
        <f>IF(SUMIFS(Journal!$D$3:$D$143,Journal!$A$3:$A$143,$B109,Journal!$F$3:$F$143,AG$3)=0,"",SUMIFS(Journal!$D$3:$D$143,Journal!$A$3:$A$143,$B109,Journal!$F$3:$F$143,AG$3))</f>
        <v/>
      </c>
      <c r="AI109" s="86" t="str">
        <f>IF(SUMIFS(Journal!$D$3:$D$143,Journal!$A$3:$A$143,$B109,Journal!$E$3:$E$143,AI$3)=0,"",SUMIFS(Journal!$D$3:$D$143,Journal!$A$3:$A$143,$B109,Journal!$E$3:$E$143,AI$3))</f>
        <v/>
      </c>
      <c r="AJ109" s="86" t="str">
        <f>IF(SUMIFS(Journal!$D$3:$D$143,Journal!$A$3:$A$143,$B109,Journal!$F$3:$F$143,AI$3)=0,"",SUMIFS(Journal!$D$3:$D$143,Journal!$A$3:$A$143,$B109,Journal!$F$3:$F$143,AI$3))</f>
        <v/>
      </c>
      <c r="AK109" s="86" t="str">
        <f>IF(SUMIFS(Journal!$D$3:$D$143,Journal!$A$3:$A$143,$B109,Journal!$E$3:$E$143,AK$3)=0,"",SUMIFS(Journal!$D$3:$D$143,Journal!$A$3:$A$143,$B109,Journal!$E$3:$E$143,AK$3))</f>
        <v/>
      </c>
      <c r="AL109" s="86" t="str">
        <f>IF(SUMIFS(Journal!$D$3:$D$143,Journal!$A$3:$A$143,$B109,Journal!$F$3:$F$143,AK$3)=0,"",SUMIFS(Journal!$D$3:$D$143,Journal!$A$3:$A$143,$B109,Journal!$F$3:$F$143,AK$3))</f>
        <v/>
      </c>
      <c r="AM109" s="86" t="str">
        <f>IF(SUMIFS(Journal!$D$3:$D$143,Journal!$A$3:$A$143,$B109,Journal!$E$3:$E$143,AM$3)=0,"",SUMIFS(Journal!$D$3:$D$143,Journal!$A$3:$A$143,$B109,Journal!$E$3:$E$143,AM$3))</f>
        <v/>
      </c>
      <c r="AN109" s="86" t="str">
        <f>IF(SUMIFS(Journal!$D$3:$D$143,Journal!$A$3:$A$143,$B109,Journal!$F$3:$F$143,AM$3)=0,"",SUMIFS(Journal!$D$3:$D$143,Journal!$A$3:$A$143,$B109,Journal!$F$3:$F$143,AM$3))</f>
        <v/>
      </c>
      <c r="AO109" s="86" t="str">
        <f>IF(SUMIFS(Journal!$D$3:$D$143,Journal!$A$3:$A$143,$B109,Journal!$E$3:$E$143,AO$3)=0,"",SUMIFS(Journal!$D$3:$D$143,Journal!$A$3:$A$143,$B109,Journal!$E$3:$E$143,AO$3))</f>
        <v/>
      </c>
      <c r="AP109" s="86" t="str">
        <f>IF(SUMIFS(Journal!$D$3:$D$143,Journal!$A$3:$A$143,$B109,Journal!$F$3:$F$143,AO$3)=0,"",SUMIFS(Journal!$D$3:$D$143,Journal!$A$3:$A$143,$B109,Journal!$F$3:$F$143,AO$3))</f>
        <v/>
      </c>
      <c r="AQ109" s="86" t="str">
        <f>IF(SUMIFS(Journal!$D$3:$D$143,Journal!$A$3:$A$143,$B109,Journal!$E$3:$E$143,AQ$3)=0,"",SUMIFS(Journal!$D$3:$D$143,Journal!$A$3:$A$143,$B109,Journal!$E$3:$E$143,AQ$3))</f>
        <v/>
      </c>
      <c r="AR109" s="86" t="str">
        <f>IF(SUMIFS(Journal!$D$3:$D$143,Journal!$A$3:$A$143,$B109,Journal!$F$3:$F$143,AQ$3)=0,"",SUMIFS(Journal!$D$3:$D$143,Journal!$A$3:$A$143,$B109,Journal!$F$3:$F$143,AQ$3))</f>
        <v/>
      </c>
      <c r="AS109" s="86" t="str">
        <f>IF(SUMIFS(Journal!$D$3:$D$143,Journal!$A$3:$A$143,$B109,Journal!$E$3:$E$143,AS$3)=0,"",SUMIFS(Journal!$D$3:$D$143,Journal!$A$3:$A$143,$B109,Journal!$E$3:$E$143,AS$3))</f>
        <v/>
      </c>
      <c r="AT109" s="86" t="str">
        <f>IF(SUMIFS(Journal!$D$3:$D$143,Journal!$A$3:$A$143,$B109,Journal!$F$3:$F$143,AS$3)=0,"",SUMIFS(Journal!$D$3:$D$143,Journal!$A$3:$A$143,$B109,Journal!$F$3:$F$143,AS$3))</f>
        <v/>
      </c>
      <c r="AU109" s="86" t="str">
        <f>IF(SUMIFS(Journal!$D$3:$D$143,Journal!$A$3:$A$143,$B109,Journal!$E$3:$E$143,AU$3)=0,"",SUMIFS(Journal!$D$3:$D$143,Journal!$A$3:$A$143,$B109,Journal!$E$3:$E$143,AU$3))</f>
        <v/>
      </c>
      <c r="AV109" s="86" t="str">
        <f>IF(SUMIFS(Journal!$D$3:$D$143,Journal!$A$3:$A$143,$B109,Journal!$F$3:$F$143,AU$3)=0,"",SUMIFS(Journal!$D$3:$D$143,Journal!$A$3:$A$143,$B109,Journal!$F$3:$F$143,AU$3))</f>
        <v/>
      </c>
      <c r="AW109" s="86" t="str">
        <f>IF(SUMIFS(Journal!$D$3:$D$143,Journal!$A$3:$A$143,$B109,Journal!$E$3:$E$143,AW$3)=0,"",SUMIFS(Journal!$D$3:$D$143,Journal!$A$3:$A$143,$B109,Journal!$E$3:$E$143,AW$3))</f>
        <v/>
      </c>
      <c r="AX109" s="86" t="str">
        <f>IF(SUMIFS(Journal!$D$3:$D$143,Journal!$A$3:$A$143,$B109,Journal!$F$3:$F$143,AW$3)=0,"",SUMIFS(Journal!$D$3:$D$143,Journal!$A$3:$A$143,$B109,Journal!$F$3:$F$143,AW$3))</f>
        <v/>
      </c>
      <c r="AY109" s="86" t="str">
        <f>IF(SUMIFS(Journal!$D$3:$D$143,Journal!$A$3:$A$143,$B109,Journal!$E$3:$E$143,AY$3)=0,"",SUMIFS(Journal!$D$3:$D$143,Journal!$A$3:$A$143,$B109,Journal!$E$3:$E$143,AY$3))</f>
        <v/>
      </c>
      <c r="AZ109" s="86" t="str">
        <f>IF(SUMIFS(Journal!$D$3:$D$143,Journal!$A$3:$A$143,$B109,Journal!$F$3:$F$143,AY$3)=0,"",SUMIFS(Journal!$D$3:$D$143,Journal!$A$3:$A$143,$B109,Journal!$F$3:$F$143,AY$3))</f>
        <v/>
      </c>
      <c r="BA109" s="86" t="str">
        <f>IF(SUMIFS(Journal!$D$3:$D$143,Journal!$A$3:$A$143,$B109,Journal!$E$3:$E$143,BA$3)=0,"",SUMIFS(Journal!$D$3:$D$143,Journal!$A$3:$A$143,$B109,Journal!$E$3:$E$143,BA$3))</f>
        <v/>
      </c>
      <c r="BB109" s="86" t="str">
        <f>IF(SUMIFS(Journal!$D$3:$D$143,Journal!$A$3:$A$143,$B109,Journal!$F$3:$F$143,BA$3)=0,"",SUMIFS(Journal!$D$3:$D$143,Journal!$A$3:$A$143,$B109,Journal!$F$3:$F$143,BA$3))</f>
        <v/>
      </c>
    </row>
    <row r="110">
      <c r="A110" s="84">
        <f>VLOOKUP(B110,Journal!$A$3:$C$143,2,FALSE)</f>
        <v>45589</v>
      </c>
      <c r="B110" s="85" t="s">
        <v>590</v>
      </c>
      <c r="C110" s="86" t="str">
        <f>VLOOKUP(B110,Journal!$A$3:$C$143,3,FALSE)</f>
        <v>Employee payroll settlement</v>
      </c>
      <c r="D110" s="86">
        <f>SUMIF(Journal!$A$3:$A$143,B110,Journal!$D$3:$D$143)</f>
        <v>8660</v>
      </c>
      <c r="E110" s="86" t="str">
        <f>IF(SUMIFS(Journal!$D$3:$D$143,Journal!$A$3:$A$143,$B110,Journal!$E$3:$E$143,E$3)=0,"",SUMIFS(Journal!$D$3:$D$143,Journal!$A$3:$A$143,$B110,Journal!$E$3:$E$143,E$3))</f>
        <v/>
      </c>
      <c r="F110" s="86">
        <f>IF(SUMIFS(Journal!$D$3:$D$143,Journal!$A$3:$A$143,$B110,Journal!$F$3:$F$143,E$3)=0,"",SUMIFS(Journal!$D$3:$D$143,Journal!$A$3:$A$143,$B110,Journal!$F$3:$F$143,E$3))</f>
        <v>8660</v>
      </c>
      <c r="G110" s="86" t="str">
        <f>IF(SUMIFS(Journal!$D$3:$D$143,Journal!$A$3:$A$143,$B110,Journal!$E$3:$E$143,G$3)=0,"",SUMIFS(Journal!$D$3:$D$143,Journal!$A$3:$A$143,$B110,Journal!$E$3:$E$143,G$3))</f>
        <v/>
      </c>
      <c r="H110" s="86" t="str">
        <f>IF(SUMIFS(Journal!$D$3:$D$143,Journal!$A$3:$A$143,$B110,Journal!$F$3:$F$143,G$3)=0,"",SUMIFS(Journal!$D$3:$D$143,Journal!$A$3:$A$143,$B110,Journal!$F$3:$F$143,G$3))</f>
        <v/>
      </c>
      <c r="I110" s="86" t="str">
        <f>IF(SUMIFS(Journal!$D$3:$D$143,Journal!$A$3:$A$143,$B110,Journal!$E$3:$E$143,I$3)=0,"",SUMIFS(Journal!$D$3:$D$143,Journal!$A$3:$A$143,$B110,Journal!$E$3:$E$143,I$3))</f>
        <v/>
      </c>
      <c r="J110" s="86" t="str">
        <f>IF(SUMIFS(Journal!$D$3:$D$143,Journal!$A$3:$A$143,$B110,Journal!$F$3:$F$143,I$3)=0,"",SUMIFS(Journal!$D$3:$D$143,Journal!$A$3:$A$143,$B110,Journal!$F$3:$F$143,I$3))</f>
        <v/>
      </c>
      <c r="K110" s="86" t="str">
        <f>IF(SUMIFS(Journal!$D$3:$D$143,Journal!$A$3:$A$143,$B110,Journal!$E$3:$E$143,K$3)=0,"",SUMIFS(Journal!$D$3:$D$143,Journal!$A$3:$A$143,$B110,Journal!$E$3:$E$143,K$3))</f>
        <v/>
      </c>
      <c r="L110" s="86" t="str">
        <f>IF(SUMIFS(Journal!$D$3:$D$143,Journal!$A$3:$A$143,$B110,Journal!$F$3:$F$143,K$3)=0,"",SUMIFS(Journal!$D$3:$D$143,Journal!$A$3:$A$143,$B110,Journal!$F$3:$F$143,K$3))</f>
        <v/>
      </c>
      <c r="M110" s="86" t="str">
        <f>IF(SUMIFS(Journal!$D$3:$D$143,Journal!$A$3:$A$143,$B110,Journal!$E$3:$E$143,M$3)=0,"",SUMIFS(Journal!$D$3:$D$143,Journal!$A$3:$A$143,$B110,Journal!$E$3:$E$143,M$3))</f>
        <v/>
      </c>
      <c r="N110" s="86" t="str">
        <f>IF(SUMIFS(Journal!$D$3:$D$143,Journal!$A$3:$A$143,$B110,Journal!$F$3:$F$143,M$3)=0,"",SUMIFS(Journal!$D$3:$D$143,Journal!$A$3:$A$143,$B110,Journal!$F$3:$F$143,M$3))</f>
        <v/>
      </c>
      <c r="O110" s="86" t="str">
        <f>IF(SUMIFS(Journal!$D$3:$D$143,Journal!$A$3:$A$143,$B110,Journal!$E$3:$E$143,O$3)=0,"",SUMIFS(Journal!$D$3:$D$143,Journal!$A$3:$A$143,$B110,Journal!$E$3:$E$143,O$3))</f>
        <v/>
      </c>
      <c r="P110" s="86" t="str">
        <f>IF(SUMIFS(Journal!$D$3:$D$143,Journal!$A$3:$A$143,$B110,Journal!$F$3:$F$143,O$3)=0,"",SUMIFS(Journal!$D$3:$D$143,Journal!$A$3:$A$143,$B110,Journal!$F$3:$F$143,O$3))</f>
        <v/>
      </c>
      <c r="Q110" s="86" t="str">
        <f>IF(SUMIFS(Journal!$D$3:$D$143,Journal!$A$3:$A$143,$B110,Journal!$E$3:$E$143,Q$3)=0,"",SUMIFS(Journal!$D$3:$D$143,Journal!$A$3:$A$143,$B110,Journal!$E$3:$E$143,Q$3))</f>
        <v/>
      </c>
      <c r="R110" s="86" t="str">
        <f>IF(SUMIFS(Journal!$D$3:$D$143,Journal!$A$3:$A$143,$B110,Journal!$F$3:$F$143,Q$3)=0,"",SUMIFS(Journal!$D$3:$D$143,Journal!$A$3:$A$143,$B110,Journal!$F$3:$F$143,Q$3))</f>
        <v/>
      </c>
      <c r="S110" s="86" t="str">
        <f>IF(SUMIFS(Journal!$D$3:$D$143,Journal!$A$3:$A$143,$B110,Journal!$E$3:$E$143,S$3)=0,"",SUMIFS(Journal!$D$3:$D$143,Journal!$A$3:$A$143,$B110,Journal!$E$3:$E$143,S$3))</f>
        <v/>
      </c>
      <c r="T110" s="86" t="str">
        <f>IF(SUMIFS(Journal!$D$3:$D$143,Journal!$A$3:$A$143,$B110,Journal!$F$3:$F$143,S$3)=0,"",SUMIFS(Journal!$D$3:$D$143,Journal!$A$3:$A$143,$B110,Journal!$F$3:$F$143,S$3))</f>
        <v/>
      </c>
      <c r="U110" s="86" t="str">
        <f>IF(SUMIFS(Journal!$D$3:$D$143,Journal!$A$3:$A$143,$B110,Journal!$E$3:$E$143,U$3)=0,"",SUMIFS(Journal!$D$3:$D$143,Journal!$A$3:$A$143,$B110,Journal!$E$3:$E$143,U$3))</f>
        <v/>
      </c>
      <c r="V110" s="86" t="str">
        <f>IF(SUMIFS(Journal!$D$3:$D$143,Journal!$A$3:$A$143,$B110,Journal!$F$3:$F$143,U$3)=0,"",SUMIFS(Journal!$D$3:$D$143,Journal!$A$3:$A$143,$B110,Journal!$F$3:$F$143,U$3))</f>
        <v/>
      </c>
      <c r="W110" s="86" t="str">
        <f>IF(SUMIFS(Journal!$D$3:$D$143,Journal!$A$3:$A$143,$B110,Journal!$E$3:$E$143,W$3)=0,"",SUMIFS(Journal!$D$3:$D$143,Journal!$A$3:$A$143,$B110,Journal!$E$3:$E$143,W$3))</f>
        <v/>
      </c>
      <c r="X110" s="86" t="str">
        <f>IF(SUMIFS(Journal!$D$3:$D$143,Journal!$A$3:$A$143,$B110,Journal!$F$3:$F$143,W$3)=0,"",SUMIFS(Journal!$D$3:$D$143,Journal!$A$3:$A$143,$B110,Journal!$F$3:$F$143,W$3))</f>
        <v/>
      </c>
      <c r="Y110" s="86" t="str">
        <f>IF(SUMIFS(Journal!$D$3:$D$143,Journal!$A$3:$A$143,$B110,Journal!$E$3:$E$143,Y$3)=0,"",SUMIFS(Journal!$D$3:$D$143,Journal!$A$3:$A$143,$B110,Journal!$E$3:$E$143,Y$3))</f>
        <v/>
      </c>
      <c r="Z110" s="86" t="str">
        <f>IF(SUMIFS(Journal!$D$3:$D$143,Journal!$A$3:$A$143,$B110,Journal!$F$3:$F$143,Y$3)=0,"",SUMIFS(Journal!$D$3:$D$143,Journal!$A$3:$A$143,$B110,Journal!$F$3:$F$143,Y$3))</f>
        <v/>
      </c>
      <c r="AA110" s="86" t="str">
        <f>IF(SUMIFS(Journal!$D$3:$D$143,Journal!$A$3:$A$143,$B110,Journal!$E$3:$E$143,AA$3)=0,"",SUMIFS(Journal!$D$3:$D$143,Journal!$A$3:$A$143,$B110,Journal!$E$3:$E$143,AA$3))</f>
        <v/>
      </c>
      <c r="AB110" s="86" t="str">
        <f>IF(SUMIFS(Journal!$D$3:$D$143,Journal!$A$3:$A$143,$B110,Journal!$F$3:$F$143,AA$3)=0,"",SUMIFS(Journal!$D$3:$D$143,Journal!$A$3:$A$143,$B110,Journal!$F$3:$F$143,AA$3))</f>
        <v/>
      </c>
      <c r="AC110" s="86" t="str">
        <f>IF(SUMIFS(Journal!$D$3:$D$143,Journal!$A$3:$A$143,$B110,Journal!$E$3:$E$143,AC$3)=0,"",SUMIFS(Journal!$D$3:$D$143,Journal!$A$3:$A$143,$B110,Journal!$E$3:$E$143,AC$3))</f>
        <v/>
      </c>
      <c r="AD110" s="86" t="str">
        <f>IF(SUMIFS(Journal!$D$3:$D$143,Journal!$A$3:$A$143,$B110,Journal!$F$3:$F$143,AC$3)=0,"",SUMIFS(Journal!$D$3:$D$143,Journal!$A$3:$A$143,$B110,Journal!$F$3:$F$143,AC$3))</f>
        <v/>
      </c>
      <c r="AE110" s="86" t="str">
        <f>IF(SUMIFS(Journal!$D$3:$D$143,Journal!$A$3:$A$143,$B110,Journal!$E$3:$E$143,AE$3)=0,"",SUMIFS(Journal!$D$3:$D$143,Journal!$A$3:$A$143,$B110,Journal!$E$3:$E$143,AE$3))</f>
        <v/>
      </c>
      <c r="AF110" s="86" t="str">
        <f>IF(SUMIFS(Journal!$D$3:$D$143,Journal!$A$3:$A$143,$B110,Journal!$F$3:$F$143,AE$3)=0,"",SUMIFS(Journal!$D$3:$D$143,Journal!$A$3:$A$143,$B110,Journal!$F$3:$F$143,AE$3))</f>
        <v/>
      </c>
      <c r="AG110" s="86">
        <f>IF(SUMIFS(Journal!$D$3:$D$143,Journal!$A$3:$A$143,$B110,Journal!$E$3:$E$143,AG$3)=0,"",SUMIFS(Journal!$D$3:$D$143,Journal!$A$3:$A$143,$B110,Journal!$E$3:$E$143,AG$3))</f>
        <v>8660</v>
      </c>
      <c r="AH110" s="86" t="str">
        <f>IF(SUMIFS(Journal!$D$3:$D$143,Journal!$A$3:$A$143,$B110,Journal!$F$3:$F$143,AG$3)=0,"",SUMIFS(Journal!$D$3:$D$143,Journal!$A$3:$A$143,$B110,Journal!$F$3:$F$143,AG$3))</f>
        <v/>
      </c>
      <c r="AI110" s="86" t="str">
        <f>IF(SUMIFS(Journal!$D$3:$D$143,Journal!$A$3:$A$143,$B110,Journal!$E$3:$E$143,AI$3)=0,"",SUMIFS(Journal!$D$3:$D$143,Journal!$A$3:$A$143,$B110,Journal!$E$3:$E$143,AI$3))</f>
        <v/>
      </c>
      <c r="AJ110" s="86" t="str">
        <f>IF(SUMIFS(Journal!$D$3:$D$143,Journal!$A$3:$A$143,$B110,Journal!$F$3:$F$143,AI$3)=0,"",SUMIFS(Journal!$D$3:$D$143,Journal!$A$3:$A$143,$B110,Journal!$F$3:$F$143,AI$3))</f>
        <v/>
      </c>
      <c r="AK110" s="86" t="str">
        <f>IF(SUMIFS(Journal!$D$3:$D$143,Journal!$A$3:$A$143,$B110,Journal!$E$3:$E$143,AK$3)=0,"",SUMIFS(Journal!$D$3:$D$143,Journal!$A$3:$A$143,$B110,Journal!$E$3:$E$143,AK$3))</f>
        <v/>
      </c>
      <c r="AL110" s="86" t="str">
        <f>IF(SUMIFS(Journal!$D$3:$D$143,Journal!$A$3:$A$143,$B110,Journal!$F$3:$F$143,AK$3)=0,"",SUMIFS(Journal!$D$3:$D$143,Journal!$A$3:$A$143,$B110,Journal!$F$3:$F$143,AK$3))</f>
        <v/>
      </c>
      <c r="AM110" s="86" t="str">
        <f>IF(SUMIFS(Journal!$D$3:$D$143,Journal!$A$3:$A$143,$B110,Journal!$E$3:$E$143,AM$3)=0,"",SUMIFS(Journal!$D$3:$D$143,Journal!$A$3:$A$143,$B110,Journal!$E$3:$E$143,AM$3))</f>
        <v/>
      </c>
      <c r="AN110" s="86" t="str">
        <f>IF(SUMIFS(Journal!$D$3:$D$143,Journal!$A$3:$A$143,$B110,Journal!$F$3:$F$143,AM$3)=0,"",SUMIFS(Journal!$D$3:$D$143,Journal!$A$3:$A$143,$B110,Journal!$F$3:$F$143,AM$3))</f>
        <v/>
      </c>
      <c r="AO110" s="86" t="str">
        <f>IF(SUMIFS(Journal!$D$3:$D$143,Journal!$A$3:$A$143,$B110,Journal!$E$3:$E$143,AO$3)=0,"",SUMIFS(Journal!$D$3:$D$143,Journal!$A$3:$A$143,$B110,Journal!$E$3:$E$143,AO$3))</f>
        <v/>
      </c>
      <c r="AP110" s="86" t="str">
        <f>IF(SUMIFS(Journal!$D$3:$D$143,Journal!$A$3:$A$143,$B110,Journal!$F$3:$F$143,AO$3)=0,"",SUMIFS(Journal!$D$3:$D$143,Journal!$A$3:$A$143,$B110,Journal!$F$3:$F$143,AO$3))</f>
        <v/>
      </c>
      <c r="AQ110" s="86" t="str">
        <f>IF(SUMIFS(Journal!$D$3:$D$143,Journal!$A$3:$A$143,$B110,Journal!$E$3:$E$143,AQ$3)=0,"",SUMIFS(Journal!$D$3:$D$143,Journal!$A$3:$A$143,$B110,Journal!$E$3:$E$143,AQ$3))</f>
        <v/>
      </c>
      <c r="AR110" s="86" t="str">
        <f>IF(SUMIFS(Journal!$D$3:$D$143,Journal!$A$3:$A$143,$B110,Journal!$F$3:$F$143,AQ$3)=0,"",SUMIFS(Journal!$D$3:$D$143,Journal!$A$3:$A$143,$B110,Journal!$F$3:$F$143,AQ$3))</f>
        <v/>
      </c>
      <c r="AS110" s="86" t="str">
        <f>IF(SUMIFS(Journal!$D$3:$D$143,Journal!$A$3:$A$143,$B110,Journal!$E$3:$E$143,AS$3)=0,"",SUMIFS(Journal!$D$3:$D$143,Journal!$A$3:$A$143,$B110,Journal!$E$3:$E$143,AS$3))</f>
        <v/>
      </c>
      <c r="AT110" s="86" t="str">
        <f>IF(SUMIFS(Journal!$D$3:$D$143,Journal!$A$3:$A$143,$B110,Journal!$F$3:$F$143,AS$3)=0,"",SUMIFS(Journal!$D$3:$D$143,Journal!$A$3:$A$143,$B110,Journal!$F$3:$F$143,AS$3))</f>
        <v/>
      </c>
      <c r="AU110" s="86" t="str">
        <f>IF(SUMIFS(Journal!$D$3:$D$143,Journal!$A$3:$A$143,$B110,Journal!$E$3:$E$143,AU$3)=0,"",SUMIFS(Journal!$D$3:$D$143,Journal!$A$3:$A$143,$B110,Journal!$E$3:$E$143,AU$3))</f>
        <v/>
      </c>
      <c r="AV110" s="86" t="str">
        <f>IF(SUMIFS(Journal!$D$3:$D$143,Journal!$A$3:$A$143,$B110,Journal!$F$3:$F$143,AU$3)=0,"",SUMIFS(Journal!$D$3:$D$143,Journal!$A$3:$A$143,$B110,Journal!$F$3:$F$143,AU$3))</f>
        <v/>
      </c>
      <c r="AW110" s="86" t="str">
        <f>IF(SUMIFS(Journal!$D$3:$D$143,Journal!$A$3:$A$143,$B110,Journal!$E$3:$E$143,AW$3)=0,"",SUMIFS(Journal!$D$3:$D$143,Journal!$A$3:$A$143,$B110,Journal!$E$3:$E$143,AW$3))</f>
        <v/>
      </c>
      <c r="AX110" s="86" t="str">
        <f>IF(SUMIFS(Journal!$D$3:$D$143,Journal!$A$3:$A$143,$B110,Journal!$F$3:$F$143,AW$3)=0,"",SUMIFS(Journal!$D$3:$D$143,Journal!$A$3:$A$143,$B110,Journal!$F$3:$F$143,AW$3))</f>
        <v/>
      </c>
      <c r="AY110" s="86" t="str">
        <f>IF(SUMIFS(Journal!$D$3:$D$143,Journal!$A$3:$A$143,$B110,Journal!$E$3:$E$143,AY$3)=0,"",SUMIFS(Journal!$D$3:$D$143,Journal!$A$3:$A$143,$B110,Journal!$E$3:$E$143,AY$3))</f>
        <v/>
      </c>
      <c r="AZ110" s="86" t="str">
        <f>IF(SUMIFS(Journal!$D$3:$D$143,Journal!$A$3:$A$143,$B110,Journal!$F$3:$F$143,AY$3)=0,"",SUMIFS(Journal!$D$3:$D$143,Journal!$A$3:$A$143,$B110,Journal!$F$3:$F$143,AY$3))</f>
        <v/>
      </c>
      <c r="BA110" s="86" t="str">
        <f>IF(SUMIFS(Journal!$D$3:$D$143,Journal!$A$3:$A$143,$B110,Journal!$E$3:$E$143,BA$3)=0,"",SUMIFS(Journal!$D$3:$D$143,Journal!$A$3:$A$143,$B110,Journal!$E$3:$E$143,BA$3))</f>
        <v/>
      </c>
      <c r="BB110" s="86" t="str">
        <f>IF(SUMIFS(Journal!$D$3:$D$143,Journal!$A$3:$A$143,$B110,Journal!$F$3:$F$143,BA$3)=0,"",SUMIFS(Journal!$D$3:$D$143,Journal!$A$3:$A$143,$B110,Journal!$F$3:$F$143,BA$3))</f>
        <v/>
      </c>
    </row>
    <row r="111">
      <c r="A111" s="84">
        <f>VLOOKUP(B111,Journal!$A$3:$C$143,2,FALSE)</f>
        <v>45596</v>
      </c>
      <c r="B111" s="85" t="s">
        <v>593</v>
      </c>
      <c r="C111" s="86" t="str">
        <f>VLOOKUP(B111,Journal!$A$3:$C$143,3,FALSE)</f>
        <v>Monthly utility settlement</v>
      </c>
      <c r="D111" s="86">
        <f>SUMIF(Journal!$A$3:$A$143,B111,Journal!$D$3:$D$143)</f>
        <v>879</v>
      </c>
      <c r="E111" s="86" t="str">
        <f>IF(SUMIFS(Journal!$D$3:$D$143,Journal!$A$3:$A$143,$B111,Journal!$E$3:$E$143,E$3)=0,"",SUMIFS(Journal!$D$3:$D$143,Journal!$A$3:$A$143,$B111,Journal!$E$3:$E$143,E$3))</f>
        <v/>
      </c>
      <c r="F111" s="86">
        <f>IF(SUMIFS(Journal!$D$3:$D$143,Journal!$A$3:$A$143,$B111,Journal!$F$3:$F$143,E$3)=0,"",SUMIFS(Journal!$D$3:$D$143,Journal!$A$3:$A$143,$B111,Journal!$F$3:$F$143,E$3))</f>
        <v>879</v>
      </c>
      <c r="G111" s="86" t="str">
        <f>IF(SUMIFS(Journal!$D$3:$D$143,Journal!$A$3:$A$143,$B111,Journal!$E$3:$E$143,G$3)=0,"",SUMIFS(Journal!$D$3:$D$143,Journal!$A$3:$A$143,$B111,Journal!$E$3:$E$143,G$3))</f>
        <v/>
      </c>
      <c r="H111" s="86" t="str">
        <f>IF(SUMIFS(Journal!$D$3:$D$143,Journal!$A$3:$A$143,$B111,Journal!$F$3:$F$143,G$3)=0,"",SUMIFS(Journal!$D$3:$D$143,Journal!$A$3:$A$143,$B111,Journal!$F$3:$F$143,G$3))</f>
        <v/>
      </c>
      <c r="I111" s="86" t="str">
        <f>IF(SUMIFS(Journal!$D$3:$D$143,Journal!$A$3:$A$143,$B111,Journal!$E$3:$E$143,I$3)=0,"",SUMIFS(Journal!$D$3:$D$143,Journal!$A$3:$A$143,$B111,Journal!$E$3:$E$143,I$3))</f>
        <v/>
      </c>
      <c r="J111" s="86" t="str">
        <f>IF(SUMIFS(Journal!$D$3:$D$143,Journal!$A$3:$A$143,$B111,Journal!$F$3:$F$143,I$3)=0,"",SUMIFS(Journal!$D$3:$D$143,Journal!$A$3:$A$143,$B111,Journal!$F$3:$F$143,I$3))</f>
        <v/>
      </c>
      <c r="K111" s="86" t="str">
        <f>IF(SUMIFS(Journal!$D$3:$D$143,Journal!$A$3:$A$143,$B111,Journal!$E$3:$E$143,K$3)=0,"",SUMIFS(Journal!$D$3:$D$143,Journal!$A$3:$A$143,$B111,Journal!$E$3:$E$143,K$3))</f>
        <v/>
      </c>
      <c r="L111" s="86" t="str">
        <f>IF(SUMIFS(Journal!$D$3:$D$143,Journal!$A$3:$A$143,$B111,Journal!$F$3:$F$143,K$3)=0,"",SUMIFS(Journal!$D$3:$D$143,Journal!$A$3:$A$143,$B111,Journal!$F$3:$F$143,K$3))</f>
        <v/>
      </c>
      <c r="M111" s="86" t="str">
        <f>IF(SUMIFS(Journal!$D$3:$D$143,Journal!$A$3:$A$143,$B111,Journal!$E$3:$E$143,M$3)=0,"",SUMIFS(Journal!$D$3:$D$143,Journal!$A$3:$A$143,$B111,Journal!$E$3:$E$143,M$3))</f>
        <v/>
      </c>
      <c r="N111" s="86" t="str">
        <f>IF(SUMIFS(Journal!$D$3:$D$143,Journal!$A$3:$A$143,$B111,Journal!$F$3:$F$143,M$3)=0,"",SUMIFS(Journal!$D$3:$D$143,Journal!$A$3:$A$143,$B111,Journal!$F$3:$F$143,M$3))</f>
        <v/>
      </c>
      <c r="O111" s="86" t="str">
        <f>IF(SUMIFS(Journal!$D$3:$D$143,Journal!$A$3:$A$143,$B111,Journal!$E$3:$E$143,O$3)=0,"",SUMIFS(Journal!$D$3:$D$143,Journal!$A$3:$A$143,$B111,Journal!$E$3:$E$143,O$3))</f>
        <v/>
      </c>
      <c r="P111" s="86" t="str">
        <f>IF(SUMIFS(Journal!$D$3:$D$143,Journal!$A$3:$A$143,$B111,Journal!$F$3:$F$143,O$3)=0,"",SUMIFS(Journal!$D$3:$D$143,Journal!$A$3:$A$143,$B111,Journal!$F$3:$F$143,O$3))</f>
        <v/>
      </c>
      <c r="Q111" s="86" t="str">
        <f>IF(SUMIFS(Journal!$D$3:$D$143,Journal!$A$3:$A$143,$B111,Journal!$E$3:$E$143,Q$3)=0,"",SUMIFS(Journal!$D$3:$D$143,Journal!$A$3:$A$143,$B111,Journal!$E$3:$E$143,Q$3))</f>
        <v/>
      </c>
      <c r="R111" s="86" t="str">
        <f>IF(SUMIFS(Journal!$D$3:$D$143,Journal!$A$3:$A$143,$B111,Journal!$F$3:$F$143,Q$3)=0,"",SUMIFS(Journal!$D$3:$D$143,Journal!$A$3:$A$143,$B111,Journal!$F$3:$F$143,Q$3))</f>
        <v/>
      </c>
      <c r="S111" s="86" t="str">
        <f>IF(SUMIFS(Journal!$D$3:$D$143,Journal!$A$3:$A$143,$B111,Journal!$E$3:$E$143,S$3)=0,"",SUMIFS(Journal!$D$3:$D$143,Journal!$A$3:$A$143,$B111,Journal!$E$3:$E$143,S$3))</f>
        <v/>
      </c>
      <c r="T111" s="86" t="str">
        <f>IF(SUMIFS(Journal!$D$3:$D$143,Journal!$A$3:$A$143,$B111,Journal!$F$3:$F$143,S$3)=0,"",SUMIFS(Journal!$D$3:$D$143,Journal!$A$3:$A$143,$B111,Journal!$F$3:$F$143,S$3))</f>
        <v/>
      </c>
      <c r="U111" s="86" t="str">
        <f>IF(SUMIFS(Journal!$D$3:$D$143,Journal!$A$3:$A$143,$B111,Journal!$E$3:$E$143,U$3)=0,"",SUMIFS(Journal!$D$3:$D$143,Journal!$A$3:$A$143,$B111,Journal!$E$3:$E$143,U$3))</f>
        <v/>
      </c>
      <c r="V111" s="86" t="str">
        <f>IF(SUMIFS(Journal!$D$3:$D$143,Journal!$A$3:$A$143,$B111,Journal!$F$3:$F$143,U$3)=0,"",SUMIFS(Journal!$D$3:$D$143,Journal!$A$3:$A$143,$B111,Journal!$F$3:$F$143,U$3))</f>
        <v/>
      </c>
      <c r="W111" s="86" t="str">
        <f>IF(SUMIFS(Journal!$D$3:$D$143,Journal!$A$3:$A$143,$B111,Journal!$E$3:$E$143,W$3)=0,"",SUMIFS(Journal!$D$3:$D$143,Journal!$A$3:$A$143,$B111,Journal!$E$3:$E$143,W$3))</f>
        <v/>
      </c>
      <c r="X111" s="86" t="str">
        <f>IF(SUMIFS(Journal!$D$3:$D$143,Journal!$A$3:$A$143,$B111,Journal!$F$3:$F$143,W$3)=0,"",SUMIFS(Journal!$D$3:$D$143,Journal!$A$3:$A$143,$B111,Journal!$F$3:$F$143,W$3))</f>
        <v/>
      </c>
      <c r="Y111" s="86" t="str">
        <f>IF(SUMIFS(Journal!$D$3:$D$143,Journal!$A$3:$A$143,$B111,Journal!$E$3:$E$143,Y$3)=0,"",SUMIFS(Journal!$D$3:$D$143,Journal!$A$3:$A$143,$B111,Journal!$E$3:$E$143,Y$3))</f>
        <v/>
      </c>
      <c r="Z111" s="86" t="str">
        <f>IF(SUMIFS(Journal!$D$3:$D$143,Journal!$A$3:$A$143,$B111,Journal!$F$3:$F$143,Y$3)=0,"",SUMIFS(Journal!$D$3:$D$143,Journal!$A$3:$A$143,$B111,Journal!$F$3:$F$143,Y$3))</f>
        <v/>
      </c>
      <c r="AA111" s="86" t="str">
        <f>IF(SUMIFS(Journal!$D$3:$D$143,Journal!$A$3:$A$143,$B111,Journal!$E$3:$E$143,AA$3)=0,"",SUMIFS(Journal!$D$3:$D$143,Journal!$A$3:$A$143,$B111,Journal!$E$3:$E$143,AA$3))</f>
        <v/>
      </c>
      <c r="AB111" s="86" t="str">
        <f>IF(SUMIFS(Journal!$D$3:$D$143,Journal!$A$3:$A$143,$B111,Journal!$F$3:$F$143,AA$3)=0,"",SUMIFS(Journal!$D$3:$D$143,Journal!$A$3:$A$143,$B111,Journal!$F$3:$F$143,AA$3))</f>
        <v/>
      </c>
      <c r="AC111" s="86" t="str">
        <f>IF(SUMIFS(Journal!$D$3:$D$143,Journal!$A$3:$A$143,$B111,Journal!$E$3:$E$143,AC$3)=0,"",SUMIFS(Journal!$D$3:$D$143,Journal!$A$3:$A$143,$B111,Journal!$E$3:$E$143,AC$3))</f>
        <v/>
      </c>
      <c r="AD111" s="86" t="str">
        <f>IF(SUMIFS(Journal!$D$3:$D$143,Journal!$A$3:$A$143,$B111,Journal!$F$3:$F$143,AC$3)=0,"",SUMIFS(Journal!$D$3:$D$143,Journal!$A$3:$A$143,$B111,Journal!$F$3:$F$143,AC$3))</f>
        <v/>
      </c>
      <c r="AE111" s="86" t="str">
        <f>IF(SUMIFS(Journal!$D$3:$D$143,Journal!$A$3:$A$143,$B111,Journal!$E$3:$E$143,AE$3)=0,"",SUMIFS(Journal!$D$3:$D$143,Journal!$A$3:$A$143,$B111,Journal!$E$3:$E$143,AE$3))</f>
        <v/>
      </c>
      <c r="AF111" s="86" t="str">
        <f>IF(SUMIFS(Journal!$D$3:$D$143,Journal!$A$3:$A$143,$B111,Journal!$F$3:$F$143,AE$3)=0,"",SUMIFS(Journal!$D$3:$D$143,Journal!$A$3:$A$143,$B111,Journal!$F$3:$F$143,AE$3))</f>
        <v/>
      </c>
      <c r="AG111" s="86" t="str">
        <f>IF(SUMIFS(Journal!$D$3:$D$143,Journal!$A$3:$A$143,$B111,Journal!$E$3:$E$143,AG$3)=0,"",SUMIFS(Journal!$D$3:$D$143,Journal!$A$3:$A$143,$B111,Journal!$E$3:$E$143,AG$3))</f>
        <v/>
      </c>
      <c r="AH111" s="86" t="str">
        <f>IF(SUMIFS(Journal!$D$3:$D$143,Journal!$A$3:$A$143,$B111,Journal!$F$3:$F$143,AG$3)=0,"",SUMIFS(Journal!$D$3:$D$143,Journal!$A$3:$A$143,$B111,Journal!$F$3:$F$143,AG$3))</f>
        <v/>
      </c>
      <c r="AI111" s="86" t="str">
        <f>IF(SUMIFS(Journal!$D$3:$D$143,Journal!$A$3:$A$143,$B111,Journal!$E$3:$E$143,AI$3)=0,"",SUMIFS(Journal!$D$3:$D$143,Journal!$A$3:$A$143,$B111,Journal!$E$3:$E$143,AI$3))</f>
        <v/>
      </c>
      <c r="AJ111" s="86" t="str">
        <f>IF(SUMIFS(Journal!$D$3:$D$143,Journal!$A$3:$A$143,$B111,Journal!$F$3:$F$143,AI$3)=0,"",SUMIFS(Journal!$D$3:$D$143,Journal!$A$3:$A$143,$B111,Journal!$F$3:$F$143,AI$3))</f>
        <v/>
      </c>
      <c r="AK111" s="86" t="str">
        <f>IF(SUMIFS(Journal!$D$3:$D$143,Journal!$A$3:$A$143,$B111,Journal!$E$3:$E$143,AK$3)=0,"",SUMIFS(Journal!$D$3:$D$143,Journal!$A$3:$A$143,$B111,Journal!$E$3:$E$143,AK$3))</f>
        <v/>
      </c>
      <c r="AL111" s="86" t="str">
        <f>IF(SUMIFS(Journal!$D$3:$D$143,Journal!$A$3:$A$143,$B111,Journal!$F$3:$F$143,AK$3)=0,"",SUMIFS(Journal!$D$3:$D$143,Journal!$A$3:$A$143,$B111,Journal!$F$3:$F$143,AK$3))</f>
        <v/>
      </c>
      <c r="AM111" s="86">
        <f>IF(SUMIFS(Journal!$D$3:$D$143,Journal!$A$3:$A$143,$B111,Journal!$E$3:$E$143,AM$3)=0,"",SUMIFS(Journal!$D$3:$D$143,Journal!$A$3:$A$143,$B111,Journal!$E$3:$E$143,AM$3))</f>
        <v>879</v>
      </c>
      <c r="AN111" s="86" t="str">
        <f>IF(SUMIFS(Journal!$D$3:$D$143,Journal!$A$3:$A$143,$B111,Journal!$F$3:$F$143,AM$3)=0,"",SUMIFS(Journal!$D$3:$D$143,Journal!$A$3:$A$143,$B111,Journal!$F$3:$F$143,AM$3))</f>
        <v/>
      </c>
      <c r="AO111" s="86" t="str">
        <f>IF(SUMIFS(Journal!$D$3:$D$143,Journal!$A$3:$A$143,$B111,Journal!$E$3:$E$143,AO$3)=0,"",SUMIFS(Journal!$D$3:$D$143,Journal!$A$3:$A$143,$B111,Journal!$E$3:$E$143,AO$3))</f>
        <v/>
      </c>
      <c r="AP111" s="86" t="str">
        <f>IF(SUMIFS(Journal!$D$3:$D$143,Journal!$A$3:$A$143,$B111,Journal!$F$3:$F$143,AO$3)=0,"",SUMIFS(Journal!$D$3:$D$143,Journal!$A$3:$A$143,$B111,Journal!$F$3:$F$143,AO$3))</f>
        <v/>
      </c>
      <c r="AQ111" s="86" t="str">
        <f>IF(SUMIFS(Journal!$D$3:$D$143,Journal!$A$3:$A$143,$B111,Journal!$E$3:$E$143,AQ$3)=0,"",SUMIFS(Journal!$D$3:$D$143,Journal!$A$3:$A$143,$B111,Journal!$E$3:$E$143,AQ$3))</f>
        <v/>
      </c>
      <c r="AR111" s="86" t="str">
        <f>IF(SUMIFS(Journal!$D$3:$D$143,Journal!$A$3:$A$143,$B111,Journal!$F$3:$F$143,AQ$3)=0,"",SUMIFS(Journal!$D$3:$D$143,Journal!$A$3:$A$143,$B111,Journal!$F$3:$F$143,AQ$3))</f>
        <v/>
      </c>
      <c r="AS111" s="86" t="str">
        <f>IF(SUMIFS(Journal!$D$3:$D$143,Journal!$A$3:$A$143,$B111,Journal!$E$3:$E$143,AS$3)=0,"",SUMIFS(Journal!$D$3:$D$143,Journal!$A$3:$A$143,$B111,Journal!$E$3:$E$143,AS$3))</f>
        <v/>
      </c>
      <c r="AT111" s="86" t="str">
        <f>IF(SUMIFS(Journal!$D$3:$D$143,Journal!$A$3:$A$143,$B111,Journal!$F$3:$F$143,AS$3)=0,"",SUMIFS(Journal!$D$3:$D$143,Journal!$A$3:$A$143,$B111,Journal!$F$3:$F$143,AS$3))</f>
        <v/>
      </c>
      <c r="AU111" s="86" t="str">
        <f>IF(SUMIFS(Journal!$D$3:$D$143,Journal!$A$3:$A$143,$B111,Journal!$E$3:$E$143,AU$3)=0,"",SUMIFS(Journal!$D$3:$D$143,Journal!$A$3:$A$143,$B111,Journal!$E$3:$E$143,AU$3))</f>
        <v/>
      </c>
      <c r="AV111" s="86" t="str">
        <f>IF(SUMIFS(Journal!$D$3:$D$143,Journal!$A$3:$A$143,$B111,Journal!$F$3:$F$143,AU$3)=0,"",SUMIFS(Journal!$D$3:$D$143,Journal!$A$3:$A$143,$B111,Journal!$F$3:$F$143,AU$3))</f>
        <v/>
      </c>
      <c r="AW111" s="86" t="str">
        <f>IF(SUMIFS(Journal!$D$3:$D$143,Journal!$A$3:$A$143,$B111,Journal!$E$3:$E$143,AW$3)=0,"",SUMIFS(Journal!$D$3:$D$143,Journal!$A$3:$A$143,$B111,Journal!$E$3:$E$143,AW$3))</f>
        <v/>
      </c>
      <c r="AX111" s="86" t="str">
        <f>IF(SUMIFS(Journal!$D$3:$D$143,Journal!$A$3:$A$143,$B111,Journal!$F$3:$F$143,AW$3)=0,"",SUMIFS(Journal!$D$3:$D$143,Journal!$A$3:$A$143,$B111,Journal!$F$3:$F$143,AW$3))</f>
        <v/>
      </c>
      <c r="AY111" s="86" t="str">
        <f>IF(SUMIFS(Journal!$D$3:$D$143,Journal!$A$3:$A$143,$B111,Journal!$E$3:$E$143,AY$3)=0,"",SUMIFS(Journal!$D$3:$D$143,Journal!$A$3:$A$143,$B111,Journal!$E$3:$E$143,AY$3))</f>
        <v/>
      </c>
      <c r="AZ111" s="86" t="str">
        <f>IF(SUMIFS(Journal!$D$3:$D$143,Journal!$A$3:$A$143,$B111,Journal!$F$3:$F$143,AY$3)=0,"",SUMIFS(Journal!$D$3:$D$143,Journal!$A$3:$A$143,$B111,Journal!$F$3:$F$143,AY$3))</f>
        <v/>
      </c>
      <c r="BA111" s="86" t="str">
        <f>IF(SUMIFS(Journal!$D$3:$D$143,Journal!$A$3:$A$143,$B111,Journal!$E$3:$E$143,BA$3)=0,"",SUMIFS(Journal!$D$3:$D$143,Journal!$A$3:$A$143,$B111,Journal!$E$3:$E$143,BA$3))</f>
        <v/>
      </c>
      <c r="BB111" s="86" t="str">
        <f>IF(SUMIFS(Journal!$D$3:$D$143,Journal!$A$3:$A$143,$B111,Journal!$F$3:$F$143,BA$3)=0,"",SUMIFS(Journal!$D$3:$D$143,Journal!$A$3:$A$143,$B111,Journal!$F$3:$F$143,BA$3))</f>
        <v/>
      </c>
    </row>
    <row r="112">
      <c r="A112" s="84">
        <f>VLOOKUP(B112,Journal!$A$3:$C$143,2,FALSE)</f>
        <v>45597</v>
      </c>
      <c r="B112" s="85" t="s">
        <v>596</v>
      </c>
      <c r="C112" s="86" t="str">
        <f>VLOOKUP(B112,Journal!$A$3:$C$143,3,FALSE)</f>
        <v>Monthly facility rent</v>
      </c>
      <c r="D112" s="86">
        <f>SUMIF(Journal!$A$3:$A$143,B112,Journal!$D$3:$D$143)</f>
        <v>5400</v>
      </c>
      <c r="E112" s="86" t="str">
        <f>IF(SUMIFS(Journal!$D$3:$D$143,Journal!$A$3:$A$143,$B112,Journal!$E$3:$E$143,E$3)=0,"",SUMIFS(Journal!$D$3:$D$143,Journal!$A$3:$A$143,$B112,Journal!$E$3:$E$143,E$3))</f>
        <v/>
      </c>
      <c r="F112" s="86">
        <f>IF(SUMIFS(Journal!$D$3:$D$143,Journal!$A$3:$A$143,$B112,Journal!$F$3:$F$143,E$3)=0,"",SUMIFS(Journal!$D$3:$D$143,Journal!$A$3:$A$143,$B112,Journal!$F$3:$F$143,E$3))</f>
        <v>5400</v>
      </c>
      <c r="G112" s="86" t="str">
        <f>IF(SUMIFS(Journal!$D$3:$D$143,Journal!$A$3:$A$143,$B112,Journal!$E$3:$E$143,G$3)=0,"",SUMIFS(Journal!$D$3:$D$143,Journal!$A$3:$A$143,$B112,Journal!$E$3:$E$143,G$3))</f>
        <v/>
      </c>
      <c r="H112" s="86" t="str">
        <f>IF(SUMIFS(Journal!$D$3:$D$143,Journal!$A$3:$A$143,$B112,Journal!$F$3:$F$143,G$3)=0,"",SUMIFS(Journal!$D$3:$D$143,Journal!$A$3:$A$143,$B112,Journal!$F$3:$F$143,G$3))</f>
        <v/>
      </c>
      <c r="I112" s="86" t="str">
        <f>IF(SUMIFS(Journal!$D$3:$D$143,Journal!$A$3:$A$143,$B112,Journal!$E$3:$E$143,I$3)=0,"",SUMIFS(Journal!$D$3:$D$143,Journal!$A$3:$A$143,$B112,Journal!$E$3:$E$143,I$3))</f>
        <v/>
      </c>
      <c r="J112" s="86" t="str">
        <f>IF(SUMIFS(Journal!$D$3:$D$143,Journal!$A$3:$A$143,$B112,Journal!$F$3:$F$143,I$3)=0,"",SUMIFS(Journal!$D$3:$D$143,Journal!$A$3:$A$143,$B112,Journal!$F$3:$F$143,I$3))</f>
        <v/>
      </c>
      <c r="K112" s="86" t="str">
        <f>IF(SUMIFS(Journal!$D$3:$D$143,Journal!$A$3:$A$143,$B112,Journal!$E$3:$E$143,K$3)=0,"",SUMIFS(Journal!$D$3:$D$143,Journal!$A$3:$A$143,$B112,Journal!$E$3:$E$143,K$3))</f>
        <v/>
      </c>
      <c r="L112" s="86" t="str">
        <f>IF(SUMIFS(Journal!$D$3:$D$143,Journal!$A$3:$A$143,$B112,Journal!$F$3:$F$143,K$3)=0,"",SUMIFS(Journal!$D$3:$D$143,Journal!$A$3:$A$143,$B112,Journal!$F$3:$F$143,K$3))</f>
        <v/>
      </c>
      <c r="M112" s="86" t="str">
        <f>IF(SUMIFS(Journal!$D$3:$D$143,Journal!$A$3:$A$143,$B112,Journal!$E$3:$E$143,M$3)=0,"",SUMIFS(Journal!$D$3:$D$143,Journal!$A$3:$A$143,$B112,Journal!$E$3:$E$143,M$3))</f>
        <v/>
      </c>
      <c r="N112" s="86" t="str">
        <f>IF(SUMIFS(Journal!$D$3:$D$143,Journal!$A$3:$A$143,$B112,Journal!$F$3:$F$143,M$3)=0,"",SUMIFS(Journal!$D$3:$D$143,Journal!$A$3:$A$143,$B112,Journal!$F$3:$F$143,M$3))</f>
        <v/>
      </c>
      <c r="O112" s="86" t="str">
        <f>IF(SUMIFS(Journal!$D$3:$D$143,Journal!$A$3:$A$143,$B112,Journal!$E$3:$E$143,O$3)=0,"",SUMIFS(Journal!$D$3:$D$143,Journal!$A$3:$A$143,$B112,Journal!$E$3:$E$143,O$3))</f>
        <v/>
      </c>
      <c r="P112" s="86" t="str">
        <f>IF(SUMIFS(Journal!$D$3:$D$143,Journal!$A$3:$A$143,$B112,Journal!$F$3:$F$143,O$3)=0,"",SUMIFS(Journal!$D$3:$D$143,Journal!$A$3:$A$143,$B112,Journal!$F$3:$F$143,O$3))</f>
        <v/>
      </c>
      <c r="Q112" s="86" t="str">
        <f>IF(SUMIFS(Journal!$D$3:$D$143,Journal!$A$3:$A$143,$B112,Journal!$E$3:$E$143,Q$3)=0,"",SUMIFS(Journal!$D$3:$D$143,Journal!$A$3:$A$143,$B112,Journal!$E$3:$E$143,Q$3))</f>
        <v/>
      </c>
      <c r="R112" s="86" t="str">
        <f>IF(SUMIFS(Journal!$D$3:$D$143,Journal!$A$3:$A$143,$B112,Journal!$F$3:$F$143,Q$3)=0,"",SUMIFS(Journal!$D$3:$D$143,Journal!$A$3:$A$143,$B112,Journal!$F$3:$F$143,Q$3))</f>
        <v/>
      </c>
      <c r="S112" s="86" t="str">
        <f>IF(SUMIFS(Journal!$D$3:$D$143,Journal!$A$3:$A$143,$B112,Journal!$E$3:$E$143,S$3)=0,"",SUMIFS(Journal!$D$3:$D$143,Journal!$A$3:$A$143,$B112,Journal!$E$3:$E$143,S$3))</f>
        <v/>
      </c>
      <c r="T112" s="86" t="str">
        <f>IF(SUMIFS(Journal!$D$3:$D$143,Journal!$A$3:$A$143,$B112,Journal!$F$3:$F$143,S$3)=0,"",SUMIFS(Journal!$D$3:$D$143,Journal!$A$3:$A$143,$B112,Journal!$F$3:$F$143,S$3))</f>
        <v/>
      </c>
      <c r="U112" s="86" t="str">
        <f>IF(SUMIFS(Journal!$D$3:$D$143,Journal!$A$3:$A$143,$B112,Journal!$E$3:$E$143,U$3)=0,"",SUMIFS(Journal!$D$3:$D$143,Journal!$A$3:$A$143,$B112,Journal!$E$3:$E$143,U$3))</f>
        <v/>
      </c>
      <c r="V112" s="86" t="str">
        <f>IF(SUMIFS(Journal!$D$3:$D$143,Journal!$A$3:$A$143,$B112,Journal!$F$3:$F$143,U$3)=0,"",SUMIFS(Journal!$D$3:$D$143,Journal!$A$3:$A$143,$B112,Journal!$F$3:$F$143,U$3))</f>
        <v/>
      </c>
      <c r="W112" s="86" t="str">
        <f>IF(SUMIFS(Journal!$D$3:$D$143,Journal!$A$3:$A$143,$B112,Journal!$E$3:$E$143,W$3)=0,"",SUMIFS(Journal!$D$3:$D$143,Journal!$A$3:$A$143,$B112,Journal!$E$3:$E$143,W$3))</f>
        <v/>
      </c>
      <c r="X112" s="86" t="str">
        <f>IF(SUMIFS(Journal!$D$3:$D$143,Journal!$A$3:$A$143,$B112,Journal!$F$3:$F$143,W$3)=0,"",SUMIFS(Journal!$D$3:$D$143,Journal!$A$3:$A$143,$B112,Journal!$F$3:$F$143,W$3))</f>
        <v/>
      </c>
      <c r="Y112" s="86" t="str">
        <f>IF(SUMIFS(Journal!$D$3:$D$143,Journal!$A$3:$A$143,$B112,Journal!$E$3:$E$143,Y$3)=0,"",SUMIFS(Journal!$D$3:$D$143,Journal!$A$3:$A$143,$B112,Journal!$E$3:$E$143,Y$3))</f>
        <v/>
      </c>
      <c r="Z112" s="86" t="str">
        <f>IF(SUMIFS(Journal!$D$3:$D$143,Journal!$A$3:$A$143,$B112,Journal!$F$3:$F$143,Y$3)=0,"",SUMIFS(Journal!$D$3:$D$143,Journal!$A$3:$A$143,$B112,Journal!$F$3:$F$143,Y$3))</f>
        <v/>
      </c>
      <c r="AA112" s="86" t="str">
        <f>IF(SUMIFS(Journal!$D$3:$D$143,Journal!$A$3:$A$143,$B112,Journal!$E$3:$E$143,AA$3)=0,"",SUMIFS(Journal!$D$3:$D$143,Journal!$A$3:$A$143,$B112,Journal!$E$3:$E$143,AA$3))</f>
        <v/>
      </c>
      <c r="AB112" s="86" t="str">
        <f>IF(SUMIFS(Journal!$D$3:$D$143,Journal!$A$3:$A$143,$B112,Journal!$F$3:$F$143,AA$3)=0,"",SUMIFS(Journal!$D$3:$D$143,Journal!$A$3:$A$143,$B112,Journal!$F$3:$F$143,AA$3))</f>
        <v/>
      </c>
      <c r="AC112" s="86" t="str">
        <f>IF(SUMIFS(Journal!$D$3:$D$143,Journal!$A$3:$A$143,$B112,Journal!$E$3:$E$143,AC$3)=0,"",SUMIFS(Journal!$D$3:$D$143,Journal!$A$3:$A$143,$B112,Journal!$E$3:$E$143,AC$3))</f>
        <v/>
      </c>
      <c r="AD112" s="86" t="str">
        <f>IF(SUMIFS(Journal!$D$3:$D$143,Journal!$A$3:$A$143,$B112,Journal!$F$3:$F$143,AC$3)=0,"",SUMIFS(Journal!$D$3:$D$143,Journal!$A$3:$A$143,$B112,Journal!$F$3:$F$143,AC$3))</f>
        <v/>
      </c>
      <c r="AE112" s="86" t="str">
        <f>IF(SUMIFS(Journal!$D$3:$D$143,Journal!$A$3:$A$143,$B112,Journal!$E$3:$E$143,AE$3)=0,"",SUMIFS(Journal!$D$3:$D$143,Journal!$A$3:$A$143,$B112,Journal!$E$3:$E$143,AE$3))</f>
        <v/>
      </c>
      <c r="AF112" s="86" t="str">
        <f>IF(SUMIFS(Journal!$D$3:$D$143,Journal!$A$3:$A$143,$B112,Journal!$F$3:$F$143,AE$3)=0,"",SUMIFS(Journal!$D$3:$D$143,Journal!$A$3:$A$143,$B112,Journal!$F$3:$F$143,AE$3))</f>
        <v/>
      </c>
      <c r="AG112" s="86" t="str">
        <f>IF(SUMIFS(Journal!$D$3:$D$143,Journal!$A$3:$A$143,$B112,Journal!$E$3:$E$143,AG$3)=0,"",SUMIFS(Journal!$D$3:$D$143,Journal!$A$3:$A$143,$B112,Journal!$E$3:$E$143,AG$3))</f>
        <v/>
      </c>
      <c r="AH112" s="86" t="str">
        <f>IF(SUMIFS(Journal!$D$3:$D$143,Journal!$A$3:$A$143,$B112,Journal!$F$3:$F$143,AG$3)=0,"",SUMIFS(Journal!$D$3:$D$143,Journal!$A$3:$A$143,$B112,Journal!$F$3:$F$143,AG$3))</f>
        <v/>
      </c>
      <c r="AI112" s="86">
        <f>IF(SUMIFS(Journal!$D$3:$D$143,Journal!$A$3:$A$143,$B112,Journal!$E$3:$E$143,AI$3)=0,"",SUMIFS(Journal!$D$3:$D$143,Journal!$A$3:$A$143,$B112,Journal!$E$3:$E$143,AI$3))</f>
        <v>5400</v>
      </c>
      <c r="AJ112" s="86" t="str">
        <f>IF(SUMIFS(Journal!$D$3:$D$143,Journal!$A$3:$A$143,$B112,Journal!$F$3:$F$143,AI$3)=0,"",SUMIFS(Journal!$D$3:$D$143,Journal!$A$3:$A$143,$B112,Journal!$F$3:$F$143,AI$3))</f>
        <v/>
      </c>
      <c r="AK112" s="86" t="str">
        <f>IF(SUMIFS(Journal!$D$3:$D$143,Journal!$A$3:$A$143,$B112,Journal!$E$3:$E$143,AK$3)=0,"",SUMIFS(Journal!$D$3:$D$143,Journal!$A$3:$A$143,$B112,Journal!$E$3:$E$143,AK$3))</f>
        <v/>
      </c>
      <c r="AL112" s="86" t="str">
        <f>IF(SUMIFS(Journal!$D$3:$D$143,Journal!$A$3:$A$143,$B112,Journal!$F$3:$F$143,AK$3)=0,"",SUMIFS(Journal!$D$3:$D$143,Journal!$A$3:$A$143,$B112,Journal!$F$3:$F$143,AK$3))</f>
        <v/>
      </c>
      <c r="AM112" s="86" t="str">
        <f>IF(SUMIFS(Journal!$D$3:$D$143,Journal!$A$3:$A$143,$B112,Journal!$E$3:$E$143,AM$3)=0,"",SUMIFS(Journal!$D$3:$D$143,Journal!$A$3:$A$143,$B112,Journal!$E$3:$E$143,AM$3))</f>
        <v/>
      </c>
      <c r="AN112" s="86" t="str">
        <f>IF(SUMIFS(Journal!$D$3:$D$143,Journal!$A$3:$A$143,$B112,Journal!$F$3:$F$143,AM$3)=0,"",SUMIFS(Journal!$D$3:$D$143,Journal!$A$3:$A$143,$B112,Journal!$F$3:$F$143,AM$3))</f>
        <v/>
      </c>
      <c r="AO112" s="86" t="str">
        <f>IF(SUMIFS(Journal!$D$3:$D$143,Journal!$A$3:$A$143,$B112,Journal!$E$3:$E$143,AO$3)=0,"",SUMIFS(Journal!$D$3:$D$143,Journal!$A$3:$A$143,$B112,Journal!$E$3:$E$143,AO$3))</f>
        <v/>
      </c>
      <c r="AP112" s="86" t="str">
        <f>IF(SUMIFS(Journal!$D$3:$D$143,Journal!$A$3:$A$143,$B112,Journal!$F$3:$F$143,AO$3)=0,"",SUMIFS(Journal!$D$3:$D$143,Journal!$A$3:$A$143,$B112,Journal!$F$3:$F$143,AO$3))</f>
        <v/>
      </c>
      <c r="AQ112" s="86" t="str">
        <f>IF(SUMIFS(Journal!$D$3:$D$143,Journal!$A$3:$A$143,$B112,Journal!$E$3:$E$143,AQ$3)=0,"",SUMIFS(Journal!$D$3:$D$143,Journal!$A$3:$A$143,$B112,Journal!$E$3:$E$143,AQ$3))</f>
        <v/>
      </c>
      <c r="AR112" s="86" t="str">
        <f>IF(SUMIFS(Journal!$D$3:$D$143,Journal!$A$3:$A$143,$B112,Journal!$F$3:$F$143,AQ$3)=0,"",SUMIFS(Journal!$D$3:$D$143,Journal!$A$3:$A$143,$B112,Journal!$F$3:$F$143,AQ$3))</f>
        <v/>
      </c>
      <c r="AS112" s="86" t="str">
        <f>IF(SUMIFS(Journal!$D$3:$D$143,Journal!$A$3:$A$143,$B112,Journal!$E$3:$E$143,AS$3)=0,"",SUMIFS(Journal!$D$3:$D$143,Journal!$A$3:$A$143,$B112,Journal!$E$3:$E$143,AS$3))</f>
        <v/>
      </c>
      <c r="AT112" s="86" t="str">
        <f>IF(SUMIFS(Journal!$D$3:$D$143,Journal!$A$3:$A$143,$B112,Journal!$F$3:$F$143,AS$3)=0,"",SUMIFS(Journal!$D$3:$D$143,Journal!$A$3:$A$143,$B112,Journal!$F$3:$F$143,AS$3))</f>
        <v/>
      </c>
      <c r="AU112" s="86" t="str">
        <f>IF(SUMIFS(Journal!$D$3:$D$143,Journal!$A$3:$A$143,$B112,Journal!$E$3:$E$143,AU$3)=0,"",SUMIFS(Journal!$D$3:$D$143,Journal!$A$3:$A$143,$B112,Journal!$E$3:$E$143,AU$3))</f>
        <v/>
      </c>
      <c r="AV112" s="86" t="str">
        <f>IF(SUMIFS(Journal!$D$3:$D$143,Journal!$A$3:$A$143,$B112,Journal!$F$3:$F$143,AU$3)=0,"",SUMIFS(Journal!$D$3:$D$143,Journal!$A$3:$A$143,$B112,Journal!$F$3:$F$143,AU$3))</f>
        <v/>
      </c>
      <c r="AW112" s="86" t="str">
        <f>IF(SUMIFS(Journal!$D$3:$D$143,Journal!$A$3:$A$143,$B112,Journal!$E$3:$E$143,AW$3)=0,"",SUMIFS(Journal!$D$3:$D$143,Journal!$A$3:$A$143,$B112,Journal!$E$3:$E$143,AW$3))</f>
        <v/>
      </c>
      <c r="AX112" s="86" t="str">
        <f>IF(SUMIFS(Journal!$D$3:$D$143,Journal!$A$3:$A$143,$B112,Journal!$F$3:$F$143,AW$3)=0,"",SUMIFS(Journal!$D$3:$D$143,Journal!$A$3:$A$143,$B112,Journal!$F$3:$F$143,AW$3))</f>
        <v/>
      </c>
      <c r="AY112" s="86" t="str">
        <f>IF(SUMIFS(Journal!$D$3:$D$143,Journal!$A$3:$A$143,$B112,Journal!$E$3:$E$143,AY$3)=0,"",SUMIFS(Journal!$D$3:$D$143,Journal!$A$3:$A$143,$B112,Journal!$E$3:$E$143,AY$3))</f>
        <v/>
      </c>
      <c r="AZ112" s="86" t="str">
        <f>IF(SUMIFS(Journal!$D$3:$D$143,Journal!$A$3:$A$143,$B112,Journal!$F$3:$F$143,AY$3)=0,"",SUMIFS(Journal!$D$3:$D$143,Journal!$A$3:$A$143,$B112,Journal!$F$3:$F$143,AY$3))</f>
        <v/>
      </c>
      <c r="BA112" s="86" t="str">
        <f>IF(SUMIFS(Journal!$D$3:$D$143,Journal!$A$3:$A$143,$B112,Journal!$E$3:$E$143,BA$3)=0,"",SUMIFS(Journal!$D$3:$D$143,Journal!$A$3:$A$143,$B112,Journal!$E$3:$E$143,BA$3))</f>
        <v/>
      </c>
      <c r="BB112" s="86" t="str">
        <f>IF(SUMIFS(Journal!$D$3:$D$143,Journal!$A$3:$A$143,$B112,Journal!$F$3:$F$143,BA$3)=0,"",SUMIFS(Journal!$D$3:$D$143,Journal!$A$3:$A$143,$B112,Journal!$F$3:$F$143,BA$3))</f>
        <v/>
      </c>
    </row>
    <row r="113">
      <c r="A113" s="84">
        <f>VLOOKUP(B113,Journal!$A$3:$C$143,2,FALSE)</f>
        <v>45602</v>
      </c>
      <c r="B113" s="85" t="s">
        <v>599</v>
      </c>
      <c r="C113" s="86" t="str">
        <f>VLOOKUP(B113,Journal!$A$3:$C$143,3,FALSE)</f>
        <v>Monthly business insurance premium</v>
      </c>
      <c r="D113" s="86">
        <f>SUMIF(Journal!$A$3:$A$143,B113,Journal!$D$3:$D$143)</f>
        <v>600</v>
      </c>
      <c r="E113" s="86" t="str">
        <f>IF(SUMIFS(Journal!$D$3:$D$143,Journal!$A$3:$A$143,$B113,Journal!$E$3:$E$143,E$3)=0,"",SUMIFS(Journal!$D$3:$D$143,Journal!$A$3:$A$143,$B113,Journal!$E$3:$E$143,E$3))</f>
        <v/>
      </c>
      <c r="F113" s="86">
        <f>IF(SUMIFS(Journal!$D$3:$D$143,Journal!$A$3:$A$143,$B113,Journal!$F$3:$F$143,E$3)=0,"",SUMIFS(Journal!$D$3:$D$143,Journal!$A$3:$A$143,$B113,Journal!$F$3:$F$143,E$3))</f>
        <v>600</v>
      </c>
      <c r="G113" s="86" t="str">
        <f>IF(SUMIFS(Journal!$D$3:$D$143,Journal!$A$3:$A$143,$B113,Journal!$E$3:$E$143,G$3)=0,"",SUMIFS(Journal!$D$3:$D$143,Journal!$A$3:$A$143,$B113,Journal!$E$3:$E$143,G$3))</f>
        <v/>
      </c>
      <c r="H113" s="86" t="str">
        <f>IF(SUMIFS(Journal!$D$3:$D$143,Journal!$A$3:$A$143,$B113,Journal!$F$3:$F$143,G$3)=0,"",SUMIFS(Journal!$D$3:$D$143,Journal!$A$3:$A$143,$B113,Journal!$F$3:$F$143,G$3))</f>
        <v/>
      </c>
      <c r="I113" s="86" t="str">
        <f>IF(SUMIFS(Journal!$D$3:$D$143,Journal!$A$3:$A$143,$B113,Journal!$E$3:$E$143,I$3)=0,"",SUMIFS(Journal!$D$3:$D$143,Journal!$A$3:$A$143,$B113,Journal!$E$3:$E$143,I$3))</f>
        <v/>
      </c>
      <c r="J113" s="86" t="str">
        <f>IF(SUMIFS(Journal!$D$3:$D$143,Journal!$A$3:$A$143,$B113,Journal!$F$3:$F$143,I$3)=0,"",SUMIFS(Journal!$D$3:$D$143,Journal!$A$3:$A$143,$B113,Journal!$F$3:$F$143,I$3))</f>
        <v/>
      </c>
      <c r="K113" s="86" t="str">
        <f>IF(SUMIFS(Journal!$D$3:$D$143,Journal!$A$3:$A$143,$B113,Journal!$E$3:$E$143,K$3)=0,"",SUMIFS(Journal!$D$3:$D$143,Journal!$A$3:$A$143,$B113,Journal!$E$3:$E$143,K$3))</f>
        <v/>
      </c>
      <c r="L113" s="86" t="str">
        <f>IF(SUMIFS(Journal!$D$3:$D$143,Journal!$A$3:$A$143,$B113,Journal!$F$3:$F$143,K$3)=0,"",SUMIFS(Journal!$D$3:$D$143,Journal!$A$3:$A$143,$B113,Journal!$F$3:$F$143,K$3))</f>
        <v/>
      </c>
      <c r="M113" s="86" t="str">
        <f>IF(SUMIFS(Journal!$D$3:$D$143,Journal!$A$3:$A$143,$B113,Journal!$E$3:$E$143,M$3)=0,"",SUMIFS(Journal!$D$3:$D$143,Journal!$A$3:$A$143,$B113,Journal!$E$3:$E$143,M$3))</f>
        <v/>
      </c>
      <c r="N113" s="86" t="str">
        <f>IF(SUMIFS(Journal!$D$3:$D$143,Journal!$A$3:$A$143,$B113,Journal!$F$3:$F$143,M$3)=0,"",SUMIFS(Journal!$D$3:$D$143,Journal!$A$3:$A$143,$B113,Journal!$F$3:$F$143,M$3))</f>
        <v/>
      </c>
      <c r="O113" s="86" t="str">
        <f>IF(SUMIFS(Journal!$D$3:$D$143,Journal!$A$3:$A$143,$B113,Journal!$E$3:$E$143,O$3)=0,"",SUMIFS(Journal!$D$3:$D$143,Journal!$A$3:$A$143,$B113,Journal!$E$3:$E$143,O$3))</f>
        <v/>
      </c>
      <c r="P113" s="86" t="str">
        <f>IF(SUMIFS(Journal!$D$3:$D$143,Journal!$A$3:$A$143,$B113,Journal!$F$3:$F$143,O$3)=0,"",SUMIFS(Journal!$D$3:$D$143,Journal!$A$3:$A$143,$B113,Journal!$F$3:$F$143,O$3))</f>
        <v/>
      </c>
      <c r="Q113" s="86" t="str">
        <f>IF(SUMIFS(Journal!$D$3:$D$143,Journal!$A$3:$A$143,$B113,Journal!$E$3:$E$143,Q$3)=0,"",SUMIFS(Journal!$D$3:$D$143,Journal!$A$3:$A$143,$B113,Journal!$E$3:$E$143,Q$3))</f>
        <v/>
      </c>
      <c r="R113" s="86" t="str">
        <f>IF(SUMIFS(Journal!$D$3:$D$143,Journal!$A$3:$A$143,$B113,Journal!$F$3:$F$143,Q$3)=0,"",SUMIFS(Journal!$D$3:$D$143,Journal!$A$3:$A$143,$B113,Journal!$F$3:$F$143,Q$3))</f>
        <v/>
      </c>
      <c r="S113" s="86" t="str">
        <f>IF(SUMIFS(Journal!$D$3:$D$143,Journal!$A$3:$A$143,$B113,Journal!$E$3:$E$143,S$3)=0,"",SUMIFS(Journal!$D$3:$D$143,Journal!$A$3:$A$143,$B113,Journal!$E$3:$E$143,S$3))</f>
        <v/>
      </c>
      <c r="T113" s="86" t="str">
        <f>IF(SUMIFS(Journal!$D$3:$D$143,Journal!$A$3:$A$143,$B113,Journal!$F$3:$F$143,S$3)=0,"",SUMIFS(Journal!$D$3:$D$143,Journal!$A$3:$A$143,$B113,Journal!$F$3:$F$143,S$3))</f>
        <v/>
      </c>
      <c r="U113" s="86" t="str">
        <f>IF(SUMIFS(Journal!$D$3:$D$143,Journal!$A$3:$A$143,$B113,Journal!$E$3:$E$143,U$3)=0,"",SUMIFS(Journal!$D$3:$D$143,Journal!$A$3:$A$143,$B113,Journal!$E$3:$E$143,U$3))</f>
        <v/>
      </c>
      <c r="V113" s="86" t="str">
        <f>IF(SUMIFS(Journal!$D$3:$D$143,Journal!$A$3:$A$143,$B113,Journal!$F$3:$F$143,U$3)=0,"",SUMIFS(Journal!$D$3:$D$143,Journal!$A$3:$A$143,$B113,Journal!$F$3:$F$143,U$3))</f>
        <v/>
      </c>
      <c r="W113" s="86" t="str">
        <f>IF(SUMIFS(Journal!$D$3:$D$143,Journal!$A$3:$A$143,$B113,Journal!$E$3:$E$143,W$3)=0,"",SUMIFS(Journal!$D$3:$D$143,Journal!$A$3:$A$143,$B113,Journal!$E$3:$E$143,W$3))</f>
        <v/>
      </c>
      <c r="X113" s="86" t="str">
        <f>IF(SUMIFS(Journal!$D$3:$D$143,Journal!$A$3:$A$143,$B113,Journal!$F$3:$F$143,W$3)=0,"",SUMIFS(Journal!$D$3:$D$143,Journal!$A$3:$A$143,$B113,Journal!$F$3:$F$143,W$3))</f>
        <v/>
      </c>
      <c r="Y113" s="86" t="str">
        <f>IF(SUMIFS(Journal!$D$3:$D$143,Journal!$A$3:$A$143,$B113,Journal!$E$3:$E$143,Y$3)=0,"",SUMIFS(Journal!$D$3:$D$143,Journal!$A$3:$A$143,$B113,Journal!$E$3:$E$143,Y$3))</f>
        <v/>
      </c>
      <c r="Z113" s="86" t="str">
        <f>IF(SUMIFS(Journal!$D$3:$D$143,Journal!$A$3:$A$143,$B113,Journal!$F$3:$F$143,Y$3)=0,"",SUMIFS(Journal!$D$3:$D$143,Journal!$A$3:$A$143,$B113,Journal!$F$3:$F$143,Y$3))</f>
        <v/>
      </c>
      <c r="AA113" s="86" t="str">
        <f>IF(SUMIFS(Journal!$D$3:$D$143,Journal!$A$3:$A$143,$B113,Journal!$E$3:$E$143,AA$3)=0,"",SUMIFS(Journal!$D$3:$D$143,Journal!$A$3:$A$143,$B113,Journal!$E$3:$E$143,AA$3))</f>
        <v/>
      </c>
      <c r="AB113" s="86" t="str">
        <f>IF(SUMIFS(Journal!$D$3:$D$143,Journal!$A$3:$A$143,$B113,Journal!$F$3:$F$143,AA$3)=0,"",SUMIFS(Journal!$D$3:$D$143,Journal!$A$3:$A$143,$B113,Journal!$F$3:$F$143,AA$3))</f>
        <v/>
      </c>
      <c r="AC113" s="86" t="str">
        <f>IF(SUMIFS(Journal!$D$3:$D$143,Journal!$A$3:$A$143,$B113,Journal!$E$3:$E$143,AC$3)=0,"",SUMIFS(Journal!$D$3:$D$143,Journal!$A$3:$A$143,$B113,Journal!$E$3:$E$143,AC$3))</f>
        <v/>
      </c>
      <c r="AD113" s="86" t="str">
        <f>IF(SUMIFS(Journal!$D$3:$D$143,Journal!$A$3:$A$143,$B113,Journal!$F$3:$F$143,AC$3)=0,"",SUMIFS(Journal!$D$3:$D$143,Journal!$A$3:$A$143,$B113,Journal!$F$3:$F$143,AC$3))</f>
        <v/>
      </c>
      <c r="AE113" s="86" t="str">
        <f>IF(SUMIFS(Journal!$D$3:$D$143,Journal!$A$3:$A$143,$B113,Journal!$E$3:$E$143,AE$3)=0,"",SUMIFS(Journal!$D$3:$D$143,Journal!$A$3:$A$143,$B113,Journal!$E$3:$E$143,AE$3))</f>
        <v/>
      </c>
      <c r="AF113" s="86" t="str">
        <f>IF(SUMIFS(Journal!$D$3:$D$143,Journal!$A$3:$A$143,$B113,Journal!$F$3:$F$143,AE$3)=0,"",SUMIFS(Journal!$D$3:$D$143,Journal!$A$3:$A$143,$B113,Journal!$F$3:$F$143,AE$3))</f>
        <v/>
      </c>
      <c r="AG113" s="86" t="str">
        <f>IF(SUMIFS(Journal!$D$3:$D$143,Journal!$A$3:$A$143,$B113,Journal!$E$3:$E$143,AG$3)=0,"",SUMIFS(Journal!$D$3:$D$143,Journal!$A$3:$A$143,$B113,Journal!$E$3:$E$143,AG$3))</f>
        <v/>
      </c>
      <c r="AH113" s="86" t="str">
        <f>IF(SUMIFS(Journal!$D$3:$D$143,Journal!$A$3:$A$143,$B113,Journal!$F$3:$F$143,AG$3)=0,"",SUMIFS(Journal!$D$3:$D$143,Journal!$A$3:$A$143,$B113,Journal!$F$3:$F$143,AG$3))</f>
        <v/>
      </c>
      <c r="AI113" s="86" t="str">
        <f>IF(SUMIFS(Journal!$D$3:$D$143,Journal!$A$3:$A$143,$B113,Journal!$E$3:$E$143,AI$3)=0,"",SUMIFS(Journal!$D$3:$D$143,Journal!$A$3:$A$143,$B113,Journal!$E$3:$E$143,AI$3))</f>
        <v/>
      </c>
      <c r="AJ113" s="86" t="str">
        <f>IF(SUMIFS(Journal!$D$3:$D$143,Journal!$A$3:$A$143,$B113,Journal!$F$3:$F$143,AI$3)=0,"",SUMIFS(Journal!$D$3:$D$143,Journal!$A$3:$A$143,$B113,Journal!$F$3:$F$143,AI$3))</f>
        <v/>
      </c>
      <c r="AK113" s="86">
        <f>IF(SUMIFS(Journal!$D$3:$D$143,Journal!$A$3:$A$143,$B113,Journal!$E$3:$E$143,AK$3)=0,"",SUMIFS(Journal!$D$3:$D$143,Journal!$A$3:$A$143,$B113,Journal!$E$3:$E$143,AK$3))</f>
        <v>600</v>
      </c>
      <c r="AL113" s="86" t="str">
        <f>IF(SUMIFS(Journal!$D$3:$D$143,Journal!$A$3:$A$143,$B113,Journal!$F$3:$F$143,AK$3)=0,"",SUMIFS(Journal!$D$3:$D$143,Journal!$A$3:$A$143,$B113,Journal!$F$3:$F$143,AK$3))</f>
        <v/>
      </c>
      <c r="AM113" s="86" t="str">
        <f>IF(SUMIFS(Journal!$D$3:$D$143,Journal!$A$3:$A$143,$B113,Journal!$E$3:$E$143,AM$3)=0,"",SUMIFS(Journal!$D$3:$D$143,Journal!$A$3:$A$143,$B113,Journal!$E$3:$E$143,AM$3))</f>
        <v/>
      </c>
      <c r="AN113" s="86" t="str">
        <f>IF(SUMIFS(Journal!$D$3:$D$143,Journal!$A$3:$A$143,$B113,Journal!$F$3:$F$143,AM$3)=0,"",SUMIFS(Journal!$D$3:$D$143,Journal!$A$3:$A$143,$B113,Journal!$F$3:$F$143,AM$3))</f>
        <v/>
      </c>
      <c r="AO113" s="86" t="str">
        <f>IF(SUMIFS(Journal!$D$3:$D$143,Journal!$A$3:$A$143,$B113,Journal!$E$3:$E$143,AO$3)=0,"",SUMIFS(Journal!$D$3:$D$143,Journal!$A$3:$A$143,$B113,Journal!$E$3:$E$143,AO$3))</f>
        <v/>
      </c>
      <c r="AP113" s="86" t="str">
        <f>IF(SUMIFS(Journal!$D$3:$D$143,Journal!$A$3:$A$143,$B113,Journal!$F$3:$F$143,AO$3)=0,"",SUMIFS(Journal!$D$3:$D$143,Journal!$A$3:$A$143,$B113,Journal!$F$3:$F$143,AO$3))</f>
        <v/>
      </c>
      <c r="AQ113" s="86" t="str">
        <f>IF(SUMIFS(Journal!$D$3:$D$143,Journal!$A$3:$A$143,$B113,Journal!$E$3:$E$143,AQ$3)=0,"",SUMIFS(Journal!$D$3:$D$143,Journal!$A$3:$A$143,$B113,Journal!$E$3:$E$143,AQ$3))</f>
        <v/>
      </c>
      <c r="AR113" s="86" t="str">
        <f>IF(SUMIFS(Journal!$D$3:$D$143,Journal!$A$3:$A$143,$B113,Journal!$F$3:$F$143,AQ$3)=0,"",SUMIFS(Journal!$D$3:$D$143,Journal!$A$3:$A$143,$B113,Journal!$F$3:$F$143,AQ$3))</f>
        <v/>
      </c>
      <c r="AS113" s="86" t="str">
        <f>IF(SUMIFS(Journal!$D$3:$D$143,Journal!$A$3:$A$143,$B113,Journal!$E$3:$E$143,AS$3)=0,"",SUMIFS(Journal!$D$3:$D$143,Journal!$A$3:$A$143,$B113,Journal!$E$3:$E$143,AS$3))</f>
        <v/>
      </c>
      <c r="AT113" s="86" t="str">
        <f>IF(SUMIFS(Journal!$D$3:$D$143,Journal!$A$3:$A$143,$B113,Journal!$F$3:$F$143,AS$3)=0,"",SUMIFS(Journal!$D$3:$D$143,Journal!$A$3:$A$143,$B113,Journal!$F$3:$F$143,AS$3))</f>
        <v/>
      </c>
      <c r="AU113" s="86" t="str">
        <f>IF(SUMIFS(Journal!$D$3:$D$143,Journal!$A$3:$A$143,$B113,Journal!$E$3:$E$143,AU$3)=0,"",SUMIFS(Journal!$D$3:$D$143,Journal!$A$3:$A$143,$B113,Journal!$E$3:$E$143,AU$3))</f>
        <v/>
      </c>
      <c r="AV113" s="86" t="str">
        <f>IF(SUMIFS(Journal!$D$3:$D$143,Journal!$A$3:$A$143,$B113,Journal!$F$3:$F$143,AU$3)=0,"",SUMIFS(Journal!$D$3:$D$143,Journal!$A$3:$A$143,$B113,Journal!$F$3:$F$143,AU$3))</f>
        <v/>
      </c>
      <c r="AW113" s="86" t="str">
        <f>IF(SUMIFS(Journal!$D$3:$D$143,Journal!$A$3:$A$143,$B113,Journal!$E$3:$E$143,AW$3)=0,"",SUMIFS(Journal!$D$3:$D$143,Journal!$A$3:$A$143,$B113,Journal!$E$3:$E$143,AW$3))</f>
        <v/>
      </c>
      <c r="AX113" s="86" t="str">
        <f>IF(SUMIFS(Journal!$D$3:$D$143,Journal!$A$3:$A$143,$B113,Journal!$F$3:$F$143,AW$3)=0,"",SUMIFS(Journal!$D$3:$D$143,Journal!$A$3:$A$143,$B113,Journal!$F$3:$F$143,AW$3))</f>
        <v/>
      </c>
      <c r="AY113" s="86" t="str">
        <f>IF(SUMIFS(Journal!$D$3:$D$143,Journal!$A$3:$A$143,$B113,Journal!$E$3:$E$143,AY$3)=0,"",SUMIFS(Journal!$D$3:$D$143,Journal!$A$3:$A$143,$B113,Journal!$E$3:$E$143,AY$3))</f>
        <v/>
      </c>
      <c r="AZ113" s="86" t="str">
        <f>IF(SUMIFS(Journal!$D$3:$D$143,Journal!$A$3:$A$143,$B113,Journal!$F$3:$F$143,AY$3)=0,"",SUMIFS(Journal!$D$3:$D$143,Journal!$A$3:$A$143,$B113,Journal!$F$3:$F$143,AY$3))</f>
        <v/>
      </c>
      <c r="BA113" s="86" t="str">
        <f>IF(SUMIFS(Journal!$D$3:$D$143,Journal!$A$3:$A$143,$B113,Journal!$E$3:$E$143,BA$3)=0,"",SUMIFS(Journal!$D$3:$D$143,Journal!$A$3:$A$143,$B113,Journal!$E$3:$E$143,BA$3))</f>
        <v/>
      </c>
      <c r="BB113" s="86" t="str">
        <f>IF(SUMIFS(Journal!$D$3:$D$143,Journal!$A$3:$A$143,$B113,Journal!$F$3:$F$143,BA$3)=0,"",SUMIFS(Journal!$D$3:$D$143,Journal!$A$3:$A$143,$B113,Journal!$F$3:$F$143,BA$3))</f>
        <v/>
      </c>
    </row>
    <row r="114">
      <c r="A114" s="84">
        <f>VLOOKUP(B114,Journal!$A$3:$C$143,2,FALSE)</f>
        <v>45608</v>
      </c>
      <c r="B114" s="85" t="s">
        <v>602</v>
      </c>
      <c r="C114" s="86" t="str">
        <f>VLOOKUP(B114,Journal!$A$3:$C$143,3,FALSE)</f>
        <v>Equipment rental receipts batch</v>
      </c>
      <c r="D114" s="86">
        <f>SUMIF(Journal!$A$3:$A$143,B114,Journal!$D$3:$D$143)</f>
        <v>4000</v>
      </c>
      <c r="E114" s="86">
        <f>IF(SUMIFS(Journal!$D$3:$D$143,Journal!$A$3:$A$143,$B114,Journal!$E$3:$E$143,E$3)=0,"",SUMIFS(Journal!$D$3:$D$143,Journal!$A$3:$A$143,$B114,Journal!$E$3:$E$143,E$3))</f>
        <v>4000</v>
      </c>
      <c r="F114" s="86" t="str">
        <f>IF(SUMIFS(Journal!$D$3:$D$143,Journal!$A$3:$A$143,$B114,Journal!$F$3:$F$143,E$3)=0,"",SUMIFS(Journal!$D$3:$D$143,Journal!$A$3:$A$143,$B114,Journal!$F$3:$F$143,E$3))</f>
        <v/>
      </c>
      <c r="G114" s="86" t="str">
        <f>IF(SUMIFS(Journal!$D$3:$D$143,Journal!$A$3:$A$143,$B114,Journal!$E$3:$E$143,G$3)=0,"",SUMIFS(Journal!$D$3:$D$143,Journal!$A$3:$A$143,$B114,Journal!$E$3:$E$143,G$3))</f>
        <v/>
      </c>
      <c r="H114" s="86" t="str">
        <f>IF(SUMIFS(Journal!$D$3:$D$143,Journal!$A$3:$A$143,$B114,Journal!$F$3:$F$143,G$3)=0,"",SUMIFS(Journal!$D$3:$D$143,Journal!$A$3:$A$143,$B114,Journal!$F$3:$F$143,G$3))</f>
        <v/>
      </c>
      <c r="I114" s="86" t="str">
        <f>IF(SUMIFS(Journal!$D$3:$D$143,Journal!$A$3:$A$143,$B114,Journal!$E$3:$E$143,I$3)=0,"",SUMIFS(Journal!$D$3:$D$143,Journal!$A$3:$A$143,$B114,Journal!$E$3:$E$143,I$3))</f>
        <v/>
      </c>
      <c r="J114" s="86" t="str">
        <f>IF(SUMIFS(Journal!$D$3:$D$143,Journal!$A$3:$A$143,$B114,Journal!$F$3:$F$143,I$3)=0,"",SUMIFS(Journal!$D$3:$D$143,Journal!$A$3:$A$143,$B114,Journal!$F$3:$F$143,I$3))</f>
        <v/>
      </c>
      <c r="K114" s="86" t="str">
        <f>IF(SUMIFS(Journal!$D$3:$D$143,Journal!$A$3:$A$143,$B114,Journal!$E$3:$E$143,K$3)=0,"",SUMIFS(Journal!$D$3:$D$143,Journal!$A$3:$A$143,$B114,Journal!$E$3:$E$143,K$3))</f>
        <v/>
      </c>
      <c r="L114" s="86" t="str">
        <f>IF(SUMIFS(Journal!$D$3:$D$143,Journal!$A$3:$A$143,$B114,Journal!$F$3:$F$143,K$3)=0,"",SUMIFS(Journal!$D$3:$D$143,Journal!$A$3:$A$143,$B114,Journal!$F$3:$F$143,K$3))</f>
        <v/>
      </c>
      <c r="M114" s="86" t="str">
        <f>IF(SUMIFS(Journal!$D$3:$D$143,Journal!$A$3:$A$143,$B114,Journal!$E$3:$E$143,M$3)=0,"",SUMIFS(Journal!$D$3:$D$143,Journal!$A$3:$A$143,$B114,Journal!$E$3:$E$143,M$3))</f>
        <v/>
      </c>
      <c r="N114" s="86" t="str">
        <f>IF(SUMIFS(Journal!$D$3:$D$143,Journal!$A$3:$A$143,$B114,Journal!$F$3:$F$143,M$3)=0,"",SUMIFS(Journal!$D$3:$D$143,Journal!$A$3:$A$143,$B114,Journal!$F$3:$F$143,M$3))</f>
        <v/>
      </c>
      <c r="O114" s="86" t="str">
        <f>IF(SUMIFS(Journal!$D$3:$D$143,Journal!$A$3:$A$143,$B114,Journal!$E$3:$E$143,O$3)=0,"",SUMIFS(Journal!$D$3:$D$143,Journal!$A$3:$A$143,$B114,Journal!$E$3:$E$143,O$3))</f>
        <v/>
      </c>
      <c r="P114" s="86" t="str">
        <f>IF(SUMIFS(Journal!$D$3:$D$143,Journal!$A$3:$A$143,$B114,Journal!$F$3:$F$143,O$3)=0,"",SUMIFS(Journal!$D$3:$D$143,Journal!$A$3:$A$143,$B114,Journal!$F$3:$F$143,O$3))</f>
        <v/>
      </c>
      <c r="Q114" s="86" t="str">
        <f>IF(SUMIFS(Journal!$D$3:$D$143,Journal!$A$3:$A$143,$B114,Journal!$E$3:$E$143,Q$3)=0,"",SUMIFS(Journal!$D$3:$D$143,Journal!$A$3:$A$143,$B114,Journal!$E$3:$E$143,Q$3))</f>
        <v/>
      </c>
      <c r="R114" s="86" t="str">
        <f>IF(SUMIFS(Journal!$D$3:$D$143,Journal!$A$3:$A$143,$B114,Journal!$F$3:$F$143,Q$3)=0,"",SUMIFS(Journal!$D$3:$D$143,Journal!$A$3:$A$143,$B114,Journal!$F$3:$F$143,Q$3))</f>
        <v/>
      </c>
      <c r="S114" s="86" t="str">
        <f>IF(SUMIFS(Journal!$D$3:$D$143,Journal!$A$3:$A$143,$B114,Journal!$E$3:$E$143,S$3)=0,"",SUMIFS(Journal!$D$3:$D$143,Journal!$A$3:$A$143,$B114,Journal!$E$3:$E$143,S$3))</f>
        <v/>
      </c>
      <c r="T114" s="86" t="str">
        <f>IF(SUMIFS(Journal!$D$3:$D$143,Journal!$A$3:$A$143,$B114,Journal!$F$3:$F$143,S$3)=0,"",SUMIFS(Journal!$D$3:$D$143,Journal!$A$3:$A$143,$B114,Journal!$F$3:$F$143,S$3))</f>
        <v/>
      </c>
      <c r="U114" s="86" t="str">
        <f>IF(SUMIFS(Journal!$D$3:$D$143,Journal!$A$3:$A$143,$B114,Journal!$E$3:$E$143,U$3)=0,"",SUMIFS(Journal!$D$3:$D$143,Journal!$A$3:$A$143,$B114,Journal!$E$3:$E$143,U$3))</f>
        <v/>
      </c>
      <c r="V114" s="86" t="str">
        <f>IF(SUMIFS(Journal!$D$3:$D$143,Journal!$A$3:$A$143,$B114,Journal!$F$3:$F$143,U$3)=0,"",SUMIFS(Journal!$D$3:$D$143,Journal!$A$3:$A$143,$B114,Journal!$F$3:$F$143,U$3))</f>
        <v/>
      </c>
      <c r="W114" s="86" t="str">
        <f>IF(SUMIFS(Journal!$D$3:$D$143,Journal!$A$3:$A$143,$B114,Journal!$E$3:$E$143,W$3)=0,"",SUMIFS(Journal!$D$3:$D$143,Journal!$A$3:$A$143,$B114,Journal!$E$3:$E$143,W$3))</f>
        <v/>
      </c>
      <c r="X114" s="86">
        <f>IF(SUMIFS(Journal!$D$3:$D$143,Journal!$A$3:$A$143,$B114,Journal!$F$3:$F$143,W$3)=0,"",SUMIFS(Journal!$D$3:$D$143,Journal!$A$3:$A$143,$B114,Journal!$F$3:$F$143,W$3))</f>
        <v>4000</v>
      </c>
      <c r="Y114" s="86" t="str">
        <f>IF(SUMIFS(Journal!$D$3:$D$143,Journal!$A$3:$A$143,$B114,Journal!$E$3:$E$143,Y$3)=0,"",SUMIFS(Journal!$D$3:$D$143,Journal!$A$3:$A$143,$B114,Journal!$E$3:$E$143,Y$3))</f>
        <v/>
      </c>
      <c r="Z114" s="86" t="str">
        <f>IF(SUMIFS(Journal!$D$3:$D$143,Journal!$A$3:$A$143,$B114,Journal!$F$3:$F$143,Y$3)=0,"",SUMIFS(Journal!$D$3:$D$143,Journal!$A$3:$A$143,$B114,Journal!$F$3:$F$143,Y$3))</f>
        <v/>
      </c>
      <c r="AA114" s="86" t="str">
        <f>IF(SUMIFS(Journal!$D$3:$D$143,Journal!$A$3:$A$143,$B114,Journal!$E$3:$E$143,AA$3)=0,"",SUMIFS(Journal!$D$3:$D$143,Journal!$A$3:$A$143,$B114,Journal!$E$3:$E$143,AA$3))</f>
        <v/>
      </c>
      <c r="AB114" s="86" t="str">
        <f>IF(SUMIFS(Journal!$D$3:$D$143,Journal!$A$3:$A$143,$B114,Journal!$F$3:$F$143,AA$3)=0,"",SUMIFS(Journal!$D$3:$D$143,Journal!$A$3:$A$143,$B114,Journal!$F$3:$F$143,AA$3))</f>
        <v/>
      </c>
      <c r="AC114" s="86" t="str">
        <f>IF(SUMIFS(Journal!$D$3:$D$143,Journal!$A$3:$A$143,$B114,Journal!$E$3:$E$143,AC$3)=0,"",SUMIFS(Journal!$D$3:$D$143,Journal!$A$3:$A$143,$B114,Journal!$E$3:$E$143,AC$3))</f>
        <v/>
      </c>
      <c r="AD114" s="86" t="str">
        <f>IF(SUMIFS(Journal!$D$3:$D$143,Journal!$A$3:$A$143,$B114,Journal!$F$3:$F$143,AC$3)=0,"",SUMIFS(Journal!$D$3:$D$143,Journal!$A$3:$A$143,$B114,Journal!$F$3:$F$143,AC$3))</f>
        <v/>
      </c>
      <c r="AE114" s="86" t="str">
        <f>IF(SUMIFS(Journal!$D$3:$D$143,Journal!$A$3:$A$143,$B114,Journal!$E$3:$E$143,AE$3)=0,"",SUMIFS(Journal!$D$3:$D$143,Journal!$A$3:$A$143,$B114,Journal!$E$3:$E$143,AE$3))</f>
        <v/>
      </c>
      <c r="AF114" s="86" t="str">
        <f>IF(SUMIFS(Journal!$D$3:$D$143,Journal!$A$3:$A$143,$B114,Journal!$F$3:$F$143,AE$3)=0,"",SUMIFS(Journal!$D$3:$D$143,Journal!$A$3:$A$143,$B114,Journal!$F$3:$F$143,AE$3))</f>
        <v/>
      </c>
      <c r="AG114" s="86" t="str">
        <f>IF(SUMIFS(Journal!$D$3:$D$143,Journal!$A$3:$A$143,$B114,Journal!$E$3:$E$143,AG$3)=0,"",SUMIFS(Journal!$D$3:$D$143,Journal!$A$3:$A$143,$B114,Journal!$E$3:$E$143,AG$3))</f>
        <v/>
      </c>
      <c r="AH114" s="86" t="str">
        <f>IF(SUMIFS(Journal!$D$3:$D$143,Journal!$A$3:$A$143,$B114,Journal!$F$3:$F$143,AG$3)=0,"",SUMIFS(Journal!$D$3:$D$143,Journal!$A$3:$A$143,$B114,Journal!$F$3:$F$143,AG$3))</f>
        <v/>
      </c>
      <c r="AI114" s="86" t="str">
        <f>IF(SUMIFS(Journal!$D$3:$D$143,Journal!$A$3:$A$143,$B114,Journal!$E$3:$E$143,AI$3)=0,"",SUMIFS(Journal!$D$3:$D$143,Journal!$A$3:$A$143,$B114,Journal!$E$3:$E$143,AI$3))</f>
        <v/>
      </c>
      <c r="AJ114" s="86" t="str">
        <f>IF(SUMIFS(Journal!$D$3:$D$143,Journal!$A$3:$A$143,$B114,Journal!$F$3:$F$143,AI$3)=0,"",SUMIFS(Journal!$D$3:$D$143,Journal!$A$3:$A$143,$B114,Journal!$F$3:$F$143,AI$3))</f>
        <v/>
      </c>
      <c r="AK114" s="86" t="str">
        <f>IF(SUMIFS(Journal!$D$3:$D$143,Journal!$A$3:$A$143,$B114,Journal!$E$3:$E$143,AK$3)=0,"",SUMIFS(Journal!$D$3:$D$143,Journal!$A$3:$A$143,$B114,Journal!$E$3:$E$143,AK$3))</f>
        <v/>
      </c>
      <c r="AL114" s="86" t="str">
        <f>IF(SUMIFS(Journal!$D$3:$D$143,Journal!$A$3:$A$143,$B114,Journal!$F$3:$F$143,AK$3)=0,"",SUMIFS(Journal!$D$3:$D$143,Journal!$A$3:$A$143,$B114,Journal!$F$3:$F$143,AK$3))</f>
        <v/>
      </c>
      <c r="AM114" s="86" t="str">
        <f>IF(SUMIFS(Journal!$D$3:$D$143,Journal!$A$3:$A$143,$B114,Journal!$E$3:$E$143,AM$3)=0,"",SUMIFS(Journal!$D$3:$D$143,Journal!$A$3:$A$143,$B114,Journal!$E$3:$E$143,AM$3))</f>
        <v/>
      </c>
      <c r="AN114" s="86" t="str">
        <f>IF(SUMIFS(Journal!$D$3:$D$143,Journal!$A$3:$A$143,$B114,Journal!$F$3:$F$143,AM$3)=0,"",SUMIFS(Journal!$D$3:$D$143,Journal!$A$3:$A$143,$B114,Journal!$F$3:$F$143,AM$3))</f>
        <v/>
      </c>
      <c r="AO114" s="86" t="str">
        <f>IF(SUMIFS(Journal!$D$3:$D$143,Journal!$A$3:$A$143,$B114,Journal!$E$3:$E$143,AO$3)=0,"",SUMIFS(Journal!$D$3:$D$143,Journal!$A$3:$A$143,$B114,Journal!$E$3:$E$143,AO$3))</f>
        <v/>
      </c>
      <c r="AP114" s="86" t="str">
        <f>IF(SUMIFS(Journal!$D$3:$D$143,Journal!$A$3:$A$143,$B114,Journal!$F$3:$F$143,AO$3)=0,"",SUMIFS(Journal!$D$3:$D$143,Journal!$A$3:$A$143,$B114,Journal!$F$3:$F$143,AO$3))</f>
        <v/>
      </c>
      <c r="AQ114" s="86" t="str">
        <f>IF(SUMIFS(Journal!$D$3:$D$143,Journal!$A$3:$A$143,$B114,Journal!$E$3:$E$143,AQ$3)=0,"",SUMIFS(Journal!$D$3:$D$143,Journal!$A$3:$A$143,$B114,Journal!$E$3:$E$143,AQ$3))</f>
        <v/>
      </c>
      <c r="AR114" s="86" t="str">
        <f>IF(SUMIFS(Journal!$D$3:$D$143,Journal!$A$3:$A$143,$B114,Journal!$F$3:$F$143,AQ$3)=0,"",SUMIFS(Journal!$D$3:$D$143,Journal!$A$3:$A$143,$B114,Journal!$F$3:$F$143,AQ$3))</f>
        <v/>
      </c>
      <c r="AS114" s="86" t="str">
        <f>IF(SUMIFS(Journal!$D$3:$D$143,Journal!$A$3:$A$143,$B114,Journal!$E$3:$E$143,AS$3)=0,"",SUMIFS(Journal!$D$3:$D$143,Journal!$A$3:$A$143,$B114,Journal!$E$3:$E$143,AS$3))</f>
        <v/>
      </c>
      <c r="AT114" s="86" t="str">
        <f>IF(SUMIFS(Journal!$D$3:$D$143,Journal!$A$3:$A$143,$B114,Journal!$F$3:$F$143,AS$3)=0,"",SUMIFS(Journal!$D$3:$D$143,Journal!$A$3:$A$143,$B114,Journal!$F$3:$F$143,AS$3))</f>
        <v/>
      </c>
      <c r="AU114" s="86" t="str">
        <f>IF(SUMIFS(Journal!$D$3:$D$143,Journal!$A$3:$A$143,$B114,Journal!$E$3:$E$143,AU$3)=0,"",SUMIFS(Journal!$D$3:$D$143,Journal!$A$3:$A$143,$B114,Journal!$E$3:$E$143,AU$3))</f>
        <v/>
      </c>
      <c r="AV114" s="86" t="str">
        <f>IF(SUMIFS(Journal!$D$3:$D$143,Journal!$A$3:$A$143,$B114,Journal!$F$3:$F$143,AU$3)=0,"",SUMIFS(Journal!$D$3:$D$143,Journal!$A$3:$A$143,$B114,Journal!$F$3:$F$143,AU$3))</f>
        <v/>
      </c>
      <c r="AW114" s="86" t="str">
        <f>IF(SUMIFS(Journal!$D$3:$D$143,Journal!$A$3:$A$143,$B114,Journal!$E$3:$E$143,AW$3)=0,"",SUMIFS(Journal!$D$3:$D$143,Journal!$A$3:$A$143,$B114,Journal!$E$3:$E$143,AW$3))</f>
        <v/>
      </c>
      <c r="AX114" s="86" t="str">
        <f>IF(SUMIFS(Journal!$D$3:$D$143,Journal!$A$3:$A$143,$B114,Journal!$F$3:$F$143,AW$3)=0,"",SUMIFS(Journal!$D$3:$D$143,Journal!$A$3:$A$143,$B114,Journal!$F$3:$F$143,AW$3))</f>
        <v/>
      </c>
      <c r="AY114" s="86" t="str">
        <f>IF(SUMIFS(Journal!$D$3:$D$143,Journal!$A$3:$A$143,$B114,Journal!$E$3:$E$143,AY$3)=0,"",SUMIFS(Journal!$D$3:$D$143,Journal!$A$3:$A$143,$B114,Journal!$E$3:$E$143,AY$3))</f>
        <v/>
      </c>
      <c r="AZ114" s="86" t="str">
        <f>IF(SUMIFS(Journal!$D$3:$D$143,Journal!$A$3:$A$143,$B114,Journal!$F$3:$F$143,AY$3)=0,"",SUMIFS(Journal!$D$3:$D$143,Journal!$A$3:$A$143,$B114,Journal!$F$3:$F$143,AY$3))</f>
        <v/>
      </c>
      <c r="BA114" s="86" t="str">
        <f>IF(SUMIFS(Journal!$D$3:$D$143,Journal!$A$3:$A$143,$B114,Journal!$E$3:$E$143,BA$3)=0,"",SUMIFS(Journal!$D$3:$D$143,Journal!$A$3:$A$143,$B114,Journal!$E$3:$E$143,BA$3))</f>
        <v/>
      </c>
      <c r="BB114" s="86" t="str">
        <f>IF(SUMIFS(Journal!$D$3:$D$143,Journal!$A$3:$A$143,$B114,Journal!$F$3:$F$143,BA$3)=0,"",SUMIFS(Journal!$D$3:$D$143,Journal!$A$3:$A$143,$B114,Journal!$F$3:$F$143,BA$3))</f>
        <v/>
      </c>
    </row>
    <row r="115">
      <c r="A115" s="84">
        <f>VLOOKUP(B115,Journal!$A$3:$C$143,2,FALSE)</f>
        <v>45616</v>
      </c>
      <c r="B115" s="85" t="s">
        <v>604</v>
      </c>
      <c r="C115" s="86" t="str">
        <f>VLOOKUP(B115,Journal!$A$3:$C$143,3,FALSE)</f>
        <v>Guided tour revenue</v>
      </c>
      <c r="D115" s="86">
        <f>SUMIF(Journal!$A$3:$A$143,B115,Journal!$D$3:$D$143)</f>
        <v>3000</v>
      </c>
      <c r="E115" s="86">
        <f>IF(SUMIFS(Journal!$D$3:$D$143,Journal!$A$3:$A$143,$B115,Journal!$E$3:$E$143,E$3)=0,"",SUMIFS(Journal!$D$3:$D$143,Journal!$A$3:$A$143,$B115,Journal!$E$3:$E$143,E$3))</f>
        <v>3000</v>
      </c>
      <c r="F115" s="86" t="str">
        <f>IF(SUMIFS(Journal!$D$3:$D$143,Journal!$A$3:$A$143,$B115,Journal!$F$3:$F$143,E$3)=0,"",SUMIFS(Journal!$D$3:$D$143,Journal!$A$3:$A$143,$B115,Journal!$F$3:$F$143,E$3))</f>
        <v/>
      </c>
      <c r="G115" s="86" t="str">
        <f>IF(SUMIFS(Journal!$D$3:$D$143,Journal!$A$3:$A$143,$B115,Journal!$E$3:$E$143,G$3)=0,"",SUMIFS(Journal!$D$3:$D$143,Journal!$A$3:$A$143,$B115,Journal!$E$3:$E$143,G$3))</f>
        <v/>
      </c>
      <c r="H115" s="86" t="str">
        <f>IF(SUMIFS(Journal!$D$3:$D$143,Journal!$A$3:$A$143,$B115,Journal!$F$3:$F$143,G$3)=0,"",SUMIFS(Journal!$D$3:$D$143,Journal!$A$3:$A$143,$B115,Journal!$F$3:$F$143,G$3))</f>
        <v/>
      </c>
      <c r="I115" s="86" t="str">
        <f>IF(SUMIFS(Journal!$D$3:$D$143,Journal!$A$3:$A$143,$B115,Journal!$E$3:$E$143,I$3)=0,"",SUMIFS(Journal!$D$3:$D$143,Journal!$A$3:$A$143,$B115,Journal!$E$3:$E$143,I$3))</f>
        <v/>
      </c>
      <c r="J115" s="86" t="str">
        <f>IF(SUMIFS(Journal!$D$3:$D$143,Journal!$A$3:$A$143,$B115,Journal!$F$3:$F$143,I$3)=0,"",SUMIFS(Journal!$D$3:$D$143,Journal!$A$3:$A$143,$B115,Journal!$F$3:$F$143,I$3))</f>
        <v/>
      </c>
      <c r="K115" s="86" t="str">
        <f>IF(SUMIFS(Journal!$D$3:$D$143,Journal!$A$3:$A$143,$B115,Journal!$E$3:$E$143,K$3)=0,"",SUMIFS(Journal!$D$3:$D$143,Journal!$A$3:$A$143,$B115,Journal!$E$3:$E$143,K$3))</f>
        <v/>
      </c>
      <c r="L115" s="86" t="str">
        <f>IF(SUMIFS(Journal!$D$3:$D$143,Journal!$A$3:$A$143,$B115,Journal!$F$3:$F$143,K$3)=0,"",SUMIFS(Journal!$D$3:$D$143,Journal!$A$3:$A$143,$B115,Journal!$F$3:$F$143,K$3))</f>
        <v/>
      </c>
      <c r="M115" s="86" t="str">
        <f>IF(SUMIFS(Journal!$D$3:$D$143,Journal!$A$3:$A$143,$B115,Journal!$E$3:$E$143,M$3)=0,"",SUMIFS(Journal!$D$3:$D$143,Journal!$A$3:$A$143,$B115,Journal!$E$3:$E$143,M$3))</f>
        <v/>
      </c>
      <c r="N115" s="86" t="str">
        <f>IF(SUMIFS(Journal!$D$3:$D$143,Journal!$A$3:$A$143,$B115,Journal!$F$3:$F$143,M$3)=0,"",SUMIFS(Journal!$D$3:$D$143,Journal!$A$3:$A$143,$B115,Journal!$F$3:$F$143,M$3))</f>
        <v/>
      </c>
      <c r="O115" s="86" t="str">
        <f>IF(SUMIFS(Journal!$D$3:$D$143,Journal!$A$3:$A$143,$B115,Journal!$E$3:$E$143,O$3)=0,"",SUMIFS(Journal!$D$3:$D$143,Journal!$A$3:$A$143,$B115,Journal!$E$3:$E$143,O$3))</f>
        <v/>
      </c>
      <c r="P115" s="86" t="str">
        <f>IF(SUMIFS(Journal!$D$3:$D$143,Journal!$A$3:$A$143,$B115,Journal!$F$3:$F$143,O$3)=0,"",SUMIFS(Journal!$D$3:$D$143,Journal!$A$3:$A$143,$B115,Journal!$F$3:$F$143,O$3))</f>
        <v/>
      </c>
      <c r="Q115" s="86" t="str">
        <f>IF(SUMIFS(Journal!$D$3:$D$143,Journal!$A$3:$A$143,$B115,Journal!$E$3:$E$143,Q$3)=0,"",SUMIFS(Journal!$D$3:$D$143,Journal!$A$3:$A$143,$B115,Journal!$E$3:$E$143,Q$3))</f>
        <v/>
      </c>
      <c r="R115" s="86" t="str">
        <f>IF(SUMIFS(Journal!$D$3:$D$143,Journal!$A$3:$A$143,$B115,Journal!$F$3:$F$143,Q$3)=0,"",SUMIFS(Journal!$D$3:$D$143,Journal!$A$3:$A$143,$B115,Journal!$F$3:$F$143,Q$3))</f>
        <v/>
      </c>
      <c r="S115" s="86" t="str">
        <f>IF(SUMIFS(Journal!$D$3:$D$143,Journal!$A$3:$A$143,$B115,Journal!$E$3:$E$143,S$3)=0,"",SUMIFS(Journal!$D$3:$D$143,Journal!$A$3:$A$143,$B115,Journal!$E$3:$E$143,S$3))</f>
        <v/>
      </c>
      <c r="T115" s="86" t="str">
        <f>IF(SUMIFS(Journal!$D$3:$D$143,Journal!$A$3:$A$143,$B115,Journal!$F$3:$F$143,S$3)=0,"",SUMIFS(Journal!$D$3:$D$143,Journal!$A$3:$A$143,$B115,Journal!$F$3:$F$143,S$3))</f>
        <v/>
      </c>
      <c r="U115" s="86" t="str">
        <f>IF(SUMIFS(Journal!$D$3:$D$143,Journal!$A$3:$A$143,$B115,Journal!$E$3:$E$143,U$3)=0,"",SUMIFS(Journal!$D$3:$D$143,Journal!$A$3:$A$143,$B115,Journal!$E$3:$E$143,U$3))</f>
        <v/>
      </c>
      <c r="V115" s="86" t="str">
        <f>IF(SUMIFS(Journal!$D$3:$D$143,Journal!$A$3:$A$143,$B115,Journal!$F$3:$F$143,U$3)=0,"",SUMIFS(Journal!$D$3:$D$143,Journal!$A$3:$A$143,$B115,Journal!$F$3:$F$143,U$3))</f>
        <v/>
      </c>
      <c r="W115" s="86" t="str">
        <f>IF(SUMIFS(Journal!$D$3:$D$143,Journal!$A$3:$A$143,$B115,Journal!$E$3:$E$143,W$3)=0,"",SUMIFS(Journal!$D$3:$D$143,Journal!$A$3:$A$143,$B115,Journal!$E$3:$E$143,W$3))</f>
        <v/>
      </c>
      <c r="X115" s="86" t="str">
        <f>IF(SUMIFS(Journal!$D$3:$D$143,Journal!$A$3:$A$143,$B115,Journal!$F$3:$F$143,W$3)=0,"",SUMIFS(Journal!$D$3:$D$143,Journal!$A$3:$A$143,$B115,Journal!$F$3:$F$143,W$3))</f>
        <v/>
      </c>
      <c r="Y115" s="86" t="str">
        <f>IF(SUMIFS(Journal!$D$3:$D$143,Journal!$A$3:$A$143,$B115,Journal!$E$3:$E$143,Y$3)=0,"",SUMIFS(Journal!$D$3:$D$143,Journal!$A$3:$A$143,$B115,Journal!$E$3:$E$143,Y$3))</f>
        <v/>
      </c>
      <c r="Z115" s="86">
        <f>IF(SUMIFS(Journal!$D$3:$D$143,Journal!$A$3:$A$143,$B115,Journal!$F$3:$F$143,Y$3)=0,"",SUMIFS(Journal!$D$3:$D$143,Journal!$A$3:$A$143,$B115,Journal!$F$3:$F$143,Y$3))</f>
        <v>3000</v>
      </c>
      <c r="AA115" s="86" t="str">
        <f>IF(SUMIFS(Journal!$D$3:$D$143,Journal!$A$3:$A$143,$B115,Journal!$E$3:$E$143,AA$3)=0,"",SUMIFS(Journal!$D$3:$D$143,Journal!$A$3:$A$143,$B115,Journal!$E$3:$E$143,AA$3))</f>
        <v/>
      </c>
      <c r="AB115" s="86" t="str">
        <f>IF(SUMIFS(Journal!$D$3:$D$143,Journal!$A$3:$A$143,$B115,Journal!$F$3:$F$143,AA$3)=0,"",SUMIFS(Journal!$D$3:$D$143,Journal!$A$3:$A$143,$B115,Journal!$F$3:$F$143,AA$3))</f>
        <v/>
      </c>
      <c r="AC115" s="86" t="str">
        <f>IF(SUMIFS(Journal!$D$3:$D$143,Journal!$A$3:$A$143,$B115,Journal!$E$3:$E$143,AC$3)=0,"",SUMIFS(Journal!$D$3:$D$143,Journal!$A$3:$A$143,$B115,Journal!$E$3:$E$143,AC$3))</f>
        <v/>
      </c>
      <c r="AD115" s="86" t="str">
        <f>IF(SUMIFS(Journal!$D$3:$D$143,Journal!$A$3:$A$143,$B115,Journal!$F$3:$F$143,AC$3)=0,"",SUMIFS(Journal!$D$3:$D$143,Journal!$A$3:$A$143,$B115,Journal!$F$3:$F$143,AC$3))</f>
        <v/>
      </c>
      <c r="AE115" s="86" t="str">
        <f>IF(SUMIFS(Journal!$D$3:$D$143,Journal!$A$3:$A$143,$B115,Journal!$E$3:$E$143,AE$3)=0,"",SUMIFS(Journal!$D$3:$D$143,Journal!$A$3:$A$143,$B115,Journal!$E$3:$E$143,AE$3))</f>
        <v/>
      </c>
      <c r="AF115" s="86" t="str">
        <f>IF(SUMIFS(Journal!$D$3:$D$143,Journal!$A$3:$A$143,$B115,Journal!$F$3:$F$143,AE$3)=0,"",SUMIFS(Journal!$D$3:$D$143,Journal!$A$3:$A$143,$B115,Journal!$F$3:$F$143,AE$3))</f>
        <v/>
      </c>
      <c r="AG115" s="86" t="str">
        <f>IF(SUMIFS(Journal!$D$3:$D$143,Journal!$A$3:$A$143,$B115,Journal!$E$3:$E$143,AG$3)=0,"",SUMIFS(Journal!$D$3:$D$143,Journal!$A$3:$A$143,$B115,Journal!$E$3:$E$143,AG$3))</f>
        <v/>
      </c>
      <c r="AH115" s="86" t="str">
        <f>IF(SUMIFS(Journal!$D$3:$D$143,Journal!$A$3:$A$143,$B115,Journal!$F$3:$F$143,AG$3)=0,"",SUMIFS(Journal!$D$3:$D$143,Journal!$A$3:$A$143,$B115,Journal!$F$3:$F$143,AG$3))</f>
        <v/>
      </c>
      <c r="AI115" s="86" t="str">
        <f>IF(SUMIFS(Journal!$D$3:$D$143,Journal!$A$3:$A$143,$B115,Journal!$E$3:$E$143,AI$3)=0,"",SUMIFS(Journal!$D$3:$D$143,Journal!$A$3:$A$143,$B115,Journal!$E$3:$E$143,AI$3))</f>
        <v/>
      </c>
      <c r="AJ115" s="86" t="str">
        <f>IF(SUMIFS(Journal!$D$3:$D$143,Journal!$A$3:$A$143,$B115,Journal!$F$3:$F$143,AI$3)=0,"",SUMIFS(Journal!$D$3:$D$143,Journal!$A$3:$A$143,$B115,Journal!$F$3:$F$143,AI$3))</f>
        <v/>
      </c>
      <c r="AK115" s="86" t="str">
        <f>IF(SUMIFS(Journal!$D$3:$D$143,Journal!$A$3:$A$143,$B115,Journal!$E$3:$E$143,AK$3)=0,"",SUMIFS(Journal!$D$3:$D$143,Journal!$A$3:$A$143,$B115,Journal!$E$3:$E$143,AK$3))</f>
        <v/>
      </c>
      <c r="AL115" s="86" t="str">
        <f>IF(SUMIFS(Journal!$D$3:$D$143,Journal!$A$3:$A$143,$B115,Journal!$F$3:$F$143,AK$3)=0,"",SUMIFS(Journal!$D$3:$D$143,Journal!$A$3:$A$143,$B115,Journal!$F$3:$F$143,AK$3))</f>
        <v/>
      </c>
      <c r="AM115" s="86" t="str">
        <f>IF(SUMIFS(Journal!$D$3:$D$143,Journal!$A$3:$A$143,$B115,Journal!$E$3:$E$143,AM$3)=0,"",SUMIFS(Journal!$D$3:$D$143,Journal!$A$3:$A$143,$B115,Journal!$E$3:$E$143,AM$3))</f>
        <v/>
      </c>
      <c r="AN115" s="86" t="str">
        <f>IF(SUMIFS(Journal!$D$3:$D$143,Journal!$A$3:$A$143,$B115,Journal!$F$3:$F$143,AM$3)=0,"",SUMIFS(Journal!$D$3:$D$143,Journal!$A$3:$A$143,$B115,Journal!$F$3:$F$143,AM$3))</f>
        <v/>
      </c>
      <c r="AO115" s="86" t="str">
        <f>IF(SUMIFS(Journal!$D$3:$D$143,Journal!$A$3:$A$143,$B115,Journal!$E$3:$E$143,AO$3)=0,"",SUMIFS(Journal!$D$3:$D$143,Journal!$A$3:$A$143,$B115,Journal!$E$3:$E$143,AO$3))</f>
        <v/>
      </c>
      <c r="AP115" s="86" t="str">
        <f>IF(SUMIFS(Journal!$D$3:$D$143,Journal!$A$3:$A$143,$B115,Journal!$F$3:$F$143,AO$3)=0,"",SUMIFS(Journal!$D$3:$D$143,Journal!$A$3:$A$143,$B115,Journal!$F$3:$F$143,AO$3))</f>
        <v/>
      </c>
      <c r="AQ115" s="86" t="str">
        <f>IF(SUMIFS(Journal!$D$3:$D$143,Journal!$A$3:$A$143,$B115,Journal!$E$3:$E$143,AQ$3)=0,"",SUMIFS(Journal!$D$3:$D$143,Journal!$A$3:$A$143,$B115,Journal!$E$3:$E$143,AQ$3))</f>
        <v/>
      </c>
      <c r="AR115" s="86" t="str">
        <f>IF(SUMIFS(Journal!$D$3:$D$143,Journal!$A$3:$A$143,$B115,Journal!$F$3:$F$143,AQ$3)=0,"",SUMIFS(Journal!$D$3:$D$143,Journal!$A$3:$A$143,$B115,Journal!$F$3:$F$143,AQ$3))</f>
        <v/>
      </c>
      <c r="AS115" s="86" t="str">
        <f>IF(SUMIFS(Journal!$D$3:$D$143,Journal!$A$3:$A$143,$B115,Journal!$E$3:$E$143,AS$3)=0,"",SUMIFS(Journal!$D$3:$D$143,Journal!$A$3:$A$143,$B115,Journal!$E$3:$E$143,AS$3))</f>
        <v/>
      </c>
      <c r="AT115" s="86" t="str">
        <f>IF(SUMIFS(Journal!$D$3:$D$143,Journal!$A$3:$A$143,$B115,Journal!$F$3:$F$143,AS$3)=0,"",SUMIFS(Journal!$D$3:$D$143,Journal!$A$3:$A$143,$B115,Journal!$F$3:$F$143,AS$3))</f>
        <v/>
      </c>
      <c r="AU115" s="86" t="str">
        <f>IF(SUMIFS(Journal!$D$3:$D$143,Journal!$A$3:$A$143,$B115,Journal!$E$3:$E$143,AU$3)=0,"",SUMIFS(Journal!$D$3:$D$143,Journal!$A$3:$A$143,$B115,Journal!$E$3:$E$143,AU$3))</f>
        <v/>
      </c>
      <c r="AV115" s="86" t="str">
        <f>IF(SUMIFS(Journal!$D$3:$D$143,Journal!$A$3:$A$143,$B115,Journal!$F$3:$F$143,AU$3)=0,"",SUMIFS(Journal!$D$3:$D$143,Journal!$A$3:$A$143,$B115,Journal!$F$3:$F$143,AU$3))</f>
        <v/>
      </c>
      <c r="AW115" s="86" t="str">
        <f>IF(SUMIFS(Journal!$D$3:$D$143,Journal!$A$3:$A$143,$B115,Journal!$E$3:$E$143,AW$3)=0,"",SUMIFS(Journal!$D$3:$D$143,Journal!$A$3:$A$143,$B115,Journal!$E$3:$E$143,AW$3))</f>
        <v/>
      </c>
      <c r="AX115" s="86" t="str">
        <f>IF(SUMIFS(Journal!$D$3:$D$143,Journal!$A$3:$A$143,$B115,Journal!$F$3:$F$143,AW$3)=0,"",SUMIFS(Journal!$D$3:$D$143,Journal!$A$3:$A$143,$B115,Journal!$F$3:$F$143,AW$3))</f>
        <v/>
      </c>
      <c r="AY115" s="86" t="str">
        <f>IF(SUMIFS(Journal!$D$3:$D$143,Journal!$A$3:$A$143,$B115,Journal!$E$3:$E$143,AY$3)=0,"",SUMIFS(Journal!$D$3:$D$143,Journal!$A$3:$A$143,$B115,Journal!$E$3:$E$143,AY$3))</f>
        <v/>
      </c>
      <c r="AZ115" s="86" t="str">
        <f>IF(SUMIFS(Journal!$D$3:$D$143,Journal!$A$3:$A$143,$B115,Journal!$F$3:$F$143,AY$3)=0,"",SUMIFS(Journal!$D$3:$D$143,Journal!$A$3:$A$143,$B115,Journal!$F$3:$F$143,AY$3))</f>
        <v/>
      </c>
      <c r="BA115" s="86" t="str">
        <f>IF(SUMIFS(Journal!$D$3:$D$143,Journal!$A$3:$A$143,$B115,Journal!$E$3:$E$143,BA$3)=0,"",SUMIFS(Journal!$D$3:$D$143,Journal!$A$3:$A$143,$B115,Journal!$E$3:$E$143,BA$3))</f>
        <v/>
      </c>
      <c r="BB115" s="86" t="str">
        <f>IF(SUMIFS(Journal!$D$3:$D$143,Journal!$A$3:$A$143,$B115,Journal!$F$3:$F$143,BA$3)=0,"",SUMIFS(Journal!$D$3:$D$143,Journal!$A$3:$A$143,$B115,Journal!$F$3:$F$143,BA$3))</f>
        <v/>
      </c>
    </row>
    <row r="116">
      <c r="A116" s="84">
        <f>VLOOKUP(B116,Journal!$A$3:$C$143,2,FALSE)</f>
        <v>45620</v>
      </c>
      <c r="B116" s="85" t="s">
        <v>606</v>
      </c>
      <c r="C116" s="86" t="str">
        <f>VLOOKUP(B116,Journal!$A$3:$C$143,3,FALSE)</f>
        <v>Employee payroll settlement</v>
      </c>
      <c r="D116" s="86">
        <f>SUMIF(Journal!$A$3:$A$143,B116,Journal!$D$3:$D$143)</f>
        <v>7700</v>
      </c>
      <c r="E116" s="86" t="str">
        <f>IF(SUMIFS(Journal!$D$3:$D$143,Journal!$A$3:$A$143,$B116,Journal!$E$3:$E$143,E$3)=0,"",SUMIFS(Journal!$D$3:$D$143,Journal!$A$3:$A$143,$B116,Journal!$E$3:$E$143,E$3))</f>
        <v/>
      </c>
      <c r="F116" s="86">
        <f>IF(SUMIFS(Journal!$D$3:$D$143,Journal!$A$3:$A$143,$B116,Journal!$F$3:$F$143,E$3)=0,"",SUMIFS(Journal!$D$3:$D$143,Journal!$A$3:$A$143,$B116,Journal!$F$3:$F$143,E$3))</f>
        <v>7700</v>
      </c>
      <c r="G116" s="86" t="str">
        <f>IF(SUMIFS(Journal!$D$3:$D$143,Journal!$A$3:$A$143,$B116,Journal!$E$3:$E$143,G$3)=0,"",SUMIFS(Journal!$D$3:$D$143,Journal!$A$3:$A$143,$B116,Journal!$E$3:$E$143,G$3))</f>
        <v/>
      </c>
      <c r="H116" s="86" t="str">
        <f>IF(SUMIFS(Journal!$D$3:$D$143,Journal!$A$3:$A$143,$B116,Journal!$F$3:$F$143,G$3)=0,"",SUMIFS(Journal!$D$3:$D$143,Journal!$A$3:$A$143,$B116,Journal!$F$3:$F$143,G$3))</f>
        <v/>
      </c>
      <c r="I116" s="86" t="str">
        <f>IF(SUMIFS(Journal!$D$3:$D$143,Journal!$A$3:$A$143,$B116,Journal!$E$3:$E$143,I$3)=0,"",SUMIFS(Journal!$D$3:$D$143,Journal!$A$3:$A$143,$B116,Journal!$E$3:$E$143,I$3))</f>
        <v/>
      </c>
      <c r="J116" s="86" t="str">
        <f>IF(SUMIFS(Journal!$D$3:$D$143,Journal!$A$3:$A$143,$B116,Journal!$F$3:$F$143,I$3)=0,"",SUMIFS(Journal!$D$3:$D$143,Journal!$A$3:$A$143,$B116,Journal!$F$3:$F$143,I$3))</f>
        <v/>
      </c>
      <c r="K116" s="86" t="str">
        <f>IF(SUMIFS(Journal!$D$3:$D$143,Journal!$A$3:$A$143,$B116,Journal!$E$3:$E$143,K$3)=0,"",SUMIFS(Journal!$D$3:$D$143,Journal!$A$3:$A$143,$B116,Journal!$E$3:$E$143,K$3))</f>
        <v/>
      </c>
      <c r="L116" s="86" t="str">
        <f>IF(SUMIFS(Journal!$D$3:$D$143,Journal!$A$3:$A$143,$B116,Journal!$F$3:$F$143,K$3)=0,"",SUMIFS(Journal!$D$3:$D$143,Journal!$A$3:$A$143,$B116,Journal!$F$3:$F$143,K$3))</f>
        <v/>
      </c>
      <c r="M116" s="86" t="str">
        <f>IF(SUMIFS(Journal!$D$3:$D$143,Journal!$A$3:$A$143,$B116,Journal!$E$3:$E$143,M$3)=0,"",SUMIFS(Journal!$D$3:$D$143,Journal!$A$3:$A$143,$B116,Journal!$E$3:$E$143,M$3))</f>
        <v/>
      </c>
      <c r="N116" s="86" t="str">
        <f>IF(SUMIFS(Journal!$D$3:$D$143,Journal!$A$3:$A$143,$B116,Journal!$F$3:$F$143,M$3)=0,"",SUMIFS(Journal!$D$3:$D$143,Journal!$A$3:$A$143,$B116,Journal!$F$3:$F$143,M$3))</f>
        <v/>
      </c>
      <c r="O116" s="86" t="str">
        <f>IF(SUMIFS(Journal!$D$3:$D$143,Journal!$A$3:$A$143,$B116,Journal!$E$3:$E$143,O$3)=0,"",SUMIFS(Journal!$D$3:$D$143,Journal!$A$3:$A$143,$B116,Journal!$E$3:$E$143,O$3))</f>
        <v/>
      </c>
      <c r="P116" s="86" t="str">
        <f>IF(SUMIFS(Journal!$D$3:$D$143,Journal!$A$3:$A$143,$B116,Journal!$F$3:$F$143,O$3)=0,"",SUMIFS(Journal!$D$3:$D$143,Journal!$A$3:$A$143,$B116,Journal!$F$3:$F$143,O$3))</f>
        <v/>
      </c>
      <c r="Q116" s="86" t="str">
        <f>IF(SUMIFS(Journal!$D$3:$D$143,Journal!$A$3:$A$143,$B116,Journal!$E$3:$E$143,Q$3)=0,"",SUMIFS(Journal!$D$3:$D$143,Journal!$A$3:$A$143,$B116,Journal!$E$3:$E$143,Q$3))</f>
        <v/>
      </c>
      <c r="R116" s="86" t="str">
        <f>IF(SUMIFS(Journal!$D$3:$D$143,Journal!$A$3:$A$143,$B116,Journal!$F$3:$F$143,Q$3)=0,"",SUMIFS(Journal!$D$3:$D$143,Journal!$A$3:$A$143,$B116,Journal!$F$3:$F$143,Q$3))</f>
        <v/>
      </c>
      <c r="S116" s="86" t="str">
        <f>IF(SUMIFS(Journal!$D$3:$D$143,Journal!$A$3:$A$143,$B116,Journal!$E$3:$E$143,S$3)=0,"",SUMIFS(Journal!$D$3:$D$143,Journal!$A$3:$A$143,$B116,Journal!$E$3:$E$143,S$3))</f>
        <v/>
      </c>
      <c r="T116" s="86" t="str">
        <f>IF(SUMIFS(Journal!$D$3:$D$143,Journal!$A$3:$A$143,$B116,Journal!$F$3:$F$143,S$3)=0,"",SUMIFS(Journal!$D$3:$D$143,Journal!$A$3:$A$143,$B116,Journal!$F$3:$F$143,S$3))</f>
        <v/>
      </c>
      <c r="U116" s="86" t="str">
        <f>IF(SUMIFS(Journal!$D$3:$D$143,Journal!$A$3:$A$143,$B116,Journal!$E$3:$E$143,U$3)=0,"",SUMIFS(Journal!$D$3:$D$143,Journal!$A$3:$A$143,$B116,Journal!$E$3:$E$143,U$3))</f>
        <v/>
      </c>
      <c r="V116" s="86" t="str">
        <f>IF(SUMIFS(Journal!$D$3:$D$143,Journal!$A$3:$A$143,$B116,Journal!$F$3:$F$143,U$3)=0,"",SUMIFS(Journal!$D$3:$D$143,Journal!$A$3:$A$143,$B116,Journal!$F$3:$F$143,U$3))</f>
        <v/>
      </c>
      <c r="W116" s="86" t="str">
        <f>IF(SUMIFS(Journal!$D$3:$D$143,Journal!$A$3:$A$143,$B116,Journal!$E$3:$E$143,W$3)=0,"",SUMIFS(Journal!$D$3:$D$143,Journal!$A$3:$A$143,$B116,Journal!$E$3:$E$143,W$3))</f>
        <v/>
      </c>
      <c r="X116" s="86" t="str">
        <f>IF(SUMIFS(Journal!$D$3:$D$143,Journal!$A$3:$A$143,$B116,Journal!$F$3:$F$143,W$3)=0,"",SUMIFS(Journal!$D$3:$D$143,Journal!$A$3:$A$143,$B116,Journal!$F$3:$F$143,W$3))</f>
        <v/>
      </c>
      <c r="Y116" s="86" t="str">
        <f>IF(SUMIFS(Journal!$D$3:$D$143,Journal!$A$3:$A$143,$B116,Journal!$E$3:$E$143,Y$3)=0,"",SUMIFS(Journal!$D$3:$D$143,Journal!$A$3:$A$143,$B116,Journal!$E$3:$E$143,Y$3))</f>
        <v/>
      </c>
      <c r="Z116" s="86" t="str">
        <f>IF(SUMIFS(Journal!$D$3:$D$143,Journal!$A$3:$A$143,$B116,Journal!$F$3:$F$143,Y$3)=0,"",SUMIFS(Journal!$D$3:$D$143,Journal!$A$3:$A$143,$B116,Journal!$F$3:$F$143,Y$3))</f>
        <v/>
      </c>
      <c r="AA116" s="86" t="str">
        <f>IF(SUMIFS(Journal!$D$3:$D$143,Journal!$A$3:$A$143,$B116,Journal!$E$3:$E$143,AA$3)=0,"",SUMIFS(Journal!$D$3:$D$143,Journal!$A$3:$A$143,$B116,Journal!$E$3:$E$143,AA$3))</f>
        <v/>
      </c>
      <c r="AB116" s="86" t="str">
        <f>IF(SUMIFS(Journal!$D$3:$D$143,Journal!$A$3:$A$143,$B116,Journal!$F$3:$F$143,AA$3)=0,"",SUMIFS(Journal!$D$3:$D$143,Journal!$A$3:$A$143,$B116,Journal!$F$3:$F$143,AA$3))</f>
        <v/>
      </c>
      <c r="AC116" s="86" t="str">
        <f>IF(SUMIFS(Journal!$D$3:$D$143,Journal!$A$3:$A$143,$B116,Journal!$E$3:$E$143,AC$3)=0,"",SUMIFS(Journal!$D$3:$D$143,Journal!$A$3:$A$143,$B116,Journal!$E$3:$E$143,AC$3))</f>
        <v/>
      </c>
      <c r="AD116" s="86" t="str">
        <f>IF(SUMIFS(Journal!$D$3:$D$143,Journal!$A$3:$A$143,$B116,Journal!$F$3:$F$143,AC$3)=0,"",SUMIFS(Journal!$D$3:$D$143,Journal!$A$3:$A$143,$B116,Journal!$F$3:$F$143,AC$3))</f>
        <v/>
      </c>
      <c r="AE116" s="86" t="str">
        <f>IF(SUMIFS(Journal!$D$3:$D$143,Journal!$A$3:$A$143,$B116,Journal!$E$3:$E$143,AE$3)=0,"",SUMIFS(Journal!$D$3:$D$143,Journal!$A$3:$A$143,$B116,Journal!$E$3:$E$143,AE$3))</f>
        <v/>
      </c>
      <c r="AF116" s="86" t="str">
        <f>IF(SUMIFS(Journal!$D$3:$D$143,Journal!$A$3:$A$143,$B116,Journal!$F$3:$F$143,AE$3)=0,"",SUMIFS(Journal!$D$3:$D$143,Journal!$A$3:$A$143,$B116,Journal!$F$3:$F$143,AE$3))</f>
        <v/>
      </c>
      <c r="AG116" s="86">
        <f>IF(SUMIFS(Journal!$D$3:$D$143,Journal!$A$3:$A$143,$B116,Journal!$E$3:$E$143,AG$3)=0,"",SUMIFS(Journal!$D$3:$D$143,Journal!$A$3:$A$143,$B116,Journal!$E$3:$E$143,AG$3))</f>
        <v>7700</v>
      </c>
      <c r="AH116" s="86" t="str">
        <f>IF(SUMIFS(Journal!$D$3:$D$143,Journal!$A$3:$A$143,$B116,Journal!$F$3:$F$143,AG$3)=0,"",SUMIFS(Journal!$D$3:$D$143,Journal!$A$3:$A$143,$B116,Journal!$F$3:$F$143,AG$3))</f>
        <v/>
      </c>
      <c r="AI116" s="86" t="str">
        <f>IF(SUMIFS(Journal!$D$3:$D$143,Journal!$A$3:$A$143,$B116,Journal!$E$3:$E$143,AI$3)=0,"",SUMIFS(Journal!$D$3:$D$143,Journal!$A$3:$A$143,$B116,Journal!$E$3:$E$143,AI$3))</f>
        <v/>
      </c>
      <c r="AJ116" s="86" t="str">
        <f>IF(SUMIFS(Journal!$D$3:$D$143,Journal!$A$3:$A$143,$B116,Journal!$F$3:$F$143,AI$3)=0,"",SUMIFS(Journal!$D$3:$D$143,Journal!$A$3:$A$143,$B116,Journal!$F$3:$F$143,AI$3))</f>
        <v/>
      </c>
      <c r="AK116" s="86" t="str">
        <f>IF(SUMIFS(Journal!$D$3:$D$143,Journal!$A$3:$A$143,$B116,Journal!$E$3:$E$143,AK$3)=0,"",SUMIFS(Journal!$D$3:$D$143,Journal!$A$3:$A$143,$B116,Journal!$E$3:$E$143,AK$3))</f>
        <v/>
      </c>
      <c r="AL116" s="86" t="str">
        <f>IF(SUMIFS(Journal!$D$3:$D$143,Journal!$A$3:$A$143,$B116,Journal!$F$3:$F$143,AK$3)=0,"",SUMIFS(Journal!$D$3:$D$143,Journal!$A$3:$A$143,$B116,Journal!$F$3:$F$143,AK$3))</f>
        <v/>
      </c>
      <c r="AM116" s="86" t="str">
        <f>IF(SUMIFS(Journal!$D$3:$D$143,Journal!$A$3:$A$143,$B116,Journal!$E$3:$E$143,AM$3)=0,"",SUMIFS(Journal!$D$3:$D$143,Journal!$A$3:$A$143,$B116,Journal!$E$3:$E$143,AM$3))</f>
        <v/>
      </c>
      <c r="AN116" s="86" t="str">
        <f>IF(SUMIFS(Journal!$D$3:$D$143,Journal!$A$3:$A$143,$B116,Journal!$F$3:$F$143,AM$3)=0,"",SUMIFS(Journal!$D$3:$D$143,Journal!$A$3:$A$143,$B116,Journal!$F$3:$F$143,AM$3))</f>
        <v/>
      </c>
      <c r="AO116" s="86" t="str">
        <f>IF(SUMIFS(Journal!$D$3:$D$143,Journal!$A$3:$A$143,$B116,Journal!$E$3:$E$143,AO$3)=0,"",SUMIFS(Journal!$D$3:$D$143,Journal!$A$3:$A$143,$B116,Journal!$E$3:$E$143,AO$3))</f>
        <v/>
      </c>
      <c r="AP116" s="86" t="str">
        <f>IF(SUMIFS(Journal!$D$3:$D$143,Journal!$A$3:$A$143,$B116,Journal!$F$3:$F$143,AO$3)=0,"",SUMIFS(Journal!$D$3:$D$143,Journal!$A$3:$A$143,$B116,Journal!$F$3:$F$143,AO$3))</f>
        <v/>
      </c>
      <c r="AQ116" s="86" t="str">
        <f>IF(SUMIFS(Journal!$D$3:$D$143,Journal!$A$3:$A$143,$B116,Journal!$E$3:$E$143,AQ$3)=0,"",SUMIFS(Journal!$D$3:$D$143,Journal!$A$3:$A$143,$B116,Journal!$E$3:$E$143,AQ$3))</f>
        <v/>
      </c>
      <c r="AR116" s="86" t="str">
        <f>IF(SUMIFS(Journal!$D$3:$D$143,Journal!$A$3:$A$143,$B116,Journal!$F$3:$F$143,AQ$3)=0,"",SUMIFS(Journal!$D$3:$D$143,Journal!$A$3:$A$143,$B116,Journal!$F$3:$F$143,AQ$3))</f>
        <v/>
      </c>
      <c r="AS116" s="86" t="str">
        <f>IF(SUMIFS(Journal!$D$3:$D$143,Journal!$A$3:$A$143,$B116,Journal!$E$3:$E$143,AS$3)=0,"",SUMIFS(Journal!$D$3:$D$143,Journal!$A$3:$A$143,$B116,Journal!$E$3:$E$143,AS$3))</f>
        <v/>
      </c>
      <c r="AT116" s="86" t="str">
        <f>IF(SUMIFS(Journal!$D$3:$D$143,Journal!$A$3:$A$143,$B116,Journal!$F$3:$F$143,AS$3)=0,"",SUMIFS(Journal!$D$3:$D$143,Journal!$A$3:$A$143,$B116,Journal!$F$3:$F$143,AS$3))</f>
        <v/>
      </c>
      <c r="AU116" s="86" t="str">
        <f>IF(SUMIFS(Journal!$D$3:$D$143,Journal!$A$3:$A$143,$B116,Journal!$E$3:$E$143,AU$3)=0,"",SUMIFS(Journal!$D$3:$D$143,Journal!$A$3:$A$143,$B116,Journal!$E$3:$E$143,AU$3))</f>
        <v/>
      </c>
      <c r="AV116" s="86" t="str">
        <f>IF(SUMIFS(Journal!$D$3:$D$143,Journal!$A$3:$A$143,$B116,Journal!$F$3:$F$143,AU$3)=0,"",SUMIFS(Journal!$D$3:$D$143,Journal!$A$3:$A$143,$B116,Journal!$F$3:$F$143,AU$3))</f>
        <v/>
      </c>
      <c r="AW116" s="86" t="str">
        <f>IF(SUMIFS(Journal!$D$3:$D$143,Journal!$A$3:$A$143,$B116,Journal!$E$3:$E$143,AW$3)=0,"",SUMIFS(Journal!$D$3:$D$143,Journal!$A$3:$A$143,$B116,Journal!$E$3:$E$143,AW$3))</f>
        <v/>
      </c>
      <c r="AX116" s="86" t="str">
        <f>IF(SUMIFS(Journal!$D$3:$D$143,Journal!$A$3:$A$143,$B116,Journal!$F$3:$F$143,AW$3)=0,"",SUMIFS(Journal!$D$3:$D$143,Journal!$A$3:$A$143,$B116,Journal!$F$3:$F$143,AW$3))</f>
        <v/>
      </c>
      <c r="AY116" s="86" t="str">
        <f>IF(SUMIFS(Journal!$D$3:$D$143,Journal!$A$3:$A$143,$B116,Journal!$E$3:$E$143,AY$3)=0,"",SUMIFS(Journal!$D$3:$D$143,Journal!$A$3:$A$143,$B116,Journal!$E$3:$E$143,AY$3))</f>
        <v/>
      </c>
      <c r="AZ116" s="86" t="str">
        <f>IF(SUMIFS(Journal!$D$3:$D$143,Journal!$A$3:$A$143,$B116,Journal!$F$3:$F$143,AY$3)=0,"",SUMIFS(Journal!$D$3:$D$143,Journal!$A$3:$A$143,$B116,Journal!$F$3:$F$143,AY$3))</f>
        <v/>
      </c>
      <c r="BA116" s="86" t="str">
        <f>IF(SUMIFS(Journal!$D$3:$D$143,Journal!$A$3:$A$143,$B116,Journal!$E$3:$E$143,BA$3)=0,"",SUMIFS(Journal!$D$3:$D$143,Journal!$A$3:$A$143,$B116,Journal!$E$3:$E$143,BA$3))</f>
        <v/>
      </c>
      <c r="BB116" s="86" t="str">
        <f>IF(SUMIFS(Journal!$D$3:$D$143,Journal!$A$3:$A$143,$B116,Journal!$F$3:$F$143,BA$3)=0,"",SUMIFS(Journal!$D$3:$D$143,Journal!$A$3:$A$143,$B116,Journal!$F$3:$F$143,BA$3))</f>
        <v/>
      </c>
    </row>
    <row r="117">
      <c r="A117" s="84">
        <f>VLOOKUP(B117,Journal!$A$3:$C$143,2,FALSE)</f>
        <v>45626</v>
      </c>
      <c r="B117" s="85" t="s">
        <v>610</v>
      </c>
      <c r="C117" s="86" t="str">
        <f>VLOOKUP(B117,Journal!$A$3:$C$143,3,FALSE)</f>
        <v>Monthly utility settlement</v>
      </c>
      <c r="D117" s="86">
        <f>SUMIF(Journal!$A$3:$A$143,B117,Journal!$D$3:$D$143)</f>
        <v>764</v>
      </c>
      <c r="E117" s="86" t="str">
        <f>IF(SUMIFS(Journal!$D$3:$D$143,Journal!$A$3:$A$143,$B117,Journal!$E$3:$E$143,E$3)=0,"",SUMIFS(Journal!$D$3:$D$143,Journal!$A$3:$A$143,$B117,Journal!$E$3:$E$143,E$3))</f>
        <v/>
      </c>
      <c r="F117" s="86">
        <f>IF(SUMIFS(Journal!$D$3:$D$143,Journal!$A$3:$A$143,$B117,Journal!$F$3:$F$143,E$3)=0,"",SUMIFS(Journal!$D$3:$D$143,Journal!$A$3:$A$143,$B117,Journal!$F$3:$F$143,E$3))</f>
        <v>764</v>
      </c>
      <c r="G117" s="86" t="str">
        <f>IF(SUMIFS(Journal!$D$3:$D$143,Journal!$A$3:$A$143,$B117,Journal!$E$3:$E$143,G$3)=0,"",SUMIFS(Journal!$D$3:$D$143,Journal!$A$3:$A$143,$B117,Journal!$E$3:$E$143,G$3))</f>
        <v/>
      </c>
      <c r="H117" s="86" t="str">
        <f>IF(SUMIFS(Journal!$D$3:$D$143,Journal!$A$3:$A$143,$B117,Journal!$F$3:$F$143,G$3)=0,"",SUMIFS(Journal!$D$3:$D$143,Journal!$A$3:$A$143,$B117,Journal!$F$3:$F$143,G$3))</f>
        <v/>
      </c>
      <c r="I117" s="86" t="str">
        <f>IF(SUMIFS(Journal!$D$3:$D$143,Journal!$A$3:$A$143,$B117,Journal!$E$3:$E$143,I$3)=0,"",SUMIFS(Journal!$D$3:$D$143,Journal!$A$3:$A$143,$B117,Journal!$E$3:$E$143,I$3))</f>
        <v/>
      </c>
      <c r="J117" s="86" t="str">
        <f>IF(SUMIFS(Journal!$D$3:$D$143,Journal!$A$3:$A$143,$B117,Journal!$F$3:$F$143,I$3)=0,"",SUMIFS(Journal!$D$3:$D$143,Journal!$A$3:$A$143,$B117,Journal!$F$3:$F$143,I$3))</f>
        <v/>
      </c>
      <c r="K117" s="86" t="str">
        <f>IF(SUMIFS(Journal!$D$3:$D$143,Journal!$A$3:$A$143,$B117,Journal!$E$3:$E$143,K$3)=0,"",SUMIFS(Journal!$D$3:$D$143,Journal!$A$3:$A$143,$B117,Journal!$E$3:$E$143,K$3))</f>
        <v/>
      </c>
      <c r="L117" s="86" t="str">
        <f>IF(SUMIFS(Journal!$D$3:$D$143,Journal!$A$3:$A$143,$B117,Journal!$F$3:$F$143,K$3)=0,"",SUMIFS(Journal!$D$3:$D$143,Journal!$A$3:$A$143,$B117,Journal!$F$3:$F$143,K$3))</f>
        <v/>
      </c>
      <c r="M117" s="86" t="str">
        <f>IF(SUMIFS(Journal!$D$3:$D$143,Journal!$A$3:$A$143,$B117,Journal!$E$3:$E$143,M$3)=0,"",SUMIFS(Journal!$D$3:$D$143,Journal!$A$3:$A$143,$B117,Journal!$E$3:$E$143,M$3))</f>
        <v/>
      </c>
      <c r="N117" s="86" t="str">
        <f>IF(SUMIFS(Journal!$D$3:$D$143,Journal!$A$3:$A$143,$B117,Journal!$F$3:$F$143,M$3)=0,"",SUMIFS(Journal!$D$3:$D$143,Journal!$A$3:$A$143,$B117,Journal!$F$3:$F$143,M$3))</f>
        <v/>
      </c>
      <c r="O117" s="86" t="str">
        <f>IF(SUMIFS(Journal!$D$3:$D$143,Journal!$A$3:$A$143,$B117,Journal!$E$3:$E$143,O$3)=0,"",SUMIFS(Journal!$D$3:$D$143,Journal!$A$3:$A$143,$B117,Journal!$E$3:$E$143,O$3))</f>
        <v/>
      </c>
      <c r="P117" s="86" t="str">
        <f>IF(SUMIFS(Journal!$D$3:$D$143,Journal!$A$3:$A$143,$B117,Journal!$F$3:$F$143,O$3)=0,"",SUMIFS(Journal!$D$3:$D$143,Journal!$A$3:$A$143,$B117,Journal!$F$3:$F$143,O$3))</f>
        <v/>
      </c>
      <c r="Q117" s="86" t="str">
        <f>IF(SUMIFS(Journal!$D$3:$D$143,Journal!$A$3:$A$143,$B117,Journal!$E$3:$E$143,Q$3)=0,"",SUMIFS(Journal!$D$3:$D$143,Journal!$A$3:$A$143,$B117,Journal!$E$3:$E$143,Q$3))</f>
        <v/>
      </c>
      <c r="R117" s="86" t="str">
        <f>IF(SUMIFS(Journal!$D$3:$D$143,Journal!$A$3:$A$143,$B117,Journal!$F$3:$F$143,Q$3)=0,"",SUMIFS(Journal!$D$3:$D$143,Journal!$A$3:$A$143,$B117,Journal!$F$3:$F$143,Q$3))</f>
        <v/>
      </c>
      <c r="S117" s="86" t="str">
        <f>IF(SUMIFS(Journal!$D$3:$D$143,Journal!$A$3:$A$143,$B117,Journal!$E$3:$E$143,S$3)=0,"",SUMIFS(Journal!$D$3:$D$143,Journal!$A$3:$A$143,$B117,Journal!$E$3:$E$143,S$3))</f>
        <v/>
      </c>
      <c r="T117" s="86" t="str">
        <f>IF(SUMIFS(Journal!$D$3:$D$143,Journal!$A$3:$A$143,$B117,Journal!$F$3:$F$143,S$3)=0,"",SUMIFS(Journal!$D$3:$D$143,Journal!$A$3:$A$143,$B117,Journal!$F$3:$F$143,S$3))</f>
        <v/>
      </c>
      <c r="U117" s="86" t="str">
        <f>IF(SUMIFS(Journal!$D$3:$D$143,Journal!$A$3:$A$143,$B117,Journal!$E$3:$E$143,U$3)=0,"",SUMIFS(Journal!$D$3:$D$143,Journal!$A$3:$A$143,$B117,Journal!$E$3:$E$143,U$3))</f>
        <v/>
      </c>
      <c r="V117" s="86" t="str">
        <f>IF(SUMIFS(Journal!$D$3:$D$143,Journal!$A$3:$A$143,$B117,Journal!$F$3:$F$143,U$3)=0,"",SUMIFS(Journal!$D$3:$D$143,Journal!$A$3:$A$143,$B117,Journal!$F$3:$F$143,U$3))</f>
        <v/>
      </c>
      <c r="W117" s="86" t="str">
        <f>IF(SUMIFS(Journal!$D$3:$D$143,Journal!$A$3:$A$143,$B117,Journal!$E$3:$E$143,W$3)=0,"",SUMIFS(Journal!$D$3:$D$143,Journal!$A$3:$A$143,$B117,Journal!$E$3:$E$143,W$3))</f>
        <v/>
      </c>
      <c r="X117" s="86" t="str">
        <f>IF(SUMIFS(Journal!$D$3:$D$143,Journal!$A$3:$A$143,$B117,Journal!$F$3:$F$143,W$3)=0,"",SUMIFS(Journal!$D$3:$D$143,Journal!$A$3:$A$143,$B117,Journal!$F$3:$F$143,W$3))</f>
        <v/>
      </c>
      <c r="Y117" s="86" t="str">
        <f>IF(SUMIFS(Journal!$D$3:$D$143,Journal!$A$3:$A$143,$B117,Journal!$E$3:$E$143,Y$3)=0,"",SUMIFS(Journal!$D$3:$D$143,Journal!$A$3:$A$143,$B117,Journal!$E$3:$E$143,Y$3))</f>
        <v/>
      </c>
      <c r="Z117" s="86" t="str">
        <f>IF(SUMIFS(Journal!$D$3:$D$143,Journal!$A$3:$A$143,$B117,Journal!$F$3:$F$143,Y$3)=0,"",SUMIFS(Journal!$D$3:$D$143,Journal!$A$3:$A$143,$B117,Journal!$F$3:$F$143,Y$3))</f>
        <v/>
      </c>
      <c r="AA117" s="86" t="str">
        <f>IF(SUMIFS(Journal!$D$3:$D$143,Journal!$A$3:$A$143,$B117,Journal!$E$3:$E$143,AA$3)=0,"",SUMIFS(Journal!$D$3:$D$143,Journal!$A$3:$A$143,$B117,Journal!$E$3:$E$143,AA$3))</f>
        <v/>
      </c>
      <c r="AB117" s="86" t="str">
        <f>IF(SUMIFS(Journal!$D$3:$D$143,Journal!$A$3:$A$143,$B117,Journal!$F$3:$F$143,AA$3)=0,"",SUMIFS(Journal!$D$3:$D$143,Journal!$A$3:$A$143,$B117,Journal!$F$3:$F$143,AA$3))</f>
        <v/>
      </c>
      <c r="AC117" s="86" t="str">
        <f>IF(SUMIFS(Journal!$D$3:$D$143,Journal!$A$3:$A$143,$B117,Journal!$E$3:$E$143,AC$3)=0,"",SUMIFS(Journal!$D$3:$D$143,Journal!$A$3:$A$143,$B117,Journal!$E$3:$E$143,AC$3))</f>
        <v/>
      </c>
      <c r="AD117" s="86" t="str">
        <f>IF(SUMIFS(Journal!$D$3:$D$143,Journal!$A$3:$A$143,$B117,Journal!$F$3:$F$143,AC$3)=0,"",SUMIFS(Journal!$D$3:$D$143,Journal!$A$3:$A$143,$B117,Journal!$F$3:$F$143,AC$3))</f>
        <v/>
      </c>
      <c r="AE117" s="86" t="str">
        <f>IF(SUMIFS(Journal!$D$3:$D$143,Journal!$A$3:$A$143,$B117,Journal!$E$3:$E$143,AE$3)=0,"",SUMIFS(Journal!$D$3:$D$143,Journal!$A$3:$A$143,$B117,Journal!$E$3:$E$143,AE$3))</f>
        <v/>
      </c>
      <c r="AF117" s="86" t="str">
        <f>IF(SUMIFS(Journal!$D$3:$D$143,Journal!$A$3:$A$143,$B117,Journal!$F$3:$F$143,AE$3)=0,"",SUMIFS(Journal!$D$3:$D$143,Journal!$A$3:$A$143,$B117,Journal!$F$3:$F$143,AE$3))</f>
        <v/>
      </c>
      <c r="AG117" s="86" t="str">
        <f>IF(SUMIFS(Journal!$D$3:$D$143,Journal!$A$3:$A$143,$B117,Journal!$E$3:$E$143,AG$3)=0,"",SUMIFS(Journal!$D$3:$D$143,Journal!$A$3:$A$143,$B117,Journal!$E$3:$E$143,AG$3))</f>
        <v/>
      </c>
      <c r="AH117" s="86" t="str">
        <f>IF(SUMIFS(Journal!$D$3:$D$143,Journal!$A$3:$A$143,$B117,Journal!$F$3:$F$143,AG$3)=0,"",SUMIFS(Journal!$D$3:$D$143,Journal!$A$3:$A$143,$B117,Journal!$F$3:$F$143,AG$3))</f>
        <v/>
      </c>
      <c r="AI117" s="86" t="str">
        <f>IF(SUMIFS(Journal!$D$3:$D$143,Journal!$A$3:$A$143,$B117,Journal!$E$3:$E$143,AI$3)=0,"",SUMIFS(Journal!$D$3:$D$143,Journal!$A$3:$A$143,$B117,Journal!$E$3:$E$143,AI$3))</f>
        <v/>
      </c>
      <c r="AJ117" s="86" t="str">
        <f>IF(SUMIFS(Journal!$D$3:$D$143,Journal!$A$3:$A$143,$B117,Journal!$F$3:$F$143,AI$3)=0,"",SUMIFS(Journal!$D$3:$D$143,Journal!$A$3:$A$143,$B117,Journal!$F$3:$F$143,AI$3))</f>
        <v/>
      </c>
      <c r="AK117" s="86" t="str">
        <f>IF(SUMIFS(Journal!$D$3:$D$143,Journal!$A$3:$A$143,$B117,Journal!$E$3:$E$143,AK$3)=0,"",SUMIFS(Journal!$D$3:$D$143,Journal!$A$3:$A$143,$B117,Journal!$E$3:$E$143,AK$3))</f>
        <v/>
      </c>
      <c r="AL117" s="86" t="str">
        <f>IF(SUMIFS(Journal!$D$3:$D$143,Journal!$A$3:$A$143,$B117,Journal!$F$3:$F$143,AK$3)=0,"",SUMIFS(Journal!$D$3:$D$143,Journal!$A$3:$A$143,$B117,Journal!$F$3:$F$143,AK$3))</f>
        <v/>
      </c>
      <c r="AM117" s="86">
        <f>IF(SUMIFS(Journal!$D$3:$D$143,Journal!$A$3:$A$143,$B117,Journal!$E$3:$E$143,AM$3)=0,"",SUMIFS(Journal!$D$3:$D$143,Journal!$A$3:$A$143,$B117,Journal!$E$3:$E$143,AM$3))</f>
        <v>764</v>
      </c>
      <c r="AN117" s="86" t="str">
        <f>IF(SUMIFS(Journal!$D$3:$D$143,Journal!$A$3:$A$143,$B117,Journal!$F$3:$F$143,AM$3)=0,"",SUMIFS(Journal!$D$3:$D$143,Journal!$A$3:$A$143,$B117,Journal!$F$3:$F$143,AM$3))</f>
        <v/>
      </c>
      <c r="AO117" s="86" t="str">
        <f>IF(SUMIFS(Journal!$D$3:$D$143,Journal!$A$3:$A$143,$B117,Journal!$E$3:$E$143,AO$3)=0,"",SUMIFS(Journal!$D$3:$D$143,Journal!$A$3:$A$143,$B117,Journal!$E$3:$E$143,AO$3))</f>
        <v/>
      </c>
      <c r="AP117" s="86" t="str">
        <f>IF(SUMIFS(Journal!$D$3:$D$143,Journal!$A$3:$A$143,$B117,Journal!$F$3:$F$143,AO$3)=0,"",SUMIFS(Journal!$D$3:$D$143,Journal!$A$3:$A$143,$B117,Journal!$F$3:$F$143,AO$3))</f>
        <v/>
      </c>
      <c r="AQ117" s="86" t="str">
        <f>IF(SUMIFS(Journal!$D$3:$D$143,Journal!$A$3:$A$143,$B117,Journal!$E$3:$E$143,AQ$3)=0,"",SUMIFS(Journal!$D$3:$D$143,Journal!$A$3:$A$143,$B117,Journal!$E$3:$E$143,AQ$3))</f>
        <v/>
      </c>
      <c r="AR117" s="86" t="str">
        <f>IF(SUMIFS(Journal!$D$3:$D$143,Journal!$A$3:$A$143,$B117,Journal!$F$3:$F$143,AQ$3)=0,"",SUMIFS(Journal!$D$3:$D$143,Journal!$A$3:$A$143,$B117,Journal!$F$3:$F$143,AQ$3))</f>
        <v/>
      </c>
      <c r="AS117" s="86" t="str">
        <f>IF(SUMIFS(Journal!$D$3:$D$143,Journal!$A$3:$A$143,$B117,Journal!$E$3:$E$143,AS$3)=0,"",SUMIFS(Journal!$D$3:$D$143,Journal!$A$3:$A$143,$B117,Journal!$E$3:$E$143,AS$3))</f>
        <v/>
      </c>
      <c r="AT117" s="86" t="str">
        <f>IF(SUMIFS(Journal!$D$3:$D$143,Journal!$A$3:$A$143,$B117,Journal!$F$3:$F$143,AS$3)=0,"",SUMIFS(Journal!$D$3:$D$143,Journal!$A$3:$A$143,$B117,Journal!$F$3:$F$143,AS$3))</f>
        <v/>
      </c>
      <c r="AU117" s="86" t="str">
        <f>IF(SUMIFS(Journal!$D$3:$D$143,Journal!$A$3:$A$143,$B117,Journal!$E$3:$E$143,AU$3)=0,"",SUMIFS(Journal!$D$3:$D$143,Journal!$A$3:$A$143,$B117,Journal!$E$3:$E$143,AU$3))</f>
        <v/>
      </c>
      <c r="AV117" s="86" t="str">
        <f>IF(SUMIFS(Journal!$D$3:$D$143,Journal!$A$3:$A$143,$B117,Journal!$F$3:$F$143,AU$3)=0,"",SUMIFS(Journal!$D$3:$D$143,Journal!$A$3:$A$143,$B117,Journal!$F$3:$F$143,AU$3))</f>
        <v/>
      </c>
      <c r="AW117" s="86" t="str">
        <f>IF(SUMIFS(Journal!$D$3:$D$143,Journal!$A$3:$A$143,$B117,Journal!$E$3:$E$143,AW$3)=0,"",SUMIFS(Journal!$D$3:$D$143,Journal!$A$3:$A$143,$B117,Journal!$E$3:$E$143,AW$3))</f>
        <v/>
      </c>
      <c r="AX117" s="86" t="str">
        <f>IF(SUMIFS(Journal!$D$3:$D$143,Journal!$A$3:$A$143,$B117,Journal!$F$3:$F$143,AW$3)=0,"",SUMIFS(Journal!$D$3:$D$143,Journal!$A$3:$A$143,$B117,Journal!$F$3:$F$143,AW$3))</f>
        <v/>
      </c>
      <c r="AY117" s="86" t="str">
        <f>IF(SUMIFS(Journal!$D$3:$D$143,Journal!$A$3:$A$143,$B117,Journal!$E$3:$E$143,AY$3)=0,"",SUMIFS(Journal!$D$3:$D$143,Journal!$A$3:$A$143,$B117,Journal!$E$3:$E$143,AY$3))</f>
        <v/>
      </c>
      <c r="AZ117" s="86" t="str">
        <f>IF(SUMIFS(Journal!$D$3:$D$143,Journal!$A$3:$A$143,$B117,Journal!$F$3:$F$143,AY$3)=0,"",SUMIFS(Journal!$D$3:$D$143,Journal!$A$3:$A$143,$B117,Journal!$F$3:$F$143,AY$3))</f>
        <v/>
      </c>
      <c r="BA117" s="86" t="str">
        <f>IF(SUMIFS(Journal!$D$3:$D$143,Journal!$A$3:$A$143,$B117,Journal!$E$3:$E$143,BA$3)=0,"",SUMIFS(Journal!$D$3:$D$143,Journal!$A$3:$A$143,$B117,Journal!$E$3:$E$143,BA$3))</f>
        <v/>
      </c>
      <c r="BB117" s="86" t="str">
        <f>IF(SUMIFS(Journal!$D$3:$D$143,Journal!$A$3:$A$143,$B117,Journal!$F$3:$F$143,BA$3)=0,"",SUMIFS(Journal!$D$3:$D$143,Journal!$A$3:$A$143,$B117,Journal!$F$3:$F$143,BA$3))</f>
        <v/>
      </c>
    </row>
    <row r="118">
      <c r="A118" s="84">
        <f>VLOOKUP(B118,Journal!$A$3:$C$143,2,FALSE)</f>
        <v>45627</v>
      </c>
      <c r="B118" s="85" t="s">
        <v>613</v>
      </c>
      <c r="C118" s="86" t="str">
        <f>VLOOKUP(B118,Journal!$A$3:$C$143,3,FALSE)</f>
        <v>Monthly facility rent</v>
      </c>
      <c r="D118" s="86">
        <f>SUMIF(Journal!$A$3:$A$143,B118,Journal!$D$3:$D$143)</f>
        <v>5400</v>
      </c>
      <c r="E118" s="86" t="str">
        <f>IF(SUMIFS(Journal!$D$3:$D$143,Journal!$A$3:$A$143,$B118,Journal!$E$3:$E$143,E$3)=0,"",SUMIFS(Journal!$D$3:$D$143,Journal!$A$3:$A$143,$B118,Journal!$E$3:$E$143,E$3))</f>
        <v/>
      </c>
      <c r="F118" s="86">
        <f>IF(SUMIFS(Journal!$D$3:$D$143,Journal!$A$3:$A$143,$B118,Journal!$F$3:$F$143,E$3)=0,"",SUMIFS(Journal!$D$3:$D$143,Journal!$A$3:$A$143,$B118,Journal!$F$3:$F$143,E$3))</f>
        <v>5400</v>
      </c>
      <c r="G118" s="86" t="str">
        <f>IF(SUMIFS(Journal!$D$3:$D$143,Journal!$A$3:$A$143,$B118,Journal!$E$3:$E$143,G$3)=0,"",SUMIFS(Journal!$D$3:$D$143,Journal!$A$3:$A$143,$B118,Journal!$E$3:$E$143,G$3))</f>
        <v/>
      </c>
      <c r="H118" s="86" t="str">
        <f>IF(SUMIFS(Journal!$D$3:$D$143,Journal!$A$3:$A$143,$B118,Journal!$F$3:$F$143,G$3)=0,"",SUMIFS(Journal!$D$3:$D$143,Journal!$A$3:$A$143,$B118,Journal!$F$3:$F$143,G$3))</f>
        <v/>
      </c>
      <c r="I118" s="86" t="str">
        <f>IF(SUMIFS(Journal!$D$3:$D$143,Journal!$A$3:$A$143,$B118,Journal!$E$3:$E$143,I$3)=0,"",SUMIFS(Journal!$D$3:$D$143,Journal!$A$3:$A$143,$B118,Journal!$E$3:$E$143,I$3))</f>
        <v/>
      </c>
      <c r="J118" s="86" t="str">
        <f>IF(SUMIFS(Journal!$D$3:$D$143,Journal!$A$3:$A$143,$B118,Journal!$F$3:$F$143,I$3)=0,"",SUMIFS(Journal!$D$3:$D$143,Journal!$A$3:$A$143,$B118,Journal!$F$3:$F$143,I$3))</f>
        <v/>
      </c>
      <c r="K118" s="86" t="str">
        <f>IF(SUMIFS(Journal!$D$3:$D$143,Journal!$A$3:$A$143,$B118,Journal!$E$3:$E$143,K$3)=0,"",SUMIFS(Journal!$D$3:$D$143,Journal!$A$3:$A$143,$B118,Journal!$E$3:$E$143,K$3))</f>
        <v/>
      </c>
      <c r="L118" s="86" t="str">
        <f>IF(SUMIFS(Journal!$D$3:$D$143,Journal!$A$3:$A$143,$B118,Journal!$F$3:$F$143,K$3)=0,"",SUMIFS(Journal!$D$3:$D$143,Journal!$A$3:$A$143,$B118,Journal!$F$3:$F$143,K$3))</f>
        <v/>
      </c>
      <c r="M118" s="86" t="str">
        <f>IF(SUMIFS(Journal!$D$3:$D$143,Journal!$A$3:$A$143,$B118,Journal!$E$3:$E$143,M$3)=0,"",SUMIFS(Journal!$D$3:$D$143,Journal!$A$3:$A$143,$B118,Journal!$E$3:$E$143,M$3))</f>
        <v/>
      </c>
      <c r="N118" s="86" t="str">
        <f>IF(SUMIFS(Journal!$D$3:$D$143,Journal!$A$3:$A$143,$B118,Journal!$F$3:$F$143,M$3)=0,"",SUMIFS(Journal!$D$3:$D$143,Journal!$A$3:$A$143,$B118,Journal!$F$3:$F$143,M$3))</f>
        <v/>
      </c>
      <c r="O118" s="86" t="str">
        <f>IF(SUMIFS(Journal!$D$3:$D$143,Journal!$A$3:$A$143,$B118,Journal!$E$3:$E$143,O$3)=0,"",SUMIFS(Journal!$D$3:$D$143,Journal!$A$3:$A$143,$B118,Journal!$E$3:$E$143,O$3))</f>
        <v/>
      </c>
      <c r="P118" s="86" t="str">
        <f>IF(SUMIFS(Journal!$D$3:$D$143,Journal!$A$3:$A$143,$B118,Journal!$F$3:$F$143,O$3)=0,"",SUMIFS(Journal!$D$3:$D$143,Journal!$A$3:$A$143,$B118,Journal!$F$3:$F$143,O$3))</f>
        <v/>
      </c>
      <c r="Q118" s="86" t="str">
        <f>IF(SUMIFS(Journal!$D$3:$D$143,Journal!$A$3:$A$143,$B118,Journal!$E$3:$E$143,Q$3)=0,"",SUMIFS(Journal!$D$3:$D$143,Journal!$A$3:$A$143,$B118,Journal!$E$3:$E$143,Q$3))</f>
        <v/>
      </c>
      <c r="R118" s="86" t="str">
        <f>IF(SUMIFS(Journal!$D$3:$D$143,Journal!$A$3:$A$143,$B118,Journal!$F$3:$F$143,Q$3)=0,"",SUMIFS(Journal!$D$3:$D$143,Journal!$A$3:$A$143,$B118,Journal!$F$3:$F$143,Q$3))</f>
        <v/>
      </c>
      <c r="S118" s="86" t="str">
        <f>IF(SUMIFS(Journal!$D$3:$D$143,Journal!$A$3:$A$143,$B118,Journal!$E$3:$E$143,S$3)=0,"",SUMIFS(Journal!$D$3:$D$143,Journal!$A$3:$A$143,$B118,Journal!$E$3:$E$143,S$3))</f>
        <v/>
      </c>
      <c r="T118" s="86" t="str">
        <f>IF(SUMIFS(Journal!$D$3:$D$143,Journal!$A$3:$A$143,$B118,Journal!$F$3:$F$143,S$3)=0,"",SUMIFS(Journal!$D$3:$D$143,Journal!$A$3:$A$143,$B118,Journal!$F$3:$F$143,S$3))</f>
        <v/>
      </c>
      <c r="U118" s="86" t="str">
        <f>IF(SUMIFS(Journal!$D$3:$D$143,Journal!$A$3:$A$143,$B118,Journal!$E$3:$E$143,U$3)=0,"",SUMIFS(Journal!$D$3:$D$143,Journal!$A$3:$A$143,$B118,Journal!$E$3:$E$143,U$3))</f>
        <v/>
      </c>
      <c r="V118" s="86" t="str">
        <f>IF(SUMIFS(Journal!$D$3:$D$143,Journal!$A$3:$A$143,$B118,Journal!$F$3:$F$143,U$3)=0,"",SUMIFS(Journal!$D$3:$D$143,Journal!$A$3:$A$143,$B118,Journal!$F$3:$F$143,U$3))</f>
        <v/>
      </c>
      <c r="W118" s="86" t="str">
        <f>IF(SUMIFS(Journal!$D$3:$D$143,Journal!$A$3:$A$143,$B118,Journal!$E$3:$E$143,W$3)=0,"",SUMIFS(Journal!$D$3:$D$143,Journal!$A$3:$A$143,$B118,Journal!$E$3:$E$143,W$3))</f>
        <v/>
      </c>
      <c r="X118" s="86" t="str">
        <f>IF(SUMIFS(Journal!$D$3:$D$143,Journal!$A$3:$A$143,$B118,Journal!$F$3:$F$143,W$3)=0,"",SUMIFS(Journal!$D$3:$D$143,Journal!$A$3:$A$143,$B118,Journal!$F$3:$F$143,W$3))</f>
        <v/>
      </c>
      <c r="Y118" s="86" t="str">
        <f>IF(SUMIFS(Journal!$D$3:$D$143,Journal!$A$3:$A$143,$B118,Journal!$E$3:$E$143,Y$3)=0,"",SUMIFS(Journal!$D$3:$D$143,Journal!$A$3:$A$143,$B118,Journal!$E$3:$E$143,Y$3))</f>
        <v/>
      </c>
      <c r="Z118" s="86" t="str">
        <f>IF(SUMIFS(Journal!$D$3:$D$143,Journal!$A$3:$A$143,$B118,Journal!$F$3:$F$143,Y$3)=0,"",SUMIFS(Journal!$D$3:$D$143,Journal!$A$3:$A$143,$B118,Journal!$F$3:$F$143,Y$3))</f>
        <v/>
      </c>
      <c r="AA118" s="86" t="str">
        <f>IF(SUMIFS(Journal!$D$3:$D$143,Journal!$A$3:$A$143,$B118,Journal!$E$3:$E$143,AA$3)=0,"",SUMIFS(Journal!$D$3:$D$143,Journal!$A$3:$A$143,$B118,Journal!$E$3:$E$143,AA$3))</f>
        <v/>
      </c>
      <c r="AB118" s="86" t="str">
        <f>IF(SUMIFS(Journal!$D$3:$D$143,Journal!$A$3:$A$143,$B118,Journal!$F$3:$F$143,AA$3)=0,"",SUMIFS(Journal!$D$3:$D$143,Journal!$A$3:$A$143,$B118,Journal!$F$3:$F$143,AA$3))</f>
        <v/>
      </c>
      <c r="AC118" s="86" t="str">
        <f>IF(SUMIFS(Journal!$D$3:$D$143,Journal!$A$3:$A$143,$B118,Journal!$E$3:$E$143,AC$3)=0,"",SUMIFS(Journal!$D$3:$D$143,Journal!$A$3:$A$143,$B118,Journal!$E$3:$E$143,AC$3))</f>
        <v/>
      </c>
      <c r="AD118" s="86" t="str">
        <f>IF(SUMIFS(Journal!$D$3:$D$143,Journal!$A$3:$A$143,$B118,Journal!$F$3:$F$143,AC$3)=0,"",SUMIFS(Journal!$D$3:$D$143,Journal!$A$3:$A$143,$B118,Journal!$F$3:$F$143,AC$3))</f>
        <v/>
      </c>
      <c r="AE118" s="86" t="str">
        <f>IF(SUMIFS(Journal!$D$3:$D$143,Journal!$A$3:$A$143,$B118,Journal!$E$3:$E$143,AE$3)=0,"",SUMIFS(Journal!$D$3:$D$143,Journal!$A$3:$A$143,$B118,Journal!$E$3:$E$143,AE$3))</f>
        <v/>
      </c>
      <c r="AF118" s="86" t="str">
        <f>IF(SUMIFS(Journal!$D$3:$D$143,Journal!$A$3:$A$143,$B118,Journal!$F$3:$F$143,AE$3)=0,"",SUMIFS(Journal!$D$3:$D$143,Journal!$A$3:$A$143,$B118,Journal!$F$3:$F$143,AE$3))</f>
        <v/>
      </c>
      <c r="AG118" s="86" t="str">
        <f>IF(SUMIFS(Journal!$D$3:$D$143,Journal!$A$3:$A$143,$B118,Journal!$E$3:$E$143,AG$3)=0,"",SUMIFS(Journal!$D$3:$D$143,Journal!$A$3:$A$143,$B118,Journal!$E$3:$E$143,AG$3))</f>
        <v/>
      </c>
      <c r="AH118" s="86" t="str">
        <f>IF(SUMIFS(Journal!$D$3:$D$143,Journal!$A$3:$A$143,$B118,Journal!$F$3:$F$143,AG$3)=0,"",SUMIFS(Journal!$D$3:$D$143,Journal!$A$3:$A$143,$B118,Journal!$F$3:$F$143,AG$3))</f>
        <v/>
      </c>
      <c r="AI118" s="86">
        <f>IF(SUMIFS(Journal!$D$3:$D$143,Journal!$A$3:$A$143,$B118,Journal!$E$3:$E$143,AI$3)=0,"",SUMIFS(Journal!$D$3:$D$143,Journal!$A$3:$A$143,$B118,Journal!$E$3:$E$143,AI$3))</f>
        <v>5400</v>
      </c>
      <c r="AJ118" s="86" t="str">
        <f>IF(SUMIFS(Journal!$D$3:$D$143,Journal!$A$3:$A$143,$B118,Journal!$F$3:$F$143,AI$3)=0,"",SUMIFS(Journal!$D$3:$D$143,Journal!$A$3:$A$143,$B118,Journal!$F$3:$F$143,AI$3))</f>
        <v/>
      </c>
      <c r="AK118" s="86" t="str">
        <f>IF(SUMIFS(Journal!$D$3:$D$143,Journal!$A$3:$A$143,$B118,Journal!$E$3:$E$143,AK$3)=0,"",SUMIFS(Journal!$D$3:$D$143,Journal!$A$3:$A$143,$B118,Journal!$E$3:$E$143,AK$3))</f>
        <v/>
      </c>
      <c r="AL118" s="86" t="str">
        <f>IF(SUMIFS(Journal!$D$3:$D$143,Journal!$A$3:$A$143,$B118,Journal!$F$3:$F$143,AK$3)=0,"",SUMIFS(Journal!$D$3:$D$143,Journal!$A$3:$A$143,$B118,Journal!$F$3:$F$143,AK$3))</f>
        <v/>
      </c>
      <c r="AM118" s="86" t="str">
        <f>IF(SUMIFS(Journal!$D$3:$D$143,Journal!$A$3:$A$143,$B118,Journal!$E$3:$E$143,AM$3)=0,"",SUMIFS(Journal!$D$3:$D$143,Journal!$A$3:$A$143,$B118,Journal!$E$3:$E$143,AM$3))</f>
        <v/>
      </c>
      <c r="AN118" s="86" t="str">
        <f>IF(SUMIFS(Journal!$D$3:$D$143,Journal!$A$3:$A$143,$B118,Journal!$F$3:$F$143,AM$3)=0,"",SUMIFS(Journal!$D$3:$D$143,Journal!$A$3:$A$143,$B118,Journal!$F$3:$F$143,AM$3))</f>
        <v/>
      </c>
      <c r="AO118" s="86" t="str">
        <f>IF(SUMIFS(Journal!$D$3:$D$143,Journal!$A$3:$A$143,$B118,Journal!$E$3:$E$143,AO$3)=0,"",SUMIFS(Journal!$D$3:$D$143,Journal!$A$3:$A$143,$B118,Journal!$E$3:$E$143,AO$3))</f>
        <v/>
      </c>
      <c r="AP118" s="86" t="str">
        <f>IF(SUMIFS(Journal!$D$3:$D$143,Journal!$A$3:$A$143,$B118,Journal!$F$3:$F$143,AO$3)=0,"",SUMIFS(Journal!$D$3:$D$143,Journal!$A$3:$A$143,$B118,Journal!$F$3:$F$143,AO$3))</f>
        <v/>
      </c>
      <c r="AQ118" s="86" t="str">
        <f>IF(SUMIFS(Journal!$D$3:$D$143,Journal!$A$3:$A$143,$B118,Journal!$E$3:$E$143,AQ$3)=0,"",SUMIFS(Journal!$D$3:$D$143,Journal!$A$3:$A$143,$B118,Journal!$E$3:$E$143,AQ$3))</f>
        <v/>
      </c>
      <c r="AR118" s="86" t="str">
        <f>IF(SUMIFS(Journal!$D$3:$D$143,Journal!$A$3:$A$143,$B118,Journal!$F$3:$F$143,AQ$3)=0,"",SUMIFS(Journal!$D$3:$D$143,Journal!$A$3:$A$143,$B118,Journal!$F$3:$F$143,AQ$3))</f>
        <v/>
      </c>
      <c r="AS118" s="86" t="str">
        <f>IF(SUMIFS(Journal!$D$3:$D$143,Journal!$A$3:$A$143,$B118,Journal!$E$3:$E$143,AS$3)=0,"",SUMIFS(Journal!$D$3:$D$143,Journal!$A$3:$A$143,$B118,Journal!$E$3:$E$143,AS$3))</f>
        <v/>
      </c>
      <c r="AT118" s="86" t="str">
        <f>IF(SUMIFS(Journal!$D$3:$D$143,Journal!$A$3:$A$143,$B118,Journal!$F$3:$F$143,AS$3)=0,"",SUMIFS(Journal!$D$3:$D$143,Journal!$A$3:$A$143,$B118,Journal!$F$3:$F$143,AS$3))</f>
        <v/>
      </c>
      <c r="AU118" s="86" t="str">
        <f>IF(SUMIFS(Journal!$D$3:$D$143,Journal!$A$3:$A$143,$B118,Journal!$E$3:$E$143,AU$3)=0,"",SUMIFS(Journal!$D$3:$D$143,Journal!$A$3:$A$143,$B118,Journal!$E$3:$E$143,AU$3))</f>
        <v/>
      </c>
      <c r="AV118" s="86" t="str">
        <f>IF(SUMIFS(Journal!$D$3:$D$143,Journal!$A$3:$A$143,$B118,Journal!$F$3:$F$143,AU$3)=0,"",SUMIFS(Journal!$D$3:$D$143,Journal!$A$3:$A$143,$B118,Journal!$F$3:$F$143,AU$3))</f>
        <v/>
      </c>
      <c r="AW118" s="86" t="str">
        <f>IF(SUMIFS(Journal!$D$3:$D$143,Journal!$A$3:$A$143,$B118,Journal!$E$3:$E$143,AW$3)=0,"",SUMIFS(Journal!$D$3:$D$143,Journal!$A$3:$A$143,$B118,Journal!$E$3:$E$143,AW$3))</f>
        <v/>
      </c>
      <c r="AX118" s="86" t="str">
        <f>IF(SUMIFS(Journal!$D$3:$D$143,Journal!$A$3:$A$143,$B118,Journal!$F$3:$F$143,AW$3)=0,"",SUMIFS(Journal!$D$3:$D$143,Journal!$A$3:$A$143,$B118,Journal!$F$3:$F$143,AW$3))</f>
        <v/>
      </c>
      <c r="AY118" s="86" t="str">
        <f>IF(SUMIFS(Journal!$D$3:$D$143,Journal!$A$3:$A$143,$B118,Journal!$E$3:$E$143,AY$3)=0,"",SUMIFS(Journal!$D$3:$D$143,Journal!$A$3:$A$143,$B118,Journal!$E$3:$E$143,AY$3))</f>
        <v/>
      </c>
      <c r="AZ118" s="86" t="str">
        <f>IF(SUMIFS(Journal!$D$3:$D$143,Journal!$A$3:$A$143,$B118,Journal!$F$3:$F$143,AY$3)=0,"",SUMIFS(Journal!$D$3:$D$143,Journal!$A$3:$A$143,$B118,Journal!$F$3:$F$143,AY$3))</f>
        <v/>
      </c>
      <c r="BA118" s="86" t="str">
        <f>IF(SUMIFS(Journal!$D$3:$D$143,Journal!$A$3:$A$143,$B118,Journal!$E$3:$E$143,BA$3)=0,"",SUMIFS(Journal!$D$3:$D$143,Journal!$A$3:$A$143,$B118,Journal!$E$3:$E$143,BA$3))</f>
        <v/>
      </c>
      <c r="BB118" s="86" t="str">
        <f>IF(SUMIFS(Journal!$D$3:$D$143,Journal!$A$3:$A$143,$B118,Journal!$F$3:$F$143,BA$3)=0,"",SUMIFS(Journal!$D$3:$D$143,Journal!$A$3:$A$143,$B118,Journal!$F$3:$F$143,BA$3))</f>
        <v/>
      </c>
    </row>
    <row r="119">
      <c r="A119" s="84">
        <f>VLOOKUP(B119,Journal!$A$3:$C$143,2,FALSE)</f>
        <v>45632</v>
      </c>
      <c r="B119" s="85" t="s">
        <v>616</v>
      </c>
      <c r="C119" s="86" t="str">
        <f>VLOOKUP(B119,Journal!$A$3:$C$143,3,FALSE)</f>
        <v>Monthly business insurance premium</v>
      </c>
      <c r="D119" s="86">
        <f>SUMIF(Journal!$A$3:$A$143,B119,Journal!$D$3:$D$143)</f>
        <v>600</v>
      </c>
      <c r="E119" s="86" t="str">
        <f>IF(SUMIFS(Journal!$D$3:$D$143,Journal!$A$3:$A$143,$B119,Journal!$E$3:$E$143,E$3)=0,"",SUMIFS(Journal!$D$3:$D$143,Journal!$A$3:$A$143,$B119,Journal!$E$3:$E$143,E$3))</f>
        <v/>
      </c>
      <c r="F119" s="86">
        <f>IF(SUMIFS(Journal!$D$3:$D$143,Journal!$A$3:$A$143,$B119,Journal!$F$3:$F$143,E$3)=0,"",SUMIFS(Journal!$D$3:$D$143,Journal!$A$3:$A$143,$B119,Journal!$F$3:$F$143,E$3))</f>
        <v>600</v>
      </c>
      <c r="G119" s="86" t="str">
        <f>IF(SUMIFS(Journal!$D$3:$D$143,Journal!$A$3:$A$143,$B119,Journal!$E$3:$E$143,G$3)=0,"",SUMIFS(Journal!$D$3:$D$143,Journal!$A$3:$A$143,$B119,Journal!$E$3:$E$143,G$3))</f>
        <v/>
      </c>
      <c r="H119" s="86" t="str">
        <f>IF(SUMIFS(Journal!$D$3:$D$143,Journal!$A$3:$A$143,$B119,Journal!$F$3:$F$143,G$3)=0,"",SUMIFS(Journal!$D$3:$D$143,Journal!$A$3:$A$143,$B119,Journal!$F$3:$F$143,G$3))</f>
        <v/>
      </c>
      <c r="I119" s="86" t="str">
        <f>IF(SUMIFS(Journal!$D$3:$D$143,Journal!$A$3:$A$143,$B119,Journal!$E$3:$E$143,I$3)=0,"",SUMIFS(Journal!$D$3:$D$143,Journal!$A$3:$A$143,$B119,Journal!$E$3:$E$143,I$3))</f>
        <v/>
      </c>
      <c r="J119" s="86" t="str">
        <f>IF(SUMIFS(Journal!$D$3:$D$143,Journal!$A$3:$A$143,$B119,Journal!$F$3:$F$143,I$3)=0,"",SUMIFS(Journal!$D$3:$D$143,Journal!$A$3:$A$143,$B119,Journal!$F$3:$F$143,I$3))</f>
        <v/>
      </c>
      <c r="K119" s="86" t="str">
        <f>IF(SUMIFS(Journal!$D$3:$D$143,Journal!$A$3:$A$143,$B119,Journal!$E$3:$E$143,K$3)=0,"",SUMIFS(Journal!$D$3:$D$143,Journal!$A$3:$A$143,$B119,Journal!$E$3:$E$143,K$3))</f>
        <v/>
      </c>
      <c r="L119" s="86" t="str">
        <f>IF(SUMIFS(Journal!$D$3:$D$143,Journal!$A$3:$A$143,$B119,Journal!$F$3:$F$143,K$3)=0,"",SUMIFS(Journal!$D$3:$D$143,Journal!$A$3:$A$143,$B119,Journal!$F$3:$F$143,K$3))</f>
        <v/>
      </c>
      <c r="M119" s="86" t="str">
        <f>IF(SUMIFS(Journal!$D$3:$D$143,Journal!$A$3:$A$143,$B119,Journal!$E$3:$E$143,M$3)=0,"",SUMIFS(Journal!$D$3:$D$143,Journal!$A$3:$A$143,$B119,Journal!$E$3:$E$143,M$3))</f>
        <v/>
      </c>
      <c r="N119" s="86" t="str">
        <f>IF(SUMIFS(Journal!$D$3:$D$143,Journal!$A$3:$A$143,$B119,Journal!$F$3:$F$143,M$3)=0,"",SUMIFS(Journal!$D$3:$D$143,Journal!$A$3:$A$143,$B119,Journal!$F$3:$F$143,M$3))</f>
        <v/>
      </c>
      <c r="O119" s="86" t="str">
        <f>IF(SUMIFS(Journal!$D$3:$D$143,Journal!$A$3:$A$143,$B119,Journal!$E$3:$E$143,O$3)=0,"",SUMIFS(Journal!$D$3:$D$143,Journal!$A$3:$A$143,$B119,Journal!$E$3:$E$143,O$3))</f>
        <v/>
      </c>
      <c r="P119" s="86" t="str">
        <f>IF(SUMIFS(Journal!$D$3:$D$143,Journal!$A$3:$A$143,$B119,Journal!$F$3:$F$143,O$3)=0,"",SUMIFS(Journal!$D$3:$D$143,Journal!$A$3:$A$143,$B119,Journal!$F$3:$F$143,O$3))</f>
        <v/>
      </c>
      <c r="Q119" s="86" t="str">
        <f>IF(SUMIFS(Journal!$D$3:$D$143,Journal!$A$3:$A$143,$B119,Journal!$E$3:$E$143,Q$3)=0,"",SUMIFS(Journal!$D$3:$D$143,Journal!$A$3:$A$143,$B119,Journal!$E$3:$E$143,Q$3))</f>
        <v/>
      </c>
      <c r="R119" s="86" t="str">
        <f>IF(SUMIFS(Journal!$D$3:$D$143,Journal!$A$3:$A$143,$B119,Journal!$F$3:$F$143,Q$3)=0,"",SUMIFS(Journal!$D$3:$D$143,Journal!$A$3:$A$143,$B119,Journal!$F$3:$F$143,Q$3))</f>
        <v/>
      </c>
      <c r="S119" s="86" t="str">
        <f>IF(SUMIFS(Journal!$D$3:$D$143,Journal!$A$3:$A$143,$B119,Journal!$E$3:$E$143,S$3)=0,"",SUMIFS(Journal!$D$3:$D$143,Journal!$A$3:$A$143,$B119,Journal!$E$3:$E$143,S$3))</f>
        <v/>
      </c>
      <c r="T119" s="86" t="str">
        <f>IF(SUMIFS(Journal!$D$3:$D$143,Journal!$A$3:$A$143,$B119,Journal!$F$3:$F$143,S$3)=0,"",SUMIFS(Journal!$D$3:$D$143,Journal!$A$3:$A$143,$B119,Journal!$F$3:$F$143,S$3))</f>
        <v/>
      </c>
      <c r="U119" s="86" t="str">
        <f>IF(SUMIFS(Journal!$D$3:$D$143,Journal!$A$3:$A$143,$B119,Journal!$E$3:$E$143,U$3)=0,"",SUMIFS(Journal!$D$3:$D$143,Journal!$A$3:$A$143,$B119,Journal!$E$3:$E$143,U$3))</f>
        <v/>
      </c>
      <c r="V119" s="86" t="str">
        <f>IF(SUMIFS(Journal!$D$3:$D$143,Journal!$A$3:$A$143,$B119,Journal!$F$3:$F$143,U$3)=0,"",SUMIFS(Journal!$D$3:$D$143,Journal!$A$3:$A$143,$B119,Journal!$F$3:$F$143,U$3))</f>
        <v/>
      </c>
      <c r="W119" s="86" t="str">
        <f>IF(SUMIFS(Journal!$D$3:$D$143,Journal!$A$3:$A$143,$B119,Journal!$E$3:$E$143,W$3)=0,"",SUMIFS(Journal!$D$3:$D$143,Journal!$A$3:$A$143,$B119,Journal!$E$3:$E$143,W$3))</f>
        <v/>
      </c>
      <c r="X119" s="86" t="str">
        <f>IF(SUMIFS(Journal!$D$3:$D$143,Journal!$A$3:$A$143,$B119,Journal!$F$3:$F$143,W$3)=0,"",SUMIFS(Journal!$D$3:$D$143,Journal!$A$3:$A$143,$B119,Journal!$F$3:$F$143,W$3))</f>
        <v/>
      </c>
      <c r="Y119" s="86" t="str">
        <f>IF(SUMIFS(Journal!$D$3:$D$143,Journal!$A$3:$A$143,$B119,Journal!$E$3:$E$143,Y$3)=0,"",SUMIFS(Journal!$D$3:$D$143,Journal!$A$3:$A$143,$B119,Journal!$E$3:$E$143,Y$3))</f>
        <v/>
      </c>
      <c r="Z119" s="86" t="str">
        <f>IF(SUMIFS(Journal!$D$3:$D$143,Journal!$A$3:$A$143,$B119,Journal!$F$3:$F$143,Y$3)=0,"",SUMIFS(Journal!$D$3:$D$143,Journal!$A$3:$A$143,$B119,Journal!$F$3:$F$143,Y$3))</f>
        <v/>
      </c>
      <c r="AA119" s="86" t="str">
        <f>IF(SUMIFS(Journal!$D$3:$D$143,Journal!$A$3:$A$143,$B119,Journal!$E$3:$E$143,AA$3)=0,"",SUMIFS(Journal!$D$3:$D$143,Journal!$A$3:$A$143,$B119,Journal!$E$3:$E$143,AA$3))</f>
        <v/>
      </c>
      <c r="AB119" s="86" t="str">
        <f>IF(SUMIFS(Journal!$D$3:$D$143,Journal!$A$3:$A$143,$B119,Journal!$F$3:$F$143,AA$3)=0,"",SUMIFS(Journal!$D$3:$D$143,Journal!$A$3:$A$143,$B119,Journal!$F$3:$F$143,AA$3))</f>
        <v/>
      </c>
      <c r="AC119" s="86" t="str">
        <f>IF(SUMIFS(Journal!$D$3:$D$143,Journal!$A$3:$A$143,$B119,Journal!$E$3:$E$143,AC$3)=0,"",SUMIFS(Journal!$D$3:$D$143,Journal!$A$3:$A$143,$B119,Journal!$E$3:$E$143,AC$3))</f>
        <v/>
      </c>
      <c r="AD119" s="86" t="str">
        <f>IF(SUMIFS(Journal!$D$3:$D$143,Journal!$A$3:$A$143,$B119,Journal!$F$3:$F$143,AC$3)=0,"",SUMIFS(Journal!$D$3:$D$143,Journal!$A$3:$A$143,$B119,Journal!$F$3:$F$143,AC$3))</f>
        <v/>
      </c>
      <c r="AE119" s="86" t="str">
        <f>IF(SUMIFS(Journal!$D$3:$D$143,Journal!$A$3:$A$143,$B119,Journal!$E$3:$E$143,AE$3)=0,"",SUMIFS(Journal!$D$3:$D$143,Journal!$A$3:$A$143,$B119,Journal!$E$3:$E$143,AE$3))</f>
        <v/>
      </c>
      <c r="AF119" s="86" t="str">
        <f>IF(SUMIFS(Journal!$D$3:$D$143,Journal!$A$3:$A$143,$B119,Journal!$F$3:$F$143,AE$3)=0,"",SUMIFS(Journal!$D$3:$D$143,Journal!$A$3:$A$143,$B119,Journal!$F$3:$F$143,AE$3))</f>
        <v/>
      </c>
      <c r="AG119" s="86" t="str">
        <f>IF(SUMIFS(Journal!$D$3:$D$143,Journal!$A$3:$A$143,$B119,Journal!$E$3:$E$143,AG$3)=0,"",SUMIFS(Journal!$D$3:$D$143,Journal!$A$3:$A$143,$B119,Journal!$E$3:$E$143,AG$3))</f>
        <v/>
      </c>
      <c r="AH119" s="86" t="str">
        <f>IF(SUMIFS(Journal!$D$3:$D$143,Journal!$A$3:$A$143,$B119,Journal!$F$3:$F$143,AG$3)=0,"",SUMIFS(Journal!$D$3:$D$143,Journal!$A$3:$A$143,$B119,Journal!$F$3:$F$143,AG$3))</f>
        <v/>
      </c>
      <c r="AI119" s="86" t="str">
        <f>IF(SUMIFS(Journal!$D$3:$D$143,Journal!$A$3:$A$143,$B119,Journal!$E$3:$E$143,AI$3)=0,"",SUMIFS(Journal!$D$3:$D$143,Journal!$A$3:$A$143,$B119,Journal!$E$3:$E$143,AI$3))</f>
        <v/>
      </c>
      <c r="AJ119" s="86" t="str">
        <f>IF(SUMIFS(Journal!$D$3:$D$143,Journal!$A$3:$A$143,$B119,Journal!$F$3:$F$143,AI$3)=0,"",SUMIFS(Journal!$D$3:$D$143,Journal!$A$3:$A$143,$B119,Journal!$F$3:$F$143,AI$3))</f>
        <v/>
      </c>
      <c r="AK119" s="86">
        <f>IF(SUMIFS(Journal!$D$3:$D$143,Journal!$A$3:$A$143,$B119,Journal!$E$3:$E$143,AK$3)=0,"",SUMIFS(Journal!$D$3:$D$143,Journal!$A$3:$A$143,$B119,Journal!$E$3:$E$143,AK$3))</f>
        <v>600</v>
      </c>
      <c r="AL119" s="86" t="str">
        <f>IF(SUMIFS(Journal!$D$3:$D$143,Journal!$A$3:$A$143,$B119,Journal!$F$3:$F$143,AK$3)=0,"",SUMIFS(Journal!$D$3:$D$143,Journal!$A$3:$A$143,$B119,Journal!$F$3:$F$143,AK$3))</f>
        <v/>
      </c>
      <c r="AM119" s="86" t="str">
        <f>IF(SUMIFS(Journal!$D$3:$D$143,Journal!$A$3:$A$143,$B119,Journal!$E$3:$E$143,AM$3)=0,"",SUMIFS(Journal!$D$3:$D$143,Journal!$A$3:$A$143,$B119,Journal!$E$3:$E$143,AM$3))</f>
        <v/>
      </c>
      <c r="AN119" s="86" t="str">
        <f>IF(SUMIFS(Journal!$D$3:$D$143,Journal!$A$3:$A$143,$B119,Journal!$F$3:$F$143,AM$3)=0,"",SUMIFS(Journal!$D$3:$D$143,Journal!$A$3:$A$143,$B119,Journal!$F$3:$F$143,AM$3))</f>
        <v/>
      </c>
      <c r="AO119" s="86" t="str">
        <f>IF(SUMIFS(Journal!$D$3:$D$143,Journal!$A$3:$A$143,$B119,Journal!$E$3:$E$143,AO$3)=0,"",SUMIFS(Journal!$D$3:$D$143,Journal!$A$3:$A$143,$B119,Journal!$E$3:$E$143,AO$3))</f>
        <v/>
      </c>
      <c r="AP119" s="86" t="str">
        <f>IF(SUMIFS(Journal!$D$3:$D$143,Journal!$A$3:$A$143,$B119,Journal!$F$3:$F$143,AO$3)=0,"",SUMIFS(Journal!$D$3:$D$143,Journal!$A$3:$A$143,$B119,Journal!$F$3:$F$143,AO$3))</f>
        <v/>
      </c>
      <c r="AQ119" s="86" t="str">
        <f>IF(SUMIFS(Journal!$D$3:$D$143,Journal!$A$3:$A$143,$B119,Journal!$E$3:$E$143,AQ$3)=0,"",SUMIFS(Journal!$D$3:$D$143,Journal!$A$3:$A$143,$B119,Journal!$E$3:$E$143,AQ$3))</f>
        <v/>
      </c>
      <c r="AR119" s="86" t="str">
        <f>IF(SUMIFS(Journal!$D$3:$D$143,Journal!$A$3:$A$143,$B119,Journal!$F$3:$F$143,AQ$3)=0,"",SUMIFS(Journal!$D$3:$D$143,Journal!$A$3:$A$143,$B119,Journal!$F$3:$F$143,AQ$3))</f>
        <v/>
      </c>
      <c r="AS119" s="86" t="str">
        <f>IF(SUMIFS(Journal!$D$3:$D$143,Journal!$A$3:$A$143,$B119,Journal!$E$3:$E$143,AS$3)=0,"",SUMIFS(Journal!$D$3:$D$143,Journal!$A$3:$A$143,$B119,Journal!$E$3:$E$143,AS$3))</f>
        <v/>
      </c>
      <c r="AT119" s="86" t="str">
        <f>IF(SUMIFS(Journal!$D$3:$D$143,Journal!$A$3:$A$143,$B119,Journal!$F$3:$F$143,AS$3)=0,"",SUMIFS(Journal!$D$3:$D$143,Journal!$A$3:$A$143,$B119,Journal!$F$3:$F$143,AS$3))</f>
        <v/>
      </c>
      <c r="AU119" s="86" t="str">
        <f>IF(SUMIFS(Journal!$D$3:$D$143,Journal!$A$3:$A$143,$B119,Journal!$E$3:$E$143,AU$3)=0,"",SUMIFS(Journal!$D$3:$D$143,Journal!$A$3:$A$143,$B119,Journal!$E$3:$E$143,AU$3))</f>
        <v/>
      </c>
      <c r="AV119" s="86" t="str">
        <f>IF(SUMIFS(Journal!$D$3:$D$143,Journal!$A$3:$A$143,$B119,Journal!$F$3:$F$143,AU$3)=0,"",SUMIFS(Journal!$D$3:$D$143,Journal!$A$3:$A$143,$B119,Journal!$F$3:$F$143,AU$3))</f>
        <v/>
      </c>
      <c r="AW119" s="86" t="str">
        <f>IF(SUMIFS(Journal!$D$3:$D$143,Journal!$A$3:$A$143,$B119,Journal!$E$3:$E$143,AW$3)=0,"",SUMIFS(Journal!$D$3:$D$143,Journal!$A$3:$A$143,$B119,Journal!$E$3:$E$143,AW$3))</f>
        <v/>
      </c>
      <c r="AX119" s="86" t="str">
        <f>IF(SUMIFS(Journal!$D$3:$D$143,Journal!$A$3:$A$143,$B119,Journal!$F$3:$F$143,AW$3)=0,"",SUMIFS(Journal!$D$3:$D$143,Journal!$A$3:$A$143,$B119,Journal!$F$3:$F$143,AW$3))</f>
        <v/>
      </c>
      <c r="AY119" s="86" t="str">
        <f>IF(SUMIFS(Journal!$D$3:$D$143,Journal!$A$3:$A$143,$B119,Journal!$E$3:$E$143,AY$3)=0,"",SUMIFS(Journal!$D$3:$D$143,Journal!$A$3:$A$143,$B119,Journal!$E$3:$E$143,AY$3))</f>
        <v/>
      </c>
      <c r="AZ119" s="86" t="str">
        <f>IF(SUMIFS(Journal!$D$3:$D$143,Journal!$A$3:$A$143,$B119,Journal!$F$3:$F$143,AY$3)=0,"",SUMIFS(Journal!$D$3:$D$143,Journal!$A$3:$A$143,$B119,Journal!$F$3:$F$143,AY$3))</f>
        <v/>
      </c>
      <c r="BA119" s="86" t="str">
        <f>IF(SUMIFS(Journal!$D$3:$D$143,Journal!$A$3:$A$143,$B119,Journal!$E$3:$E$143,BA$3)=0,"",SUMIFS(Journal!$D$3:$D$143,Journal!$A$3:$A$143,$B119,Journal!$E$3:$E$143,BA$3))</f>
        <v/>
      </c>
      <c r="BB119" s="86" t="str">
        <f>IF(SUMIFS(Journal!$D$3:$D$143,Journal!$A$3:$A$143,$B119,Journal!$F$3:$F$143,BA$3)=0,"",SUMIFS(Journal!$D$3:$D$143,Journal!$A$3:$A$143,$B119,Journal!$F$3:$F$143,BA$3))</f>
        <v/>
      </c>
    </row>
    <row r="120">
      <c r="A120" s="84">
        <f>VLOOKUP(B120,Journal!$A$3:$C$143,2,FALSE)</f>
        <v>45644</v>
      </c>
      <c r="B120" s="85" t="s">
        <v>619</v>
      </c>
      <c r="C120" s="86" t="str">
        <f>VLOOKUP(B120,Journal!$A$3:$C$143,3,FALSE)</f>
        <v>Retail camping-supply sales</v>
      </c>
      <c r="D120" s="86">
        <f>SUMIF(Journal!$A$3:$A$143,B120,Journal!$D$3:$D$143)</f>
        <v>5600</v>
      </c>
      <c r="E120" s="86">
        <f>IF(SUMIFS(Journal!$D$3:$D$143,Journal!$A$3:$A$143,$B120,Journal!$E$3:$E$143,E$3)=0,"",SUMIFS(Journal!$D$3:$D$143,Journal!$A$3:$A$143,$B120,Journal!$E$3:$E$143,E$3))</f>
        <v>3500</v>
      </c>
      <c r="F120" s="86" t="str">
        <f>IF(SUMIFS(Journal!$D$3:$D$143,Journal!$A$3:$A$143,$B120,Journal!$F$3:$F$143,E$3)=0,"",SUMIFS(Journal!$D$3:$D$143,Journal!$A$3:$A$143,$B120,Journal!$F$3:$F$143,E$3))</f>
        <v/>
      </c>
      <c r="G120" s="86" t="str">
        <f>IF(SUMIFS(Journal!$D$3:$D$143,Journal!$A$3:$A$143,$B120,Journal!$E$3:$E$143,G$3)=0,"",SUMIFS(Journal!$D$3:$D$143,Journal!$A$3:$A$143,$B120,Journal!$E$3:$E$143,G$3))</f>
        <v/>
      </c>
      <c r="H120" s="86" t="str">
        <f>IF(SUMIFS(Journal!$D$3:$D$143,Journal!$A$3:$A$143,$B120,Journal!$F$3:$F$143,G$3)=0,"",SUMIFS(Journal!$D$3:$D$143,Journal!$A$3:$A$143,$B120,Journal!$F$3:$F$143,G$3))</f>
        <v/>
      </c>
      <c r="I120" s="86" t="str">
        <f>IF(SUMIFS(Journal!$D$3:$D$143,Journal!$A$3:$A$143,$B120,Journal!$E$3:$E$143,I$3)=0,"",SUMIFS(Journal!$D$3:$D$143,Journal!$A$3:$A$143,$B120,Journal!$E$3:$E$143,I$3))</f>
        <v/>
      </c>
      <c r="J120" s="86">
        <f>IF(SUMIFS(Journal!$D$3:$D$143,Journal!$A$3:$A$143,$B120,Journal!$F$3:$F$143,I$3)=0,"",SUMIFS(Journal!$D$3:$D$143,Journal!$A$3:$A$143,$B120,Journal!$F$3:$F$143,I$3))</f>
        <v>2100</v>
      </c>
      <c r="K120" s="86" t="str">
        <f>IF(SUMIFS(Journal!$D$3:$D$143,Journal!$A$3:$A$143,$B120,Journal!$E$3:$E$143,K$3)=0,"",SUMIFS(Journal!$D$3:$D$143,Journal!$A$3:$A$143,$B120,Journal!$E$3:$E$143,K$3))</f>
        <v/>
      </c>
      <c r="L120" s="86" t="str">
        <f>IF(SUMIFS(Journal!$D$3:$D$143,Journal!$A$3:$A$143,$B120,Journal!$F$3:$F$143,K$3)=0,"",SUMIFS(Journal!$D$3:$D$143,Journal!$A$3:$A$143,$B120,Journal!$F$3:$F$143,K$3))</f>
        <v/>
      </c>
      <c r="M120" s="86" t="str">
        <f>IF(SUMIFS(Journal!$D$3:$D$143,Journal!$A$3:$A$143,$B120,Journal!$E$3:$E$143,M$3)=0,"",SUMIFS(Journal!$D$3:$D$143,Journal!$A$3:$A$143,$B120,Journal!$E$3:$E$143,M$3))</f>
        <v/>
      </c>
      <c r="N120" s="86" t="str">
        <f>IF(SUMIFS(Journal!$D$3:$D$143,Journal!$A$3:$A$143,$B120,Journal!$F$3:$F$143,M$3)=0,"",SUMIFS(Journal!$D$3:$D$143,Journal!$A$3:$A$143,$B120,Journal!$F$3:$F$143,M$3))</f>
        <v/>
      </c>
      <c r="O120" s="86" t="str">
        <f>IF(SUMIFS(Journal!$D$3:$D$143,Journal!$A$3:$A$143,$B120,Journal!$E$3:$E$143,O$3)=0,"",SUMIFS(Journal!$D$3:$D$143,Journal!$A$3:$A$143,$B120,Journal!$E$3:$E$143,O$3))</f>
        <v/>
      </c>
      <c r="P120" s="86" t="str">
        <f>IF(SUMIFS(Journal!$D$3:$D$143,Journal!$A$3:$A$143,$B120,Journal!$F$3:$F$143,O$3)=0,"",SUMIFS(Journal!$D$3:$D$143,Journal!$A$3:$A$143,$B120,Journal!$F$3:$F$143,O$3))</f>
        <v/>
      </c>
      <c r="Q120" s="86" t="str">
        <f>IF(SUMIFS(Journal!$D$3:$D$143,Journal!$A$3:$A$143,$B120,Journal!$E$3:$E$143,Q$3)=0,"",SUMIFS(Journal!$D$3:$D$143,Journal!$A$3:$A$143,$B120,Journal!$E$3:$E$143,Q$3))</f>
        <v/>
      </c>
      <c r="R120" s="86" t="str">
        <f>IF(SUMIFS(Journal!$D$3:$D$143,Journal!$A$3:$A$143,$B120,Journal!$F$3:$F$143,Q$3)=0,"",SUMIFS(Journal!$D$3:$D$143,Journal!$A$3:$A$143,$B120,Journal!$F$3:$F$143,Q$3))</f>
        <v/>
      </c>
      <c r="S120" s="86" t="str">
        <f>IF(SUMIFS(Journal!$D$3:$D$143,Journal!$A$3:$A$143,$B120,Journal!$E$3:$E$143,S$3)=0,"",SUMIFS(Journal!$D$3:$D$143,Journal!$A$3:$A$143,$B120,Journal!$E$3:$E$143,S$3))</f>
        <v/>
      </c>
      <c r="T120" s="86" t="str">
        <f>IF(SUMIFS(Journal!$D$3:$D$143,Journal!$A$3:$A$143,$B120,Journal!$F$3:$F$143,S$3)=0,"",SUMIFS(Journal!$D$3:$D$143,Journal!$A$3:$A$143,$B120,Journal!$F$3:$F$143,S$3))</f>
        <v/>
      </c>
      <c r="U120" s="86" t="str">
        <f>IF(SUMIFS(Journal!$D$3:$D$143,Journal!$A$3:$A$143,$B120,Journal!$E$3:$E$143,U$3)=0,"",SUMIFS(Journal!$D$3:$D$143,Journal!$A$3:$A$143,$B120,Journal!$E$3:$E$143,U$3))</f>
        <v/>
      </c>
      <c r="V120" s="86" t="str">
        <f>IF(SUMIFS(Journal!$D$3:$D$143,Journal!$A$3:$A$143,$B120,Journal!$F$3:$F$143,U$3)=0,"",SUMIFS(Journal!$D$3:$D$143,Journal!$A$3:$A$143,$B120,Journal!$F$3:$F$143,U$3))</f>
        <v/>
      </c>
      <c r="W120" s="86" t="str">
        <f>IF(SUMIFS(Journal!$D$3:$D$143,Journal!$A$3:$A$143,$B120,Journal!$E$3:$E$143,W$3)=0,"",SUMIFS(Journal!$D$3:$D$143,Journal!$A$3:$A$143,$B120,Journal!$E$3:$E$143,W$3))</f>
        <v/>
      </c>
      <c r="X120" s="86" t="str">
        <f>IF(SUMIFS(Journal!$D$3:$D$143,Journal!$A$3:$A$143,$B120,Journal!$F$3:$F$143,W$3)=0,"",SUMIFS(Journal!$D$3:$D$143,Journal!$A$3:$A$143,$B120,Journal!$F$3:$F$143,W$3))</f>
        <v/>
      </c>
      <c r="Y120" s="86" t="str">
        <f>IF(SUMIFS(Journal!$D$3:$D$143,Journal!$A$3:$A$143,$B120,Journal!$E$3:$E$143,Y$3)=0,"",SUMIFS(Journal!$D$3:$D$143,Journal!$A$3:$A$143,$B120,Journal!$E$3:$E$143,Y$3))</f>
        <v/>
      </c>
      <c r="Z120" s="86" t="str">
        <f>IF(SUMIFS(Journal!$D$3:$D$143,Journal!$A$3:$A$143,$B120,Journal!$F$3:$F$143,Y$3)=0,"",SUMIFS(Journal!$D$3:$D$143,Journal!$A$3:$A$143,$B120,Journal!$F$3:$F$143,Y$3))</f>
        <v/>
      </c>
      <c r="AA120" s="86" t="str">
        <f>IF(SUMIFS(Journal!$D$3:$D$143,Journal!$A$3:$A$143,$B120,Journal!$E$3:$E$143,AA$3)=0,"",SUMIFS(Journal!$D$3:$D$143,Journal!$A$3:$A$143,$B120,Journal!$E$3:$E$143,AA$3))</f>
        <v/>
      </c>
      <c r="AB120" s="86">
        <f>IF(SUMIFS(Journal!$D$3:$D$143,Journal!$A$3:$A$143,$B120,Journal!$F$3:$F$143,AA$3)=0,"",SUMIFS(Journal!$D$3:$D$143,Journal!$A$3:$A$143,$B120,Journal!$F$3:$F$143,AA$3))</f>
        <v>3500</v>
      </c>
      <c r="AC120" s="86" t="str">
        <f>IF(SUMIFS(Journal!$D$3:$D$143,Journal!$A$3:$A$143,$B120,Journal!$E$3:$E$143,AC$3)=0,"",SUMIFS(Journal!$D$3:$D$143,Journal!$A$3:$A$143,$B120,Journal!$E$3:$E$143,AC$3))</f>
        <v/>
      </c>
      <c r="AD120" s="86" t="str">
        <f>IF(SUMIFS(Journal!$D$3:$D$143,Journal!$A$3:$A$143,$B120,Journal!$F$3:$F$143,AC$3)=0,"",SUMIFS(Journal!$D$3:$D$143,Journal!$A$3:$A$143,$B120,Journal!$F$3:$F$143,AC$3))</f>
        <v/>
      </c>
      <c r="AE120" s="86">
        <f>IF(SUMIFS(Journal!$D$3:$D$143,Journal!$A$3:$A$143,$B120,Journal!$E$3:$E$143,AE$3)=0,"",SUMIFS(Journal!$D$3:$D$143,Journal!$A$3:$A$143,$B120,Journal!$E$3:$E$143,AE$3))</f>
        <v>2100</v>
      </c>
      <c r="AF120" s="86" t="str">
        <f>IF(SUMIFS(Journal!$D$3:$D$143,Journal!$A$3:$A$143,$B120,Journal!$F$3:$F$143,AE$3)=0,"",SUMIFS(Journal!$D$3:$D$143,Journal!$A$3:$A$143,$B120,Journal!$F$3:$F$143,AE$3))</f>
        <v/>
      </c>
      <c r="AG120" s="86" t="str">
        <f>IF(SUMIFS(Journal!$D$3:$D$143,Journal!$A$3:$A$143,$B120,Journal!$E$3:$E$143,AG$3)=0,"",SUMIFS(Journal!$D$3:$D$143,Journal!$A$3:$A$143,$B120,Journal!$E$3:$E$143,AG$3))</f>
        <v/>
      </c>
      <c r="AH120" s="86" t="str">
        <f>IF(SUMIFS(Journal!$D$3:$D$143,Journal!$A$3:$A$143,$B120,Journal!$F$3:$F$143,AG$3)=0,"",SUMIFS(Journal!$D$3:$D$143,Journal!$A$3:$A$143,$B120,Journal!$F$3:$F$143,AG$3))</f>
        <v/>
      </c>
      <c r="AI120" s="86" t="str">
        <f>IF(SUMIFS(Journal!$D$3:$D$143,Journal!$A$3:$A$143,$B120,Journal!$E$3:$E$143,AI$3)=0,"",SUMIFS(Journal!$D$3:$D$143,Journal!$A$3:$A$143,$B120,Journal!$E$3:$E$143,AI$3))</f>
        <v/>
      </c>
      <c r="AJ120" s="86" t="str">
        <f>IF(SUMIFS(Journal!$D$3:$D$143,Journal!$A$3:$A$143,$B120,Journal!$F$3:$F$143,AI$3)=0,"",SUMIFS(Journal!$D$3:$D$143,Journal!$A$3:$A$143,$B120,Journal!$F$3:$F$143,AI$3))</f>
        <v/>
      </c>
      <c r="AK120" s="86" t="str">
        <f>IF(SUMIFS(Journal!$D$3:$D$143,Journal!$A$3:$A$143,$B120,Journal!$E$3:$E$143,AK$3)=0,"",SUMIFS(Journal!$D$3:$D$143,Journal!$A$3:$A$143,$B120,Journal!$E$3:$E$143,AK$3))</f>
        <v/>
      </c>
      <c r="AL120" s="86" t="str">
        <f>IF(SUMIFS(Journal!$D$3:$D$143,Journal!$A$3:$A$143,$B120,Journal!$F$3:$F$143,AK$3)=0,"",SUMIFS(Journal!$D$3:$D$143,Journal!$A$3:$A$143,$B120,Journal!$F$3:$F$143,AK$3))</f>
        <v/>
      </c>
      <c r="AM120" s="86" t="str">
        <f>IF(SUMIFS(Journal!$D$3:$D$143,Journal!$A$3:$A$143,$B120,Journal!$E$3:$E$143,AM$3)=0,"",SUMIFS(Journal!$D$3:$D$143,Journal!$A$3:$A$143,$B120,Journal!$E$3:$E$143,AM$3))</f>
        <v/>
      </c>
      <c r="AN120" s="86" t="str">
        <f>IF(SUMIFS(Journal!$D$3:$D$143,Journal!$A$3:$A$143,$B120,Journal!$F$3:$F$143,AM$3)=0,"",SUMIFS(Journal!$D$3:$D$143,Journal!$A$3:$A$143,$B120,Journal!$F$3:$F$143,AM$3))</f>
        <v/>
      </c>
      <c r="AO120" s="86" t="str">
        <f>IF(SUMIFS(Journal!$D$3:$D$143,Journal!$A$3:$A$143,$B120,Journal!$E$3:$E$143,AO$3)=0,"",SUMIFS(Journal!$D$3:$D$143,Journal!$A$3:$A$143,$B120,Journal!$E$3:$E$143,AO$3))</f>
        <v/>
      </c>
      <c r="AP120" s="86" t="str">
        <f>IF(SUMIFS(Journal!$D$3:$D$143,Journal!$A$3:$A$143,$B120,Journal!$F$3:$F$143,AO$3)=0,"",SUMIFS(Journal!$D$3:$D$143,Journal!$A$3:$A$143,$B120,Journal!$F$3:$F$143,AO$3))</f>
        <v/>
      </c>
      <c r="AQ120" s="86" t="str">
        <f>IF(SUMIFS(Journal!$D$3:$D$143,Journal!$A$3:$A$143,$B120,Journal!$E$3:$E$143,AQ$3)=0,"",SUMIFS(Journal!$D$3:$D$143,Journal!$A$3:$A$143,$B120,Journal!$E$3:$E$143,AQ$3))</f>
        <v/>
      </c>
      <c r="AR120" s="86" t="str">
        <f>IF(SUMIFS(Journal!$D$3:$D$143,Journal!$A$3:$A$143,$B120,Journal!$F$3:$F$143,AQ$3)=0,"",SUMIFS(Journal!$D$3:$D$143,Journal!$A$3:$A$143,$B120,Journal!$F$3:$F$143,AQ$3))</f>
        <v/>
      </c>
      <c r="AS120" s="86" t="str">
        <f>IF(SUMIFS(Journal!$D$3:$D$143,Journal!$A$3:$A$143,$B120,Journal!$E$3:$E$143,AS$3)=0,"",SUMIFS(Journal!$D$3:$D$143,Journal!$A$3:$A$143,$B120,Journal!$E$3:$E$143,AS$3))</f>
        <v/>
      </c>
      <c r="AT120" s="86" t="str">
        <f>IF(SUMIFS(Journal!$D$3:$D$143,Journal!$A$3:$A$143,$B120,Journal!$F$3:$F$143,AS$3)=0,"",SUMIFS(Journal!$D$3:$D$143,Journal!$A$3:$A$143,$B120,Journal!$F$3:$F$143,AS$3))</f>
        <v/>
      </c>
      <c r="AU120" s="86" t="str">
        <f>IF(SUMIFS(Journal!$D$3:$D$143,Journal!$A$3:$A$143,$B120,Journal!$E$3:$E$143,AU$3)=0,"",SUMIFS(Journal!$D$3:$D$143,Journal!$A$3:$A$143,$B120,Journal!$E$3:$E$143,AU$3))</f>
        <v/>
      </c>
      <c r="AV120" s="86" t="str">
        <f>IF(SUMIFS(Journal!$D$3:$D$143,Journal!$A$3:$A$143,$B120,Journal!$F$3:$F$143,AU$3)=0,"",SUMIFS(Journal!$D$3:$D$143,Journal!$A$3:$A$143,$B120,Journal!$F$3:$F$143,AU$3))</f>
        <v/>
      </c>
      <c r="AW120" s="86" t="str">
        <f>IF(SUMIFS(Journal!$D$3:$D$143,Journal!$A$3:$A$143,$B120,Journal!$E$3:$E$143,AW$3)=0,"",SUMIFS(Journal!$D$3:$D$143,Journal!$A$3:$A$143,$B120,Journal!$E$3:$E$143,AW$3))</f>
        <v/>
      </c>
      <c r="AX120" s="86" t="str">
        <f>IF(SUMIFS(Journal!$D$3:$D$143,Journal!$A$3:$A$143,$B120,Journal!$F$3:$F$143,AW$3)=0,"",SUMIFS(Journal!$D$3:$D$143,Journal!$A$3:$A$143,$B120,Journal!$F$3:$F$143,AW$3))</f>
        <v/>
      </c>
      <c r="AY120" s="86" t="str">
        <f>IF(SUMIFS(Journal!$D$3:$D$143,Journal!$A$3:$A$143,$B120,Journal!$E$3:$E$143,AY$3)=0,"",SUMIFS(Journal!$D$3:$D$143,Journal!$A$3:$A$143,$B120,Journal!$E$3:$E$143,AY$3))</f>
        <v/>
      </c>
      <c r="AZ120" s="86" t="str">
        <f>IF(SUMIFS(Journal!$D$3:$D$143,Journal!$A$3:$A$143,$B120,Journal!$F$3:$F$143,AY$3)=0,"",SUMIFS(Journal!$D$3:$D$143,Journal!$A$3:$A$143,$B120,Journal!$F$3:$F$143,AY$3))</f>
        <v/>
      </c>
      <c r="BA120" s="86" t="str">
        <f>IF(SUMIFS(Journal!$D$3:$D$143,Journal!$A$3:$A$143,$B120,Journal!$E$3:$E$143,BA$3)=0,"",SUMIFS(Journal!$D$3:$D$143,Journal!$A$3:$A$143,$B120,Journal!$E$3:$E$143,BA$3))</f>
        <v/>
      </c>
      <c r="BB120" s="86" t="str">
        <f>IF(SUMIFS(Journal!$D$3:$D$143,Journal!$A$3:$A$143,$B120,Journal!$F$3:$F$143,BA$3)=0,"",SUMIFS(Journal!$D$3:$D$143,Journal!$A$3:$A$143,$B120,Journal!$F$3:$F$143,BA$3))</f>
        <v/>
      </c>
    </row>
    <row r="121">
      <c r="A121" s="84">
        <f>VLOOKUP(B121,Journal!$A$3:$C$143,2,FALSE)</f>
        <v>45647</v>
      </c>
      <c r="B121" s="85" t="s">
        <v>622</v>
      </c>
      <c r="C121" s="86" t="str">
        <f>VLOOKUP(B121,Journal!$A$3:$C$143,3,FALSE)</f>
        <v>Deposit for January 2025 winter event</v>
      </c>
      <c r="D121" s="86">
        <f>SUMIF(Journal!$A$3:$A$143,B121,Journal!$D$3:$D$143)</f>
        <v>6000</v>
      </c>
      <c r="E121" s="86">
        <f>IF(SUMIFS(Journal!$D$3:$D$143,Journal!$A$3:$A$143,$B121,Journal!$E$3:$E$143,E$3)=0,"",SUMIFS(Journal!$D$3:$D$143,Journal!$A$3:$A$143,$B121,Journal!$E$3:$E$143,E$3))</f>
        <v>6000</v>
      </c>
      <c r="F121" s="86" t="str">
        <f>IF(SUMIFS(Journal!$D$3:$D$143,Journal!$A$3:$A$143,$B121,Journal!$F$3:$F$143,E$3)=0,"",SUMIFS(Journal!$D$3:$D$143,Journal!$A$3:$A$143,$B121,Journal!$F$3:$F$143,E$3))</f>
        <v/>
      </c>
      <c r="G121" s="86" t="str">
        <f>IF(SUMIFS(Journal!$D$3:$D$143,Journal!$A$3:$A$143,$B121,Journal!$E$3:$E$143,G$3)=0,"",SUMIFS(Journal!$D$3:$D$143,Journal!$A$3:$A$143,$B121,Journal!$E$3:$E$143,G$3))</f>
        <v/>
      </c>
      <c r="H121" s="86" t="str">
        <f>IF(SUMIFS(Journal!$D$3:$D$143,Journal!$A$3:$A$143,$B121,Journal!$F$3:$F$143,G$3)=0,"",SUMIFS(Journal!$D$3:$D$143,Journal!$A$3:$A$143,$B121,Journal!$F$3:$F$143,G$3))</f>
        <v/>
      </c>
      <c r="I121" s="86" t="str">
        <f>IF(SUMIFS(Journal!$D$3:$D$143,Journal!$A$3:$A$143,$B121,Journal!$E$3:$E$143,I$3)=0,"",SUMIFS(Journal!$D$3:$D$143,Journal!$A$3:$A$143,$B121,Journal!$E$3:$E$143,I$3))</f>
        <v/>
      </c>
      <c r="J121" s="86" t="str">
        <f>IF(SUMIFS(Journal!$D$3:$D$143,Journal!$A$3:$A$143,$B121,Journal!$F$3:$F$143,I$3)=0,"",SUMIFS(Journal!$D$3:$D$143,Journal!$A$3:$A$143,$B121,Journal!$F$3:$F$143,I$3))</f>
        <v/>
      </c>
      <c r="K121" s="86" t="str">
        <f>IF(SUMIFS(Journal!$D$3:$D$143,Journal!$A$3:$A$143,$B121,Journal!$E$3:$E$143,K$3)=0,"",SUMIFS(Journal!$D$3:$D$143,Journal!$A$3:$A$143,$B121,Journal!$E$3:$E$143,K$3))</f>
        <v/>
      </c>
      <c r="L121" s="86" t="str">
        <f>IF(SUMIFS(Journal!$D$3:$D$143,Journal!$A$3:$A$143,$B121,Journal!$F$3:$F$143,K$3)=0,"",SUMIFS(Journal!$D$3:$D$143,Journal!$A$3:$A$143,$B121,Journal!$F$3:$F$143,K$3))</f>
        <v/>
      </c>
      <c r="M121" s="86" t="str">
        <f>IF(SUMIFS(Journal!$D$3:$D$143,Journal!$A$3:$A$143,$B121,Journal!$E$3:$E$143,M$3)=0,"",SUMIFS(Journal!$D$3:$D$143,Journal!$A$3:$A$143,$B121,Journal!$E$3:$E$143,M$3))</f>
        <v/>
      </c>
      <c r="N121" s="86" t="str">
        <f>IF(SUMIFS(Journal!$D$3:$D$143,Journal!$A$3:$A$143,$B121,Journal!$F$3:$F$143,M$3)=0,"",SUMIFS(Journal!$D$3:$D$143,Journal!$A$3:$A$143,$B121,Journal!$F$3:$F$143,M$3))</f>
        <v/>
      </c>
      <c r="O121" s="86" t="str">
        <f>IF(SUMIFS(Journal!$D$3:$D$143,Journal!$A$3:$A$143,$B121,Journal!$E$3:$E$143,O$3)=0,"",SUMIFS(Journal!$D$3:$D$143,Journal!$A$3:$A$143,$B121,Journal!$E$3:$E$143,O$3))</f>
        <v/>
      </c>
      <c r="P121" s="86" t="str">
        <f>IF(SUMIFS(Journal!$D$3:$D$143,Journal!$A$3:$A$143,$B121,Journal!$F$3:$F$143,O$3)=0,"",SUMIFS(Journal!$D$3:$D$143,Journal!$A$3:$A$143,$B121,Journal!$F$3:$F$143,O$3))</f>
        <v/>
      </c>
      <c r="Q121" s="86" t="str">
        <f>IF(SUMIFS(Journal!$D$3:$D$143,Journal!$A$3:$A$143,$B121,Journal!$E$3:$E$143,Q$3)=0,"",SUMIFS(Journal!$D$3:$D$143,Journal!$A$3:$A$143,$B121,Journal!$E$3:$E$143,Q$3))</f>
        <v/>
      </c>
      <c r="R121" s="86">
        <f>IF(SUMIFS(Journal!$D$3:$D$143,Journal!$A$3:$A$143,$B121,Journal!$F$3:$F$143,Q$3)=0,"",SUMIFS(Journal!$D$3:$D$143,Journal!$A$3:$A$143,$B121,Journal!$F$3:$F$143,Q$3))</f>
        <v>6000</v>
      </c>
      <c r="S121" s="86" t="str">
        <f>IF(SUMIFS(Journal!$D$3:$D$143,Journal!$A$3:$A$143,$B121,Journal!$E$3:$E$143,S$3)=0,"",SUMIFS(Journal!$D$3:$D$143,Journal!$A$3:$A$143,$B121,Journal!$E$3:$E$143,S$3))</f>
        <v/>
      </c>
      <c r="T121" s="86" t="str">
        <f>IF(SUMIFS(Journal!$D$3:$D$143,Journal!$A$3:$A$143,$B121,Journal!$F$3:$F$143,S$3)=0,"",SUMIFS(Journal!$D$3:$D$143,Journal!$A$3:$A$143,$B121,Journal!$F$3:$F$143,S$3))</f>
        <v/>
      </c>
      <c r="U121" s="86" t="str">
        <f>IF(SUMIFS(Journal!$D$3:$D$143,Journal!$A$3:$A$143,$B121,Journal!$E$3:$E$143,U$3)=0,"",SUMIFS(Journal!$D$3:$D$143,Journal!$A$3:$A$143,$B121,Journal!$E$3:$E$143,U$3))</f>
        <v/>
      </c>
      <c r="V121" s="86" t="str">
        <f>IF(SUMIFS(Journal!$D$3:$D$143,Journal!$A$3:$A$143,$B121,Journal!$F$3:$F$143,U$3)=0,"",SUMIFS(Journal!$D$3:$D$143,Journal!$A$3:$A$143,$B121,Journal!$F$3:$F$143,U$3))</f>
        <v/>
      </c>
      <c r="W121" s="86" t="str">
        <f>IF(SUMIFS(Journal!$D$3:$D$143,Journal!$A$3:$A$143,$B121,Journal!$E$3:$E$143,W$3)=0,"",SUMIFS(Journal!$D$3:$D$143,Journal!$A$3:$A$143,$B121,Journal!$E$3:$E$143,W$3))</f>
        <v/>
      </c>
      <c r="X121" s="86" t="str">
        <f>IF(SUMIFS(Journal!$D$3:$D$143,Journal!$A$3:$A$143,$B121,Journal!$F$3:$F$143,W$3)=0,"",SUMIFS(Journal!$D$3:$D$143,Journal!$A$3:$A$143,$B121,Journal!$F$3:$F$143,W$3))</f>
        <v/>
      </c>
      <c r="Y121" s="86" t="str">
        <f>IF(SUMIFS(Journal!$D$3:$D$143,Journal!$A$3:$A$143,$B121,Journal!$E$3:$E$143,Y$3)=0,"",SUMIFS(Journal!$D$3:$D$143,Journal!$A$3:$A$143,$B121,Journal!$E$3:$E$143,Y$3))</f>
        <v/>
      </c>
      <c r="Z121" s="86" t="str">
        <f>IF(SUMIFS(Journal!$D$3:$D$143,Journal!$A$3:$A$143,$B121,Journal!$F$3:$F$143,Y$3)=0,"",SUMIFS(Journal!$D$3:$D$143,Journal!$A$3:$A$143,$B121,Journal!$F$3:$F$143,Y$3))</f>
        <v/>
      </c>
      <c r="AA121" s="86" t="str">
        <f>IF(SUMIFS(Journal!$D$3:$D$143,Journal!$A$3:$A$143,$B121,Journal!$E$3:$E$143,AA$3)=0,"",SUMIFS(Journal!$D$3:$D$143,Journal!$A$3:$A$143,$B121,Journal!$E$3:$E$143,AA$3))</f>
        <v/>
      </c>
      <c r="AB121" s="86" t="str">
        <f>IF(SUMIFS(Journal!$D$3:$D$143,Journal!$A$3:$A$143,$B121,Journal!$F$3:$F$143,AA$3)=0,"",SUMIFS(Journal!$D$3:$D$143,Journal!$A$3:$A$143,$B121,Journal!$F$3:$F$143,AA$3))</f>
        <v/>
      </c>
      <c r="AC121" s="86" t="str">
        <f>IF(SUMIFS(Journal!$D$3:$D$143,Journal!$A$3:$A$143,$B121,Journal!$E$3:$E$143,AC$3)=0,"",SUMIFS(Journal!$D$3:$D$143,Journal!$A$3:$A$143,$B121,Journal!$E$3:$E$143,AC$3))</f>
        <v/>
      </c>
      <c r="AD121" s="86" t="str">
        <f>IF(SUMIFS(Journal!$D$3:$D$143,Journal!$A$3:$A$143,$B121,Journal!$F$3:$F$143,AC$3)=0,"",SUMIFS(Journal!$D$3:$D$143,Journal!$A$3:$A$143,$B121,Journal!$F$3:$F$143,AC$3))</f>
        <v/>
      </c>
      <c r="AE121" s="86" t="str">
        <f>IF(SUMIFS(Journal!$D$3:$D$143,Journal!$A$3:$A$143,$B121,Journal!$E$3:$E$143,AE$3)=0,"",SUMIFS(Journal!$D$3:$D$143,Journal!$A$3:$A$143,$B121,Journal!$E$3:$E$143,AE$3))</f>
        <v/>
      </c>
      <c r="AF121" s="86" t="str">
        <f>IF(SUMIFS(Journal!$D$3:$D$143,Journal!$A$3:$A$143,$B121,Journal!$F$3:$F$143,AE$3)=0,"",SUMIFS(Journal!$D$3:$D$143,Journal!$A$3:$A$143,$B121,Journal!$F$3:$F$143,AE$3))</f>
        <v/>
      </c>
      <c r="AG121" s="86" t="str">
        <f>IF(SUMIFS(Journal!$D$3:$D$143,Journal!$A$3:$A$143,$B121,Journal!$E$3:$E$143,AG$3)=0,"",SUMIFS(Journal!$D$3:$D$143,Journal!$A$3:$A$143,$B121,Journal!$E$3:$E$143,AG$3))</f>
        <v/>
      </c>
      <c r="AH121" s="86" t="str">
        <f>IF(SUMIFS(Journal!$D$3:$D$143,Journal!$A$3:$A$143,$B121,Journal!$F$3:$F$143,AG$3)=0,"",SUMIFS(Journal!$D$3:$D$143,Journal!$A$3:$A$143,$B121,Journal!$F$3:$F$143,AG$3))</f>
        <v/>
      </c>
      <c r="AI121" s="86" t="str">
        <f>IF(SUMIFS(Journal!$D$3:$D$143,Journal!$A$3:$A$143,$B121,Journal!$E$3:$E$143,AI$3)=0,"",SUMIFS(Journal!$D$3:$D$143,Journal!$A$3:$A$143,$B121,Journal!$E$3:$E$143,AI$3))</f>
        <v/>
      </c>
      <c r="AJ121" s="86" t="str">
        <f>IF(SUMIFS(Journal!$D$3:$D$143,Journal!$A$3:$A$143,$B121,Journal!$F$3:$F$143,AI$3)=0,"",SUMIFS(Journal!$D$3:$D$143,Journal!$A$3:$A$143,$B121,Journal!$F$3:$F$143,AI$3))</f>
        <v/>
      </c>
      <c r="AK121" s="86" t="str">
        <f>IF(SUMIFS(Journal!$D$3:$D$143,Journal!$A$3:$A$143,$B121,Journal!$E$3:$E$143,AK$3)=0,"",SUMIFS(Journal!$D$3:$D$143,Journal!$A$3:$A$143,$B121,Journal!$E$3:$E$143,AK$3))</f>
        <v/>
      </c>
      <c r="AL121" s="86" t="str">
        <f>IF(SUMIFS(Journal!$D$3:$D$143,Journal!$A$3:$A$143,$B121,Journal!$F$3:$F$143,AK$3)=0,"",SUMIFS(Journal!$D$3:$D$143,Journal!$A$3:$A$143,$B121,Journal!$F$3:$F$143,AK$3))</f>
        <v/>
      </c>
      <c r="AM121" s="86" t="str">
        <f>IF(SUMIFS(Journal!$D$3:$D$143,Journal!$A$3:$A$143,$B121,Journal!$E$3:$E$143,AM$3)=0,"",SUMIFS(Journal!$D$3:$D$143,Journal!$A$3:$A$143,$B121,Journal!$E$3:$E$143,AM$3))</f>
        <v/>
      </c>
      <c r="AN121" s="86" t="str">
        <f>IF(SUMIFS(Journal!$D$3:$D$143,Journal!$A$3:$A$143,$B121,Journal!$F$3:$F$143,AM$3)=0,"",SUMIFS(Journal!$D$3:$D$143,Journal!$A$3:$A$143,$B121,Journal!$F$3:$F$143,AM$3))</f>
        <v/>
      </c>
      <c r="AO121" s="86" t="str">
        <f>IF(SUMIFS(Journal!$D$3:$D$143,Journal!$A$3:$A$143,$B121,Journal!$E$3:$E$143,AO$3)=0,"",SUMIFS(Journal!$D$3:$D$143,Journal!$A$3:$A$143,$B121,Journal!$E$3:$E$143,AO$3))</f>
        <v/>
      </c>
      <c r="AP121" s="86" t="str">
        <f>IF(SUMIFS(Journal!$D$3:$D$143,Journal!$A$3:$A$143,$B121,Journal!$F$3:$F$143,AO$3)=0,"",SUMIFS(Journal!$D$3:$D$143,Journal!$A$3:$A$143,$B121,Journal!$F$3:$F$143,AO$3))</f>
        <v/>
      </c>
      <c r="AQ121" s="86" t="str">
        <f>IF(SUMIFS(Journal!$D$3:$D$143,Journal!$A$3:$A$143,$B121,Journal!$E$3:$E$143,AQ$3)=0,"",SUMIFS(Journal!$D$3:$D$143,Journal!$A$3:$A$143,$B121,Journal!$E$3:$E$143,AQ$3))</f>
        <v/>
      </c>
      <c r="AR121" s="86" t="str">
        <f>IF(SUMIFS(Journal!$D$3:$D$143,Journal!$A$3:$A$143,$B121,Journal!$F$3:$F$143,AQ$3)=0,"",SUMIFS(Journal!$D$3:$D$143,Journal!$A$3:$A$143,$B121,Journal!$F$3:$F$143,AQ$3))</f>
        <v/>
      </c>
      <c r="AS121" s="86" t="str">
        <f>IF(SUMIFS(Journal!$D$3:$D$143,Journal!$A$3:$A$143,$B121,Journal!$E$3:$E$143,AS$3)=0,"",SUMIFS(Journal!$D$3:$D$143,Journal!$A$3:$A$143,$B121,Journal!$E$3:$E$143,AS$3))</f>
        <v/>
      </c>
      <c r="AT121" s="86" t="str">
        <f>IF(SUMIFS(Journal!$D$3:$D$143,Journal!$A$3:$A$143,$B121,Journal!$F$3:$F$143,AS$3)=0,"",SUMIFS(Journal!$D$3:$D$143,Journal!$A$3:$A$143,$B121,Journal!$F$3:$F$143,AS$3))</f>
        <v/>
      </c>
      <c r="AU121" s="86" t="str">
        <f>IF(SUMIFS(Journal!$D$3:$D$143,Journal!$A$3:$A$143,$B121,Journal!$E$3:$E$143,AU$3)=0,"",SUMIFS(Journal!$D$3:$D$143,Journal!$A$3:$A$143,$B121,Journal!$E$3:$E$143,AU$3))</f>
        <v/>
      </c>
      <c r="AV121" s="86" t="str">
        <f>IF(SUMIFS(Journal!$D$3:$D$143,Journal!$A$3:$A$143,$B121,Journal!$F$3:$F$143,AU$3)=0,"",SUMIFS(Journal!$D$3:$D$143,Journal!$A$3:$A$143,$B121,Journal!$F$3:$F$143,AU$3))</f>
        <v/>
      </c>
      <c r="AW121" s="86" t="str">
        <f>IF(SUMIFS(Journal!$D$3:$D$143,Journal!$A$3:$A$143,$B121,Journal!$E$3:$E$143,AW$3)=0,"",SUMIFS(Journal!$D$3:$D$143,Journal!$A$3:$A$143,$B121,Journal!$E$3:$E$143,AW$3))</f>
        <v/>
      </c>
      <c r="AX121" s="86" t="str">
        <f>IF(SUMIFS(Journal!$D$3:$D$143,Journal!$A$3:$A$143,$B121,Journal!$F$3:$F$143,AW$3)=0,"",SUMIFS(Journal!$D$3:$D$143,Journal!$A$3:$A$143,$B121,Journal!$F$3:$F$143,AW$3))</f>
        <v/>
      </c>
      <c r="AY121" s="86" t="str">
        <f>IF(SUMIFS(Journal!$D$3:$D$143,Journal!$A$3:$A$143,$B121,Journal!$E$3:$E$143,AY$3)=0,"",SUMIFS(Journal!$D$3:$D$143,Journal!$A$3:$A$143,$B121,Journal!$E$3:$E$143,AY$3))</f>
        <v/>
      </c>
      <c r="AZ121" s="86" t="str">
        <f>IF(SUMIFS(Journal!$D$3:$D$143,Journal!$A$3:$A$143,$B121,Journal!$F$3:$F$143,AY$3)=0,"",SUMIFS(Journal!$D$3:$D$143,Journal!$A$3:$A$143,$B121,Journal!$F$3:$F$143,AY$3))</f>
        <v/>
      </c>
      <c r="BA121" s="86" t="str">
        <f>IF(SUMIFS(Journal!$D$3:$D$143,Journal!$A$3:$A$143,$B121,Journal!$E$3:$E$143,BA$3)=0,"",SUMIFS(Journal!$D$3:$D$143,Journal!$A$3:$A$143,$B121,Journal!$E$3:$E$143,BA$3))</f>
        <v/>
      </c>
      <c r="BB121" s="86" t="str">
        <f>IF(SUMIFS(Journal!$D$3:$D$143,Journal!$A$3:$A$143,$B121,Journal!$F$3:$F$143,BA$3)=0,"",SUMIFS(Journal!$D$3:$D$143,Journal!$A$3:$A$143,$B121,Journal!$F$3:$F$143,BA$3))</f>
        <v/>
      </c>
    </row>
    <row r="122">
      <c r="A122" s="84">
        <f>VLOOKUP(B122,Journal!$A$3:$C$143,2,FALSE)</f>
        <v>45648</v>
      </c>
      <c r="B122" s="85" t="s">
        <v>628</v>
      </c>
      <c r="C122" s="86" t="str">
        <f>VLOOKUP(B122,Journal!$A$3:$C$143,3,FALSE)</f>
        <v>Bank interest payment</v>
      </c>
      <c r="D122" s="86">
        <f>SUMIF(Journal!$A$3:$A$143,B122,Journal!$D$3:$D$143)</f>
        <v>1200</v>
      </c>
      <c r="E122" s="86" t="str">
        <f>IF(SUMIFS(Journal!$D$3:$D$143,Journal!$A$3:$A$143,$B122,Journal!$E$3:$E$143,E$3)=0,"",SUMIFS(Journal!$D$3:$D$143,Journal!$A$3:$A$143,$B122,Journal!$E$3:$E$143,E$3))</f>
        <v/>
      </c>
      <c r="F122" s="86">
        <f>IF(SUMIFS(Journal!$D$3:$D$143,Journal!$A$3:$A$143,$B122,Journal!$F$3:$F$143,E$3)=0,"",SUMIFS(Journal!$D$3:$D$143,Journal!$A$3:$A$143,$B122,Journal!$F$3:$F$143,E$3))</f>
        <v>1200</v>
      </c>
      <c r="G122" s="86" t="str">
        <f>IF(SUMIFS(Journal!$D$3:$D$143,Journal!$A$3:$A$143,$B122,Journal!$E$3:$E$143,G$3)=0,"",SUMIFS(Journal!$D$3:$D$143,Journal!$A$3:$A$143,$B122,Journal!$E$3:$E$143,G$3))</f>
        <v/>
      </c>
      <c r="H122" s="86" t="str">
        <f>IF(SUMIFS(Journal!$D$3:$D$143,Journal!$A$3:$A$143,$B122,Journal!$F$3:$F$143,G$3)=0,"",SUMIFS(Journal!$D$3:$D$143,Journal!$A$3:$A$143,$B122,Journal!$F$3:$F$143,G$3))</f>
        <v/>
      </c>
      <c r="I122" s="86" t="str">
        <f>IF(SUMIFS(Journal!$D$3:$D$143,Journal!$A$3:$A$143,$B122,Journal!$E$3:$E$143,I$3)=0,"",SUMIFS(Journal!$D$3:$D$143,Journal!$A$3:$A$143,$B122,Journal!$E$3:$E$143,I$3))</f>
        <v/>
      </c>
      <c r="J122" s="86" t="str">
        <f>IF(SUMIFS(Journal!$D$3:$D$143,Journal!$A$3:$A$143,$B122,Journal!$F$3:$F$143,I$3)=0,"",SUMIFS(Journal!$D$3:$D$143,Journal!$A$3:$A$143,$B122,Journal!$F$3:$F$143,I$3))</f>
        <v/>
      </c>
      <c r="K122" s="86" t="str">
        <f>IF(SUMIFS(Journal!$D$3:$D$143,Journal!$A$3:$A$143,$B122,Journal!$E$3:$E$143,K$3)=0,"",SUMIFS(Journal!$D$3:$D$143,Journal!$A$3:$A$143,$B122,Journal!$E$3:$E$143,K$3))</f>
        <v/>
      </c>
      <c r="L122" s="86" t="str">
        <f>IF(SUMIFS(Journal!$D$3:$D$143,Journal!$A$3:$A$143,$B122,Journal!$F$3:$F$143,K$3)=0,"",SUMIFS(Journal!$D$3:$D$143,Journal!$A$3:$A$143,$B122,Journal!$F$3:$F$143,K$3))</f>
        <v/>
      </c>
      <c r="M122" s="86" t="str">
        <f>IF(SUMIFS(Journal!$D$3:$D$143,Journal!$A$3:$A$143,$B122,Journal!$E$3:$E$143,M$3)=0,"",SUMIFS(Journal!$D$3:$D$143,Journal!$A$3:$A$143,$B122,Journal!$E$3:$E$143,M$3))</f>
        <v/>
      </c>
      <c r="N122" s="86" t="str">
        <f>IF(SUMIFS(Journal!$D$3:$D$143,Journal!$A$3:$A$143,$B122,Journal!$F$3:$F$143,M$3)=0,"",SUMIFS(Journal!$D$3:$D$143,Journal!$A$3:$A$143,$B122,Journal!$F$3:$F$143,M$3))</f>
        <v/>
      </c>
      <c r="O122" s="86" t="str">
        <f>IF(SUMIFS(Journal!$D$3:$D$143,Journal!$A$3:$A$143,$B122,Journal!$E$3:$E$143,O$3)=0,"",SUMIFS(Journal!$D$3:$D$143,Journal!$A$3:$A$143,$B122,Journal!$E$3:$E$143,O$3))</f>
        <v/>
      </c>
      <c r="P122" s="86" t="str">
        <f>IF(SUMIFS(Journal!$D$3:$D$143,Journal!$A$3:$A$143,$B122,Journal!$F$3:$F$143,O$3)=0,"",SUMIFS(Journal!$D$3:$D$143,Journal!$A$3:$A$143,$B122,Journal!$F$3:$F$143,O$3))</f>
        <v/>
      </c>
      <c r="Q122" s="86" t="str">
        <f>IF(SUMIFS(Journal!$D$3:$D$143,Journal!$A$3:$A$143,$B122,Journal!$E$3:$E$143,Q$3)=0,"",SUMIFS(Journal!$D$3:$D$143,Journal!$A$3:$A$143,$B122,Journal!$E$3:$E$143,Q$3))</f>
        <v/>
      </c>
      <c r="R122" s="86" t="str">
        <f>IF(SUMIFS(Journal!$D$3:$D$143,Journal!$A$3:$A$143,$B122,Journal!$F$3:$F$143,Q$3)=0,"",SUMIFS(Journal!$D$3:$D$143,Journal!$A$3:$A$143,$B122,Journal!$F$3:$F$143,Q$3))</f>
        <v/>
      </c>
      <c r="S122" s="86" t="str">
        <f>IF(SUMIFS(Journal!$D$3:$D$143,Journal!$A$3:$A$143,$B122,Journal!$E$3:$E$143,S$3)=0,"",SUMIFS(Journal!$D$3:$D$143,Journal!$A$3:$A$143,$B122,Journal!$E$3:$E$143,S$3))</f>
        <v/>
      </c>
      <c r="T122" s="86" t="str">
        <f>IF(SUMIFS(Journal!$D$3:$D$143,Journal!$A$3:$A$143,$B122,Journal!$F$3:$F$143,S$3)=0,"",SUMIFS(Journal!$D$3:$D$143,Journal!$A$3:$A$143,$B122,Journal!$F$3:$F$143,S$3))</f>
        <v/>
      </c>
      <c r="U122" s="86" t="str">
        <f>IF(SUMIFS(Journal!$D$3:$D$143,Journal!$A$3:$A$143,$B122,Journal!$E$3:$E$143,U$3)=0,"",SUMIFS(Journal!$D$3:$D$143,Journal!$A$3:$A$143,$B122,Journal!$E$3:$E$143,U$3))</f>
        <v/>
      </c>
      <c r="V122" s="86" t="str">
        <f>IF(SUMIFS(Journal!$D$3:$D$143,Journal!$A$3:$A$143,$B122,Journal!$F$3:$F$143,U$3)=0,"",SUMIFS(Journal!$D$3:$D$143,Journal!$A$3:$A$143,$B122,Journal!$F$3:$F$143,U$3))</f>
        <v/>
      </c>
      <c r="W122" s="86" t="str">
        <f>IF(SUMIFS(Journal!$D$3:$D$143,Journal!$A$3:$A$143,$B122,Journal!$E$3:$E$143,W$3)=0,"",SUMIFS(Journal!$D$3:$D$143,Journal!$A$3:$A$143,$B122,Journal!$E$3:$E$143,W$3))</f>
        <v/>
      </c>
      <c r="X122" s="86" t="str">
        <f>IF(SUMIFS(Journal!$D$3:$D$143,Journal!$A$3:$A$143,$B122,Journal!$F$3:$F$143,W$3)=0,"",SUMIFS(Journal!$D$3:$D$143,Journal!$A$3:$A$143,$B122,Journal!$F$3:$F$143,W$3))</f>
        <v/>
      </c>
      <c r="Y122" s="86" t="str">
        <f>IF(SUMIFS(Journal!$D$3:$D$143,Journal!$A$3:$A$143,$B122,Journal!$E$3:$E$143,Y$3)=0,"",SUMIFS(Journal!$D$3:$D$143,Journal!$A$3:$A$143,$B122,Journal!$E$3:$E$143,Y$3))</f>
        <v/>
      </c>
      <c r="Z122" s="86" t="str">
        <f>IF(SUMIFS(Journal!$D$3:$D$143,Journal!$A$3:$A$143,$B122,Journal!$F$3:$F$143,Y$3)=0,"",SUMIFS(Journal!$D$3:$D$143,Journal!$A$3:$A$143,$B122,Journal!$F$3:$F$143,Y$3))</f>
        <v/>
      </c>
      <c r="AA122" s="86" t="str">
        <f>IF(SUMIFS(Journal!$D$3:$D$143,Journal!$A$3:$A$143,$B122,Journal!$E$3:$E$143,AA$3)=0,"",SUMIFS(Journal!$D$3:$D$143,Journal!$A$3:$A$143,$B122,Journal!$E$3:$E$143,AA$3))</f>
        <v/>
      </c>
      <c r="AB122" s="86" t="str">
        <f>IF(SUMIFS(Journal!$D$3:$D$143,Journal!$A$3:$A$143,$B122,Journal!$F$3:$F$143,AA$3)=0,"",SUMIFS(Journal!$D$3:$D$143,Journal!$A$3:$A$143,$B122,Journal!$F$3:$F$143,AA$3))</f>
        <v/>
      </c>
      <c r="AC122" s="86" t="str">
        <f>IF(SUMIFS(Journal!$D$3:$D$143,Journal!$A$3:$A$143,$B122,Journal!$E$3:$E$143,AC$3)=0,"",SUMIFS(Journal!$D$3:$D$143,Journal!$A$3:$A$143,$B122,Journal!$E$3:$E$143,AC$3))</f>
        <v/>
      </c>
      <c r="AD122" s="86" t="str">
        <f>IF(SUMIFS(Journal!$D$3:$D$143,Journal!$A$3:$A$143,$B122,Journal!$F$3:$F$143,AC$3)=0,"",SUMIFS(Journal!$D$3:$D$143,Journal!$A$3:$A$143,$B122,Journal!$F$3:$F$143,AC$3))</f>
        <v/>
      </c>
      <c r="AE122" s="86" t="str">
        <f>IF(SUMIFS(Journal!$D$3:$D$143,Journal!$A$3:$A$143,$B122,Journal!$E$3:$E$143,AE$3)=0,"",SUMIFS(Journal!$D$3:$D$143,Journal!$A$3:$A$143,$B122,Journal!$E$3:$E$143,AE$3))</f>
        <v/>
      </c>
      <c r="AF122" s="86" t="str">
        <f>IF(SUMIFS(Journal!$D$3:$D$143,Journal!$A$3:$A$143,$B122,Journal!$F$3:$F$143,AE$3)=0,"",SUMIFS(Journal!$D$3:$D$143,Journal!$A$3:$A$143,$B122,Journal!$F$3:$F$143,AE$3))</f>
        <v/>
      </c>
      <c r="AG122" s="86" t="str">
        <f>IF(SUMIFS(Journal!$D$3:$D$143,Journal!$A$3:$A$143,$B122,Journal!$E$3:$E$143,AG$3)=0,"",SUMIFS(Journal!$D$3:$D$143,Journal!$A$3:$A$143,$B122,Journal!$E$3:$E$143,AG$3))</f>
        <v/>
      </c>
      <c r="AH122" s="86" t="str">
        <f>IF(SUMIFS(Journal!$D$3:$D$143,Journal!$A$3:$A$143,$B122,Journal!$F$3:$F$143,AG$3)=0,"",SUMIFS(Journal!$D$3:$D$143,Journal!$A$3:$A$143,$B122,Journal!$F$3:$F$143,AG$3))</f>
        <v/>
      </c>
      <c r="AI122" s="86" t="str">
        <f>IF(SUMIFS(Journal!$D$3:$D$143,Journal!$A$3:$A$143,$B122,Journal!$E$3:$E$143,AI$3)=0,"",SUMIFS(Journal!$D$3:$D$143,Journal!$A$3:$A$143,$B122,Journal!$E$3:$E$143,AI$3))</f>
        <v/>
      </c>
      <c r="AJ122" s="86" t="str">
        <f>IF(SUMIFS(Journal!$D$3:$D$143,Journal!$A$3:$A$143,$B122,Journal!$F$3:$F$143,AI$3)=0,"",SUMIFS(Journal!$D$3:$D$143,Journal!$A$3:$A$143,$B122,Journal!$F$3:$F$143,AI$3))</f>
        <v/>
      </c>
      <c r="AK122" s="86" t="str">
        <f>IF(SUMIFS(Journal!$D$3:$D$143,Journal!$A$3:$A$143,$B122,Journal!$E$3:$E$143,AK$3)=0,"",SUMIFS(Journal!$D$3:$D$143,Journal!$A$3:$A$143,$B122,Journal!$E$3:$E$143,AK$3))</f>
        <v/>
      </c>
      <c r="AL122" s="86" t="str">
        <f>IF(SUMIFS(Journal!$D$3:$D$143,Journal!$A$3:$A$143,$B122,Journal!$F$3:$F$143,AK$3)=0,"",SUMIFS(Journal!$D$3:$D$143,Journal!$A$3:$A$143,$B122,Journal!$F$3:$F$143,AK$3))</f>
        <v/>
      </c>
      <c r="AM122" s="86" t="str">
        <f>IF(SUMIFS(Journal!$D$3:$D$143,Journal!$A$3:$A$143,$B122,Journal!$E$3:$E$143,AM$3)=0,"",SUMIFS(Journal!$D$3:$D$143,Journal!$A$3:$A$143,$B122,Journal!$E$3:$E$143,AM$3))</f>
        <v/>
      </c>
      <c r="AN122" s="86" t="str">
        <f>IF(SUMIFS(Journal!$D$3:$D$143,Journal!$A$3:$A$143,$B122,Journal!$F$3:$F$143,AM$3)=0,"",SUMIFS(Journal!$D$3:$D$143,Journal!$A$3:$A$143,$B122,Journal!$F$3:$F$143,AM$3))</f>
        <v/>
      </c>
      <c r="AO122" s="86" t="str">
        <f>IF(SUMIFS(Journal!$D$3:$D$143,Journal!$A$3:$A$143,$B122,Journal!$E$3:$E$143,AO$3)=0,"",SUMIFS(Journal!$D$3:$D$143,Journal!$A$3:$A$143,$B122,Journal!$E$3:$E$143,AO$3))</f>
        <v/>
      </c>
      <c r="AP122" s="86" t="str">
        <f>IF(SUMIFS(Journal!$D$3:$D$143,Journal!$A$3:$A$143,$B122,Journal!$F$3:$F$143,AO$3)=0,"",SUMIFS(Journal!$D$3:$D$143,Journal!$A$3:$A$143,$B122,Journal!$F$3:$F$143,AO$3))</f>
        <v/>
      </c>
      <c r="AQ122" s="86" t="str">
        <f>IF(SUMIFS(Journal!$D$3:$D$143,Journal!$A$3:$A$143,$B122,Journal!$E$3:$E$143,AQ$3)=0,"",SUMIFS(Journal!$D$3:$D$143,Journal!$A$3:$A$143,$B122,Journal!$E$3:$E$143,AQ$3))</f>
        <v/>
      </c>
      <c r="AR122" s="86" t="str">
        <f>IF(SUMIFS(Journal!$D$3:$D$143,Journal!$A$3:$A$143,$B122,Journal!$F$3:$F$143,AQ$3)=0,"",SUMIFS(Journal!$D$3:$D$143,Journal!$A$3:$A$143,$B122,Journal!$F$3:$F$143,AQ$3))</f>
        <v/>
      </c>
      <c r="AS122" s="86" t="str">
        <f>IF(SUMIFS(Journal!$D$3:$D$143,Journal!$A$3:$A$143,$B122,Journal!$E$3:$E$143,AS$3)=0,"",SUMIFS(Journal!$D$3:$D$143,Journal!$A$3:$A$143,$B122,Journal!$E$3:$E$143,AS$3))</f>
        <v/>
      </c>
      <c r="AT122" s="86" t="str">
        <f>IF(SUMIFS(Journal!$D$3:$D$143,Journal!$A$3:$A$143,$B122,Journal!$F$3:$F$143,AS$3)=0,"",SUMIFS(Journal!$D$3:$D$143,Journal!$A$3:$A$143,$B122,Journal!$F$3:$F$143,AS$3))</f>
        <v/>
      </c>
      <c r="AU122" s="86" t="str">
        <f>IF(SUMIFS(Journal!$D$3:$D$143,Journal!$A$3:$A$143,$B122,Journal!$E$3:$E$143,AU$3)=0,"",SUMIFS(Journal!$D$3:$D$143,Journal!$A$3:$A$143,$B122,Journal!$E$3:$E$143,AU$3))</f>
        <v/>
      </c>
      <c r="AV122" s="86" t="str">
        <f>IF(SUMIFS(Journal!$D$3:$D$143,Journal!$A$3:$A$143,$B122,Journal!$F$3:$F$143,AU$3)=0,"",SUMIFS(Journal!$D$3:$D$143,Journal!$A$3:$A$143,$B122,Journal!$F$3:$F$143,AU$3))</f>
        <v/>
      </c>
      <c r="AW122" s="86" t="str">
        <f>IF(SUMIFS(Journal!$D$3:$D$143,Journal!$A$3:$A$143,$B122,Journal!$E$3:$E$143,AW$3)=0,"",SUMIFS(Journal!$D$3:$D$143,Journal!$A$3:$A$143,$B122,Journal!$E$3:$E$143,AW$3))</f>
        <v/>
      </c>
      <c r="AX122" s="86" t="str">
        <f>IF(SUMIFS(Journal!$D$3:$D$143,Journal!$A$3:$A$143,$B122,Journal!$F$3:$F$143,AW$3)=0,"",SUMIFS(Journal!$D$3:$D$143,Journal!$A$3:$A$143,$B122,Journal!$F$3:$F$143,AW$3))</f>
        <v/>
      </c>
      <c r="AY122" s="86" t="str">
        <f>IF(SUMIFS(Journal!$D$3:$D$143,Journal!$A$3:$A$143,$B122,Journal!$E$3:$E$143,AY$3)=0,"",SUMIFS(Journal!$D$3:$D$143,Journal!$A$3:$A$143,$B122,Journal!$E$3:$E$143,AY$3))</f>
        <v/>
      </c>
      <c r="AZ122" s="86" t="str">
        <f>IF(SUMIFS(Journal!$D$3:$D$143,Journal!$A$3:$A$143,$B122,Journal!$F$3:$F$143,AY$3)=0,"",SUMIFS(Journal!$D$3:$D$143,Journal!$A$3:$A$143,$B122,Journal!$F$3:$F$143,AY$3))</f>
        <v/>
      </c>
      <c r="BA122" s="86">
        <f>IF(SUMIFS(Journal!$D$3:$D$143,Journal!$A$3:$A$143,$B122,Journal!$E$3:$E$143,BA$3)=0,"",SUMIFS(Journal!$D$3:$D$143,Journal!$A$3:$A$143,$B122,Journal!$E$3:$E$143,BA$3))</f>
        <v>1200</v>
      </c>
      <c r="BB122" s="86" t="str">
        <f>IF(SUMIFS(Journal!$D$3:$D$143,Journal!$A$3:$A$143,$B122,Journal!$F$3:$F$143,BA$3)=0,"",SUMIFS(Journal!$D$3:$D$143,Journal!$A$3:$A$143,$B122,Journal!$F$3:$F$143,BA$3))</f>
        <v/>
      </c>
    </row>
    <row r="123">
      <c r="A123" s="84">
        <f>VLOOKUP(B123,Journal!$A$3:$C$143,2,FALSE)</f>
        <v>45650</v>
      </c>
      <c r="B123" s="85" t="s">
        <v>633</v>
      </c>
      <c r="C123" s="86" t="str">
        <f>VLOOKUP(B123,Journal!$A$3:$C$143,3,FALSE)</f>
        <v>Employee payroll settlement</v>
      </c>
      <c r="D123" s="86">
        <f>SUMIF(Journal!$A$3:$A$143,B123,Journal!$D$3:$D$143)</f>
        <v>7200</v>
      </c>
      <c r="E123" s="86" t="str">
        <f>IF(SUMIFS(Journal!$D$3:$D$143,Journal!$A$3:$A$143,$B123,Journal!$E$3:$E$143,E$3)=0,"",SUMIFS(Journal!$D$3:$D$143,Journal!$A$3:$A$143,$B123,Journal!$E$3:$E$143,E$3))</f>
        <v/>
      </c>
      <c r="F123" s="86">
        <f>IF(SUMIFS(Journal!$D$3:$D$143,Journal!$A$3:$A$143,$B123,Journal!$F$3:$F$143,E$3)=0,"",SUMIFS(Journal!$D$3:$D$143,Journal!$A$3:$A$143,$B123,Journal!$F$3:$F$143,E$3))</f>
        <v>7200</v>
      </c>
      <c r="G123" s="86" t="str">
        <f>IF(SUMIFS(Journal!$D$3:$D$143,Journal!$A$3:$A$143,$B123,Journal!$E$3:$E$143,G$3)=0,"",SUMIFS(Journal!$D$3:$D$143,Journal!$A$3:$A$143,$B123,Journal!$E$3:$E$143,G$3))</f>
        <v/>
      </c>
      <c r="H123" s="86" t="str">
        <f>IF(SUMIFS(Journal!$D$3:$D$143,Journal!$A$3:$A$143,$B123,Journal!$F$3:$F$143,G$3)=0,"",SUMIFS(Journal!$D$3:$D$143,Journal!$A$3:$A$143,$B123,Journal!$F$3:$F$143,G$3))</f>
        <v/>
      </c>
      <c r="I123" s="86" t="str">
        <f>IF(SUMIFS(Journal!$D$3:$D$143,Journal!$A$3:$A$143,$B123,Journal!$E$3:$E$143,I$3)=0,"",SUMIFS(Journal!$D$3:$D$143,Journal!$A$3:$A$143,$B123,Journal!$E$3:$E$143,I$3))</f>
        <v/>
      </c>
      <c r="J123" s="86" t="str">
        <f>IF(SUMIFS(Journal!$D$3:$D$143,Journal!$A$3:$A$143,$B123,Journal!$F$3:$F$143,I$3)=0,"",SUMIFS(Journal!$D$3:$D$143,Journal!$A$3:$A$143,$B123,Journal!$F$3:$F$143,I$3))</f>
        <v/>
      </c>
      <c r="K123" s="86" t="str">
        <f>IF(SUMIFS(Journal!$D$3:$D$143,Journal!$A$3:$A$143,$B123,Journal!$E$3:$E$143,K$3)=0,"",SUMIFS(Journal!$D$3:$D$143,Journal!$A$3:$A$143,$B123,Journal!$E$3:$E$143,K$3))</f>
        <v/>
      </c>
      <c r="L123" s="86" t="str">
        <f>IF(SUMIFS(Journal!$D$3:$D$143,Journal!$A$3:$A$143,$B123,Journal!$F$3:$F$143,K$3)=0,"",SUMIFS(Journal!$D$3:$D$143,Journal!$A$3:$A$143,$B123,Journal!$F$3:$F$143,K$3))</f>
        <v/>
      </c>
      <c r="M123" s="86" t="str">
        <f>IF(SUMIFS(Journal!$D$3:$D$143,Journal!$A$3:$A$143,$B123,Journal!$E$3:$E$143,M$3)=0,"",SUMIFS(Journal!$D$3:$D$143,Journal!$A$3:$A$143,$B123,Journal!$E$3:$E$143,M$3))</f>
        <v/>
      </c>
      <c r="N123" s="86" t="str">
        <f>IF(SUMIFS(Journal!$D$3:$D$143,Journal!$A$3:$A$143,$B123,Journal!$F$3:$F$143,M$3)=0,"",SUMIFS(Journal!$D$3:$D$143,Journal!$A$3:$A$143,$B123,Journal!$F$3:$F$143,M$3))</f>
        <v/>
      </c>
      <c r="O123" s="86" t="str">
        <f>IF(SUMIFS(Journal!$D$3:$D$143,Journal!$A$3:$A$143,$B123,Journal!$E$3:$E$143,O$3)=0,"",SUMIFS(Journal!$D$3:$D$143,Journal!$A$3:$A$143,$B123,Journal!$E$3:$E$143,O$3))</f>
        <v/>
      </c>
      <c r="P123" s="86" t="str">
        <f>IF(SUMIFS(Journal!$D$3:$D$143,Journal!$A$3:$A$143,$B123,Journal!$F$3:$F$143,O$3)=0,"",SUMIFS(Journal!$D$3:$D$143,Journal!$A$3:$A$143,$B123,Journal!$F$3:$F$143,O$3))</f>
        <v/>
      </c>
      <c r="Q123" s="86" t="str">
        <f>IF(SUMIFS(Journal!$D$3:$D$143,Journal!$A$3:$A$143,$B123,Journal!$E$3:$E$143,Q$3)=0,"",SUMIFS(Journal!$D$3:$D$143,Journal!$A$3:$A$143,$B123,Journal!$E$3:$E$143,Q$3))</f>
        <v/>
      </c>
      <c r="R123" s="86" t="str">
        <f>IF(SUMIFS(Journal!$D$3:$D$143,Journal!$A$3:$A$143,$B123,Journal!$F$3:$F$143,Q$3)=0,"",SUMIFS(Journal!$D$3:$D$143,Journal!$A$3:$A$143,$B123,Journal!$F$3:$F$143,Q$3))</f>
        <v/>
      </c>
      <c r="S123" s="86" t="str">
        <f>IF(SUMIFS(Journal!$D$3:$D$143,Journal!$A$3:$A$143,$B123,Journal!$E$3:$E$143,S$3)=0,"",SUMIFS(Journal!$D$3:$D$143,Journal!$A$3:$A$143,$B123,Journal!$E$3:$E$143,S$3))</f>
        <v/>
      </c>
      <c r="T123" s="86" t="str">
        <f>IF(SUMIFS(Journal!$D$3:$D$143,Journal!$A$3:$A$143,$B123,Journal!$F$3:$F$143,S$3)=0,"",SUMIFS(Journal!$D$3:$D$143,Journal!$A$3:$A$143,$B123,Journal!$F$3:$F$143,S$3))</f>
        <v/>
      </c>
      <c r="U123" s="86" t="str">
        <f>IF(SUMIFS(Journal!$D$3:$D$143,Journal!$A$3:$A$143,$B123,Journal!$E$3:$E$143,U$3)=0,"",SUMIFS(Journal!$D$3:$D$143,Journal!$A$3:$A$143,$B123,Journal!$E$3:$E$143,U$3))</f>
        <v/>
      </c>
      <c r="V123" s="86" t="str">
        <f>IF(SUMIFS(Journal!$D$3:$D$143,Journal!$A$3:$A$143,$B123,Journal!$F$3:$F$143,U$3)=0,"",SUMIFS(Journal!$D$3:$D$143,Journal!$A$3:$A$143,$B123,Journal!$F$3:$F$143,U$3))</f>
        <v/>
      </c>
      <c r="W123" s="86" t="str">
        <f>IF(SUMIFS(Journal!$D$3:$D$143,Journal!$A$3:$A$143,$B123,Journal!$E$3:$E$143,W$3)=0,"",SUMIFS(Journal!$D$3:$D$143,Journal!$A$3:$A$143,$B123,Journal!$E$3:$E$143,W$3))</f>
        <v/>
      </c>
      <c r="X123" s="86" t="str">
        <f>IF(SUMIFS(Journal!$D$3:$D$143,Journal!$A$3:$A$143,$B123,Journal!$F$3:$F$143,W$3)=0,"",SUMIFS(Journal!$D$3:$D$143,Journal!$A$3:$A$143,$B123,Journal!$F$3:$F$143,W$3))</f>
        <v/>
      </c>
      <c r="Y123" s="86" t="str">
        <f>IF(SUMIFS(Journal!$D$3:$D$143,Journal!$A$3:$A$143,$B123,Journal!$E$3:$E$143,Y$3)=0,"",SUMIFS(Journal!$D$3:$D$143,Journal!$A$3:$A$143,$B123,Journal!$E$3:$E$143,Y$3))</f>
        <v/>
      </c>
      <c r="Z123" s="86" t="str">
        <f>IF(SUMIFS(Journal!$D$3:$D$143,Journal!$A$3:$A$143,$B123,Journal!$F$3:$F$143,Y$3)=0,"",SUMIFS(Journal!$D$3:$D$143,Journal!$A$3:$A$143,$B123,Journal!$F$3:$F$143,Y$3))</f>
        <v/>
      </c>
      <c r="AA123" s="86" t="str">
        <f>IF(SUMIFS(Journal!$D$3:$D$143,Journal!$A$3:$A$143,$B123,Journal!$E$3:$E$143,AA$3)=0,"",SUMIFS(Journal!$D$3:$D$143,Journal!$A$3:$A$143,$B123,Journal!$E$3:$E$143,AA$3))</f>
        <v/>
      </c>
      <c r="AB123" s="86" t="str">
        <f>IF(SUMIFS(Journal!$D$3:$D$143,Journal!$A$3:$A$143,$B123,Journal!$F$3:$F$143,AA$3)=0,"",SUMIFS(Journal!$D$3:$D$143,Journal!$A$3:$A$143,$B123,Journal!$F$3:$F$143,AA$3))</f>
        <v/>
      </c>
      <c r="AC123" s="86" t="str">
        <f>IF(SUMIFS(Journal!$D$3:$D$143,Journal!$A$3:$A$143,$B123,Journal!$E$3:$E$143,AC$3)=0,"",SUMIFS(Journal!$D$3:$D$143,Journal!$A$3:$A$143,$B123,Journal!$E$3:$E$143,AC$3))</f>
        <v/>
      </c>
      <c r="AD123" s="86" t="str">
        <f>IF(SUMIFS(Journal!$D$3:$D$143,Journal!$A$3:$A$143,$B123,Journal!$F$3:$F$143,AC$3)=0,"",SUMIFS(Journal!$D$3:$D$143,Journal!$A$3:$A$143,$B123,Journal!$F$3:$F$143,AC$3))</f>
        <v/>
      </c>
      <c r="AE123" s="86" t="str">
        <f>IF(SUMIFS(Journal!$D$3:$D$143,Journal!$A$3:$A$143,$B123,Journal!$E$3:$E$143,AE$3)=0,"",SUMIFS(Journal!$D$3:$D$143,Journal!$A$3:$A$143,$B123,Journal!$E$3:$E$143,AE$3))</f>
        <v/>
      </c>
      <c r="AF123" s="86" t="str">
        <f>IF(SUMIFS(Journal!$D$3:$D$143,Journal!$A$3:$A$143,$B123,Journal!$F$3:$F$143,AE$3)=0,"",SUMIFS(Journal!$D$3:$D$143,Journal!$A$3:$A$143,$B123,Journal!$F$3:$F$143,AE$3))</f>
        <v/>
      </c>
      <c r="AG123" s="86">
        <f>IF(SUMIFS(Journal!$D$3:$D$143,Journal!$A$3:$A$143,$B123,Journal!$E$3:$E$143,AG$3)=0,"",SUMIFS(Journal!$D$3:$D$143,Journal!$A$3:$A$143,$B123,Journal!$E$3:$E$143,AG$3))</f>
        <v>7200</v>
      </c>
      <c r="AH123" s="86" t="str">
        <f>IF(SUMIFS(Journal!$D$3:$D$143,Journal!$A$3:$A$143,$B123,Journal!$F$3:$F$143,AG$3)=0,"",SUMIFS(Journal!$D$3:$D$143,Journal!$A$3:$A$143,$B123,Journal!$F$3:$F$143,AG$3))</f>
        <v/>
      </c>
      <c r="AI123" s="86" t="str">
        <f>IF(SUMIFS(Journal!$D$3:$D$143,Journal!$A$3:$A$143,$B123,Journal!$E$3:$E$143,AI$3)=0,"",SUMIFS(Journal!$D$3:$D$143,Journal!$A$3:$A$143,$B123,Journal!$E$3:$E$143,AI$3))</f>
        <v/>
      </c>
      <c r="AJ123" s="86" t="str">
        <f>IF(SUMIFS(Journal!$D$3:$D$143,Journal!$A$3:$A$143,$B123,Journal!$F$3:$F$143,AI$3)=0,"",SUMIFS(Journal!$D$3:$D$143,Journal!$A$3:$A$143,$B123,Journal!$F$3:$F$143,AI$3))</f>
        <v/>
      </c>
      <c r="AK123" s="86" t="str">
        <f>IF(SUMIFS(Journal!$D$3:$D$143,Journal!$A$3:$A$143,$B123,Journal!$E$3:$E$143,AK$3)=0,"",SUMIFS(Journal!$D$3:$D$143,Journal!$A$3:$A$143,$B123,Journal!$E$3:$E$143,AK$3))</f>
        <v/>
      </c>
      <c r="AL123" s="86" t="str">
        <f>IF(SUMIFS(Journal!$D$3:$D$143,Journal!$A$3:$A$143,$B123,Journal!$F$3:$F$143,AK$3)=0,"",SUMIFS(Journal!$D$3:$D$143,Journal!$A$3:$A$143,$B123,Journal!$F$3:$F$143,AK$3))</f>
        <v/>
      </c>
      <c r="AM123" s="86" t="str">
        <f>IF(SUMIFS(Journal!$D$3:$D$143,Journal!$A$3:$A$143,$B123,Journal!$E$3:$E$143,AM$3)=0,"",SUMIFS(Journal!$D$3:$D$143,Journal!$A$3:$A$143,$B123,Journal!$E$3:$E$143,AM$3))</f>
        <v/>
      </c>
      <c r="AN123" s="86" t="str">
        <f>IF(SUMIFS(Journal!$D$3:$D$143,Journal!$A$3:$A$143,$B123,Journal!$F$3:$F$143,AM$3)=0,"",SUMIFS(Journal!$D$3:$D$143,Journal!$A$3:$A$143,$B123,Journal!$F$3:$F$143,AM$3))</f>
        <v/>
      </c>
      <c r="AO123" s="86" t="str">
        <f>IF(SUMIFS(Journal!$D$3:$D$143,Journal!$A$3:$A$143,$B123,Journal!$E$3:$E$143,AO$3)=0,"",SUMIFS(Journal!$D$3:$D$143,Journal!$A$3:$A$143,$B123,Journal!$E$3:$E$143,AO$3))</f>
        <v/>
      </c>
      <c r="AP123" s="86" t="str">
        <f>IF(SUMIFS(Journal!$D$3:$D$143,Journal!$A$3:$A$143,$B123,Journal!$F$3:$F$143,AO$3)=0,"",SUMIFS(Journal!$D$3:$D$143,Journal!$A$3:$A$143,$B123,Journal!$F$3:$F$143,AO$3))</f>
        <v/>
      </c>
      <c r="AQ123" s="86" t="str">
        <f>IF(SUMIFS(Journal!$D$3:$D$143,Journal!$A$3:$A$143,$B123,Journal!$E$3:$E$143,AQ$3)=0,"",SUMIFS(Journal!$D$3:$D$143,Journal!$A$3:$A$143,$B123,Journal!$E$3:$E$143,AQ$3))</f>
        <v/>
      </c>
      <c r="AR123" s="86" t="str">
        <f>IF(SUMIFS(Journal!$D$3:$D$143,Journal!$A$3:$A$143,$B123,Journal!$F$3:$F$143,AQ$3)=0,"",SUMIFS(Journal!$D$3:$D$143,Journal!$A$3:$A$143,$B123,Journal!$F$3:$F$143,AQ$3))</f>
        <v/>
      </c>
      <c r="AS123" s="86" t="str">
        <f>IF(SUMIFS(Journal!$D$3:$D$143,Journal!$A$3:$A$143,$B123,Journal!$E$3:$E$143,AS$3)=0,"",SUMIFS(Journal!$D$3:$D$143,Journal!$A$3:$A$143,$B123,Journal!$E$3:$E$143,AS$3))</f>
        <v/>
      </c>
      <c r="AT123" s="86" t="str">
        <f>IF(SUMIFS(Journal!$D$3:$D$143,Journal!$A$3:$A$143,$B123,Journal!$F$3:$F$143,AS$3)=0,"",SUMIFS(Journal!$D$3:$D$143,Journal!$A$3:$A$143,$B123,Journal!$F$3:$F$143,AS$3))</f>
        <v/>
      </c>
      <c r="AU123" s="86" t="str">
        <f>IF(SUMIFS(Journal!$D$3:$D$143,Journal!$A$3:$A$143,$B123,Journal!$E$3:$E$143,AU$3)=0,"",SUMIFS(Journal!$D$3:$D$143,Journal!$A$3:$A$143,$B123,Journal!$E$3:$E$143,AU$3))</f>
        <v/>
      </c>
      <c r="AV123" s="86" t="str">
        <f>IF(SUMIFS(Journal!$D$3:$D$143,Journal!$A$3:$A$143,$B123,Journal!$F$3:$F$143,AU$3)=0,"",SUMIFS(Journal!$D$3:$D$143,Journal!$A$3:$A$143,$B123,Journal!$F$3:$F$143,AU$3))</f>
        <v/>
      </c>
      <c r="AW123" s="86" t="str">
        <f>IF(SUMIFS(Journal!$D$3:$D$143,Journal!$A$3:$A$143,$B123,Journal!$E$3:$E$143,AW$3)=0,"",SUMIFS(Journal!$D$3:$D$143,Journal!$A$3:$A$143,$B123,Journal!$E$3:$E$143,AW$3))</f>
        <v/>
      </c>
      <c r="AX123" s="86" t="str">
        <f>IF(SUMIFS(Journal!$D$3:$D$143,Journal!$A$3:$A$143,$B123,Journal!$F$3:$F$143,AW$3)=0,"",SUMIFS(Journal!$D$3:$D$143,Journal!$A$3:$A$143,$B123,Journal!$F$3:$F$143,AW$3))</f>
        <v/>
      </c>
      <c r="AY123" s="86" t="str">
        <f>IF(SUMIFS(Journal!$D$3:$D$143,Journal!$A$3:$A$143,$B123,Journal!$E$3:$E$143,AY$3)=0,"",SUMIFS(Journal!$D$3:$D$143,Journal!$A$3:$A$143,$B123,Journal!$E$3:$E$143,AY$3))</f>
        <v/>
      </c>
      <c r="AZ123" s="86" t="str">
        <f>IF(SUMIFS(Journal!$D$3:$D$143,Journal!$A$3:$A$143,$B123,Journal!$F$3:$F$143,AY$3)=0,"",SUMIFS(Journal!$D$3:$D$143,Journal!$A$3:$A$143,$B123,Journal!$F$3:$F$143,AY$3))</f>
        <v/>
      </c>
      <c r="BA123" s="86" t="str">
        <f>IF(SUMIFS(Journal!$D$3:$D$143,Journal!$A$3:$A$143,$B123,Journal!$E$3:$E$143,BA$3)=0,"",SUMIFS(Journal!$D$3:$D$143,Journal!$A$3:$A$143,$B123,Journal!$E$3:$E$143,BA$3))</f>
        <v/>
      </c>
      <c r="BB123" s="86" t="str">
        <f>IF(SUMIFS(Journal!$D$3:$D$143,Journal!$A$3:$A$143,$B123,Journal!$F$3:$F$143,BA$3)=0,"",SUMIFS(Journal!$D$3:$D$143,Journal!$A$3:$A$143,$B123,Journal!$F$3:$F$143,BA$3))</f>
        <v/>
      </c>
    </row>
    <row r="124">
      <c r="A124" s="84">
        <f>VLOOKUP(B124,Journal!$A$3:$C$143,2,FALSE)</f>
        <v>45657</v>
      </c>
      <c r="B124" s="85" t="s">
        <v>636</v>
      </c>
      <c r="C124" s="86" t="str">
        <f>VLOOKUP(B124,Journal!$A$3:$C$143,3,FALSE)</f>
        <v>Monthly utility settlement</v>
      </c>
      <c r="D124" s="86">
        <f>SUMIF(Journal!$A$3:$A$143,B124,Journal!$D$3:$D$143)</f>
        <v>682</v>
      </c>
      <c r="E124" s="86" t="str">
        <f>IF(SUMIFS(Journal!$D$3:$D$143,Journal!$A$3:$A$143,$B124,Journal!$E$3:$E$143,E$3)=0,"",SUMIFS(Journal!$D$3:$D$143,Journal!$A$3:$A$143,$B124,Journal!$E$3:$E$143,E$3))</f>
        <v/>
      </c>
      <c r="F124" s="86">
        <f>IF(SUMIFS(Journal!$D$3:$D$143,Journal!$A$3:$A$143,$B124,Journal!$F$3:$F$143,E$3)=0,"",SUMIFS(Journal!$D$3:$D$143,Journal!$A$3:$A$143,$B124,Journal!$F$3:$F$143,E$3))</f>
        <v>682</v>
      </c>
      <c r="G124" s="86" t="str">
        <f>IF(SUMIFS(Journal!$D$3:$D$143,Journal!$A$3:$A$143,$B124,Journal!$E$3:$E$143,G$3)=0,"",SUMIFS(Journal!$D$3:$D$143,Journal!$A$3:$A$143,$B124,Journal!$E$3:$E$143,G$3))</f>
        <v/>
      </c>
      <c r="H124" s="86" t="str">
        <f>IF(SUMIFS(Journal!$D$3:$D$143,Journal!$A$3:$A$143,$B124,Journal!$F$3:$F$143,G$3)=0,"",SUMIFS(Journal!$D$3:$D$143,Journal!$A$3:$A$143,$B124,Journal!$F$3:$F$143,G$3))</f>
        <v/>
      </c>
      <c r="I124" s="86" t="str">
        <f>IF(SUMIFS(Journal!$D$3:$D$143,Journal!$A$3:$A$143,$B124,Journal!$E$3:$E$143,I$3)=0,"",SUMIFS(Journal!$D$3:$D$143,Journal!$A$3:$A$143,$B124,Journal!$E$3:$E$143,I$3))</f>
        <v/>
      </c>
      <c r="J124" s="86" t="str">
        <f>IF(SUMIFS(Journal!$D$3:$D$143,Journal!$A$3:$A$143,$B124,Journal!$F$3:$F$143,I$3)=0,"",SUMIFS(Journal!$D$3:$D$143,Journal!$A$3:$A$143,$B124,Journal!$F$3:$F$143,I$3))</f>
        <v/>
      </c>
      <c r="K124" s="86" t="str">
        <f>IF(SUMIFS(Journal!$D$3:$D$143,Journal!$A$3:$A$143,$B124,Journal!$E$3:$E$143,K$3)=0,"",SUMIFS(Journal!$D$3:$D$143,Journal!$A$3:$A$143,$B124,Journal!$E$3:$E$143,K$3))</f>
        <v/>
      </c>
      <c r="L124" s="86" t="str">
        <f>IF(SUMIFS(Journal!$D$3:$D$143,Journal!$A$3:$A$143,$B124,Journal!$F$3:$F$143,K$3)=0,"",SUMIFS(Journal!$D$3:$D$143,Journal!$A$3:$A$143,$B124,Journal!$F$3:$F$143,K$3))</f>
        <v/>
      </c>
      <c r="M124" s="86" t="str">
        <f>IF(SUMIFS(Journal!$D$3:$D$143,Journal!$A$3:$A$143,$B124,Journal!$E$3:$E$143,M$3)=0,"",SUMIFS(Journal!$D$3:$D$143,Journal!$A$3:$A$143,$B124,Journal!$E$3:$E$143,M$3))</f>
        <v/>
      </c>
      <c r="N124" s="86" t="str">
        <f>IF(SUMIFS(Journal!$D$3:$D$143,Journal!$A$3:$A$143,$B124,Journal!$F$3:$F$143,M$3)=0,"",SUMIFS(Journal!$D$3:$D$143,Journal!$A$3:$A$143,$B124,Journal!$F$3:$F$143,M$3))</f>
        <v/>
      </c>
      <c r="O124" s="86" t="str">
        <f>IF(SUMIFS(Journal!$D$3:$D$143,Journal!$A$3:$A$143,$B124,Journal!$E$3:$E$143,O$3)=0,"",SUMIFS(Journal!$D$3:$D$143,Journal!$A$3:$A$143,$B124,Journal!$E$3:$E$143,O$3))</f>
        <v/>
      </c>
      <c r="P124" s="86" t="str">
        <f>IF(SUMIFS(Journal!$D$3:$D$143,Journal!$A$3:$A$143,$B124,Journal!$F$3:$F$143,O$3)=0,"",SUMIFS(Journal!$D$3:$D$143,Journal!$A$3:$A$143,$B124,Journal!$F$3:$F$143,O$3))</f>
        <v/>
      </c>
      <c r="Q124" s="86" t="str">
        <f>IF(SUMIFS(Journal!$D$3:$D$143,Journal!$A$3:$A$143,$B124,Journal!$E$3:$E$143,Q$3)=0,"",SUMIFS(Journal!$D$3:$D$143,Journal!$A$3:$A$143,$B124,Journal!$E$3:$E$143,Q$3))</f>
        <v/>
      </c>
      <c r="R124" s="86" t="str">
        <f>IF(SUMIFS(Journal!$D$3:$D$143,Journal!$A$3:$A$143,$B124,Journal!$F$3:$F$143,Q$3)=0,"",SUMIFS(Journal!$D$3:$D$143,Journal!$A$3:$A$143,$B124,Journal!$F$3:$F$143,Q$3))</f>
        <v/>
      </c>
      <c r="S124" s="86" t="str">
        <f>IF(SUMIFS(Journal!$D$3:$D$143,Journal!$A$3:$A$143,$B124,Journal!$E$3:$E$143,S$3)=0,"",SUMIFS(Journal!$D$3:$D$143,Journal!$A$3:$A$143,$B124,Journal!$E$3:$E$143,S$3))</f>
        <v/>
      </c>
      <c r="T124" s="86" t="str">
        <f>IF(SUMIFS(Journal!$D$3:$D$143,Journal!$A$3:$A$143,$B124,Journal!$F$3:$F$143,S$3)=0,"",SUMIFS(Journal!$D$3:$D$143,Journal!$A$3:$A$143,$B124,Journal!$F$3:$F$143,S$3))</f>
        <v/>
      </c>
      <c r="U124" s="86" t="str">
        <f>IF(SUMIFS(Journal!$D$3:$D$143,Journal!$A$3:$A$143,$B124,Journal!$E$3:$E$143,U$3)=0,"",SUMIFS(Journal!$D$3:$D$143,Journal!$A$3:$A$143,$B124,Journal!$E$3:$E$143,U$3))</f>
        <v/>
      </c>
      <c r="V124" s="86" t="str">
        <f>IF(SUMIFS(Journal!$D$3:$D$143,Journal!$A$3:$A$143,$B124,Journal!$F$3:$F$143,U$3)=0,"",SUMIFS(Journal!$D$3:$D$143,Journal!$A$3:$A$143,$B124,Journal!$F$3:$F$143,U$3))</f>
        <v/>
      </c>
      <c r="W124" s="86" t="str">
        <f>IF(SUMIFS(Journal!$D$3:$D$143,Journal!$A$3:$A$143,$B124,Journal!$E$3:$E$143,W$3)=0,"",SUMIFS(Journal!$D$3:$D$143,Journal!$A$3:$A$143,$B124,Journal!$E$3:$E$143,W$3))</f>
        <v/>
      </c>
      <c r="X124" s="86" t="str">
        <f>IF(SUMIFS(Journal!$D$3:$D$143,Journal!$A$3:$A$143,$B124,Journal!$F$3:$F$143,W$3)=0,"",SUMIFS(Journal!$D$3:$D$143,Journal!$A$3:$A$143,$B124,Journal!$F$3:$F$143,W$3))</f>
        <v/>
      </c>
      <c r="Y124" s="86" t="str">
        <f>IF(SUMIFS(Journal!$D$3:$D$143,Journal!$A$3:$A$143,$B124,Journal!$E$3:$E$143,Y$3)=0,"",SUMIFS(Journal!$D$3:$D$143,Journal!$A$3:$A$143,$B124,Journal!$E$3:$E$143,Y$3))</f>
        <v/>
      </c>
      <c r="Z124" s="86" t="str">
        <f>IF(SUMIFS(Journal!$D$3:$D$143,Journal!$A$3:$A$143,$B124,Journal!$F$3:$F$143,Y$3)=0,"",SUMIFS(Journal!$D$3:$D$143,Journal!$A$3:$A$143,$B124,Journal!$F$3:$F$143,Y$3))</f>
        <v/>
      </c>
      <c r="AA124" s="86" t="str">
        <f>IF(SUMIFS(Journal!$D$3:$D$143,Journal!$A$3:$A$143,$B124,Journal!$E$3:$E$143,AA$3)=0,"",SUMIFS(Journal!$D$3:$D$143,Journal!$A$3:$A$143,$B124,Journal!$E$3:$E$143,AA$3))</f>
        <v/>
      </c>
      <c r="AB124" s="86" t="str">
        <f>IF(SUMIFS(Journal!$D$3:$D$143,Journal!$A$3:$A$143,$B124,Journal!$F$3:$F$143,AA$3)=0,"",SUMIFS(Journal!$D$3:$D$143,Journal!$A$3:$A$143,$B124,Journal!$F$3:$F$143,AA$3))</f>
        <v/>
      </c>
      <c r="AC124" s="86" t="str">
        <f>IF(SUMIFS(Journal!$D$3:$D$143,Journal!$A$3:$A$143,$B124,Journal!$E$3:$E$143,AC$3)=0,"",SUMIFS(Journal!$D$3:$D$143,Journal!$A$3:$A$143,$B124,Journal!$E$3:$E$143,AC$3))</f>
        <v/>
      </c>
      <c r="AD124" s="86" t="str">
        <f>IF(SUMIFS(Journal!$D$3:$D$143,Journal!$A$3:$A$143,$B124,Journal!$F$3:$F$143,AC$3)=0,"",SUMIFS(Journal!$D$3:$D$143,Journal!$A$3:$A$143,$B124,Journal!$F$3:$F$143,AC$3))</f>
        <v/>
      </c>
      <c r="AE124" s="86" t="str">
        <f>IF(SUMIFS(Journal!$D$3:$D$143,Journal!$A$3:$A$143,$B124,Journal!$E$3:$E$143,AE$3)=0,"",SUMIFS(Journal!$D$3:$D$143,Journal!$A$3:$A$143,$B124,Journal!$E$3:$E$143,AE$3))</f>
        <v/>
      </c>
      <c r="AF124" s="86" t="str">
        <f>IF(SUMIFS(Journal!$D$3:$D$143,Journal!$A$3:$A$143,$B124,Journal!$F$3:$F$143,AE$3)=0,"",SUMIFS(Journal!$D$3:$D$143,Journal!$A$3:$A$143,$B124,Journal!$F$3:$F$143,AE$3))</f>
        <v/>
      </c>
      <c r="AG124" s="86" t="str">
        <f>IF(SUMIFS(Journal!$D$3:$D$143,Journal!$A$3:$A$143,$B124,Journal!$E$3:$E$143,AG$3)=0,"",SUMIFS(Journal!$D$3:$D$143,Journal!$A$3:$A$143,$B124,Journal!$E$3:$E$143,AG$3))</f>
        <v/>
      </c>
      <c r="AH124" s="86" t="str">
        <f>IF(SUMIFS(Journal!$D$3:$D$143,Journal!$A$3:$A$143,$B124,Journal!$F$3:$F$143,AG$3)=0,"",SUMIFS(Journal!$D$3:$D$143,Journal!$A$3:$A$143,$B124,Journal!$F$3:$F$143,AG$3))</f>
        <v/>
      </c>
      <c r="AI124" s="86" t="str">
        <f>IF(SUMIFS(Journal!$D$3:$D$143,Journal!$A$3:$A$143,$B124,Journal!$E$3:$E$143,AI$3)=0,"",SUMIFS(Journal!$D$3:$D$143,Journal!$A$3:$A$143,$B124,Journal!$E$3:$E$143,AI$3))</f>
        <v/>
      </c>
      <c r="AJ124" s="86" t="str">
        <f>IF(SUMIFS(Journal!$D$3:$D$143,Journal!$A$3:$A$143,$B124,Journal!$F$3:$F$143,AI$3)=0,"",SUMIFS(Journal!$D$3:$D$143,Journal!$A$3:$A$143,$B124,Journal!$F$3:$F$143,AI$3))</f>
        <v/>
      </c>
      <c r="AK124" s="86" t="str">
        <f>IF(SUMIFS(Journal!$D$3:$D$143,Journal!$A$3:$A$143,$B124,Journal!$E$3:$E$143,AK$3)=0,"",SUMIFS(Journal!$D$3:$D$143,Journal!$A$3:$A$143,$B124,Journal!$E$3:$E$143,AK$3))</f>
        <v/>
      </c>
      <c r="AL124" s="86" t="str">
        <f>IF(SUMIFS(Journal!$D$3:$D$143,Journal!$A$3:$A$143,$B124,Journal!$F$3:$F$143,AK$3)=0,"",SUMIFS(Journal!$D$3:$D$143,Journal!$A$3:$A$143,$B124,Journal!$F$3:$F$143,AK$3))</f>
        <v/>
      </c>
      <c r="AM124" s="86">
        <f>IF(SUMIFS(Journal!$D$3:$D$143,Journal!$A$3:$A$143,$B124,Journal!$E$3:$E$143,AM$3)=0,"",SUMIFS(Journal!$D$3:$D$143,Journal!$A$3:$A$143,$B124,Journal!$E$3:$E$143,AM$3))</f>
        <v>682</v>
      </c>
      <c r="AN124" s="86" t="str">
        <f>IF(SUMIFS(Journal!$D$3:$D$143,Journal!$A$3:$A$143,$B124,Journal!$F$3:$F$143,AM$3)=0,"",SUMIFS(Journal!$D$3:$D$143,Journal!$A$3:$A$143,$B124,Journal!$F$3:$F$143,AM$3))</f>
        <v/>
      </c>
      <c r="AO124" s="86" t="str">
        <f>IF(SUMIFS(Journal!$D$3:$D$143,Journal!$A$3:$A$143,$B124,Journal!$E$3:$E$143,AO$3)=0,"",SUMIFS(Journal!$D$3:$D$143,Journal!$A$3:$A$143,$B124,Journal!$E$3:$E$143,AO$3))</f>
        <v/>
      </c>
      <c r="AP124" s="86" t="str">
        <f>IF(SUMIFS(Journal!$D$3:$D$143,Journal!$A$3:$A$143,$B124,Journal!$F$3:$F$143,AO$3)=0,"",SUMIFS(Journal!$D$3:$D$143,Journal!$A$3:$A$143,$B124,Journal!$F$3:$F$143,AO$3))</f>
        <v/>
      </c>
      <c r="AQ124" s="86" t="str">
        <f>IF(SUMIFS(Journal!$D$3:$D$143,Journal!$A$3:$A$143,$B124,Journal!$E$3:$E$143,AQ$3)=0,"",SUMIFS(Journal!$D$3:$D$143,Journal!$A$3:$A$143,$B124,Journal!$E$3:$E$143,AQ$3))</f>
        <v/>
      </c>
      <c r="AR124" s="86" t="str">
        <f>IF(SUMIFS(Journal!$D$3:$D$143,Journal!$A$3:$A$143,$B124,Journal!$F$3:$F$143,AQ$3)=0,"",SUMIFS(Journal!$D$3:$D$143,Journal!$A$3:$A$143,$B124,Journal!$F$3:$F$143,AQ$3))</f>
        <v/>
      </c>
      <c r="AS124" s="86" t="str">
        <f>IF(SUMIFS(Journal!$D$3:$D$143,Journal!$A$3:$A$143,$B124,Journal!$E$3:$E$143,AS$3)=0,"",SUMIFS(Journal!$D$3:$D$143,Journal!$A$3:$A$143,$B124,Journal!$E$3:$E$143,AS$3))</f>
        <v/>
      </c>
      <c r="AT124" s="86" t="str">
        <f>IF(SUMIFS(Journal!$D$3:$D$143,Journal!$A$3:$A$143,$B124,Journal!$F$3:$F$143,AS$3)=0,"",SUMIFS(Journal!$D$3:$D$143,Journal!$A$3:$A$143,$B124,Journal!$F$3:$F$143,AS$3))</f>
        <v/>
      </c>
      <c r="AU124" s="86" t="str">
        <f>IF(SUMIFS(Journal!$D$3:$D$143,Journal!$A$3:$A$143,$B124,Journal!$E$3:$E$143,AU$3)=0,"",SUMIFS(Journal!$D$3:$D$143,Journal!$A$3:$A$143,$B124,Journal!$E$3:$E$143,AU$3))</f>
        <v/>
      </c>
      <c r="AV124" s="86" t="str">
        <f>IF(SUMIFS(Journal!$D$3:$D$143,Journal!$A$3:$A$143,$B124,Journal!$F$3:$F$143,AU$3)=0,"",SUMIFS(Journal!$D$3:$D$143,Journal!$A$3:$A$143,$B124,Journal!$F$3:$F$143,AU$3))</f>
        <v/>
      </c>
      <c r="AW124" s="86" t="str">
        <f>IF(SUMIFS(Journal!$D$3:$D$143,Journal!$A$3:$A$143,$B124,Journal!$E$3:$E$143,AW$3)=0,"",SUMIFS(Journal!$D$3:$D$143,Journal!$A$3:$A$143,$B124,Journal!$E$3:$E$143,AW$3))</f>
        <v/>
      </c>
      <c r="AX124" s="86" t="str">
        <f>IF(SUMIFS(Journal!$D$3:$D$143,Journal!$A$3:$A$143,$B124,Journal!$F$3:$F$143,AW$3)=0,"",SUMIFS(Journal!$D$3:$D$143,Journal!$A$3:$A$143,$B124,Journal!$F$3:$F$143,AW$3))</f>
        <v/>
      </c>
      <c r="AY124" s="86" t="str">
        <f>IF(SUMIFS(Journal!$D$3:$D$143,Journal!$A$3:$A$143,$B124,Journal!$E$3:$E$143,AY$3)=0,"",SUMIFS(Journal!$D$3:$D$143,Journal!$A$3:$A$143,$B124,Journal!$E$3:$E$143,AY$3))</f>
        <v/>
      </c>
      <c r="AZ124" s="86" t="str">
        <f>IF(SUMIFS(Journal!$D$3:$D$143,Journal!$A$3:$A$143,$B124,Journal!$F$3:$F$143,AY$3)=0,"",SUMIFS(Journal!$D$3:$D$143,Journal!$A$3:$A$143,$B124,Journal!$F$3:$F$143,AY$3))</f>
        <v/>
      </c>
      <c r="BA124" s="86" t="str">
        <f>IF(SUMIFS(Journal!$D$3:$D$143,Journal!$A$3:$A$143,$B124,Journal!$E$3:$E$143,BA$3)=0,"",SUMIFS(Journal!$D$3:$D$143,Journal!$A$3:$A$143,$B124,Journal!$E$3:$E$143,BA$3))</f>
        <v/>
      </c>
      <c r="BB124" s="86" t="str">
        <f>IF(SUMIFS(Journal!$D$3:$D$143,Journal!$A$3:$A$143,$B124,Journal!$F$3:$F$143,BA$3)=0,"",SUMIFS(Journal!$D$3:$D$143,Journal!$A$3:$A$143,$B124,Journal!$F$3:$F$143,BA$3))</f>
        <v/>
      </c>
    </row>
    <row r="125">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c r="AQ125" s="86"/>
      <c r="AR125" s="86"/>
      <c r="AS125" s="86"/>
      <c r="AT125" s="86"/>
      <c r="AU125" s="86"/>
      <c r="AV125" s="86"/>
      <c r="AW125" s="86"/>
      <c r="AX125" s="86"/>
      <c r="AY125" s="86"/>
      <c r="AZ125" s="86"/>
      <c r="BA125" s="86"/>
      <c r="BB125" s="86"/>
    </row>
    <row r="127">
      <c r="D127" s="214" t="s">
        <v>679</v>
      </c>
      <c r="E127" s="215">
        <f t="shared" ref="E127:BB127" si="1">SUM(E5:E125)</f>
        <v>380260</v>
      </c>
      <c r="F127" s="60">
        <f t="shared" si="1"/>
        <v>326830</v>
      </c>
      <c r="G127" s="86">
        <f t="shared" si="1"/>
        <v>16000</v>
      </c>
      <c r="H127" s="86">
        <f t="shared" si="1"/>
        <v>11000</v>
      </c>
      <c r="I127" s="86">
        <f t="shared" si="1"/>
        <v>45000</v>
      </c>
      <c r="J127" s="86">
        <f t="shared" si="1"/>
        <v>39000</v>
      </c>
      <c r="K127" s="86">
        <f t="shared" si="1"/>
        <v>6000</v>
      </c>
      <c r="L127" s="86">
        <f t="shared" si="1"/>
        <v>0</v>
      </c>
      <c r="M127" s="86">
        <f t="shared" si="1"/>
        <v>58800</v>
      </c>
      <c r="N127" s="86">
        <f t="shared" si="1"/>
        <v>0</v>
      </c>
      <c r="O127" s="86">
        <f t="shared" si="1"/>
        <v>14000</v>
      </c>
      <c r="P127" s="86">
        <f t="shared" si="1"/>
        <v>20000</v>
      </c>
      <c r="Q127" s="86">
        <f t="shared" si="1"/>
        <v>7000</v>
      </c>
      <c r="R127" s="86">
        <f t="shared" si="1"/>
        <v>13000</v>
      </c>
      <c r="S127" s="86">
        <f t="shared" si="1"/>
        <v>7500</v>
      </c>
      <c r="T127" s="86">
        <f t="shared" si="1"/>
        <v>70000</v>
      </c>
      <c r="U127" s="86">
        <f t="shared" si="1"/>
        <v>0</v>
      </c>
      <c r="V127" s="86">
        <f t="shared" si="1"/>
        <v>50000</v>
      </c>
      <c r="W127" s="86">
        <f t="shared" si="1"/>
        <v>0</v>
      </c>
      <c r="X127" s="86">
        <f t="shared" si="1"/>
        <v>111500</v>
      </c>
      <c r="Y127" s="86">
        <f t="shared" si="1"/>
        <v>0</v>
      </c>
      <c r="Z127" s="86">
        <f t="shared" si="1"/>
        <v>79500</v>
      </c>
      <c r="AA127" s="86">
        <f t="shared" si="1"/>
        <v>0</v>
      </c>
      <c r="AB127" s="86">
        <f t="shared" si="1"/>
        <v>65000</v>
      </c>
      <c r="AC127" s="86">
        <f t="shared" si="1"/>
        <v>0</v>
      </c>
      <c r="AD127" s="86">
        <f t="shared" si="1"/>
        <v>23500</v>
      </c>
      <c r="AE127" s="86">
        <f t="shared" si="1"/>
        <v>39000</v>
      </c>
      <c r="AF127" s="86">
        <f t="shared" si="1"/>
        <v>0</v>
      </c>
      <c r="AG127" s="86">
        <f t="shared" si="1"/>
        <v>117400</v>
      </c>
      <c r="AH127" s="86">
        <f t="shared" si="1"/>
        <v>0</v>
      </c>
      <c r="AI127" s="86">
        <f t="shared" si="1"/>
        <v>64800</v>
      </c>
      <c r="AJ127" s="86">
        <f t="shared" si="1"/>
        <v>0</v>
      </c>
      <c r="AK127" s="86">
        <f t="shared" si="1"/>
        <v>7200</v>
      </c>
      <c r="AL127" s="86">
        <f t="shared" si="1"/>
        <v>0</v>
      </c>
      <c r="AM127" s="86">
        <f t="shared" si="1"/>
        <v>11360</v>
      </c>
      <c r="AN127" s="86">
        <f t="shared" si="1"/>
        <v>0</v>
      </c>
      <c r="AO127" s="86">
        <f t="shared" si="1"/>
        <v>1500</v>
      </c>
      <c r="AP127" s="86">
        <f t="shared" si="1"/>
        <v>0</v>
      </c>
      <c r="AQ127" s="86">
        <f t="shared" si="1"/>
        <v>2040</v>
      </c>
      <c r="AR127" s="86">
        <f t="shared" si="1"/>
        <v>0</v>
      </c>
      <c r="AS127" s="86">
        <f t="shared" si="1"/>
        <v>2200</v>
      </c>
      <c r="AT127" s="86">
        <f t="shared" si="1"/>
        <v>0</v>
      </c>
      <c r="AU127" s="86">
        <f t="shared" si="1"/>
        <v>20600</v>
      </c>
      <c r="AV127" s="86">
        <f t="shared" si="1"/>
        <v>0</v>
      </c>
      <c r="AW127" s="86">
        <f t="shared" si="1"/>
        <v>4170</v>
      </c>
      <c r="AX127" s="86">
        <f t="shared" si="1"/>
        <v>0</v>
      </c>
      <c r="AY127" s="86">
        <f t="shared" si="1"/>
        <v>1800</v>
      </c>
      <c r="AZ127" s="86">
        <f t="shared" si="1"/>
        <v>0</v>
      </c>
      <c r="BA127" s="86">
        <f t="shared" si="1"/>
        <v>2700</v>
      </c>
      <c r="BB127" s="86">
        <f t="shared" si="1"/>
        <v>0</v>
      </c>
    </row>
    <row r="128">
      <c r="D128" s="214" t="s">
        <v>848</v>
      </c>
      <c r="E128" s="86">
        <f>E127-F127</f>
        <v>53430</v>
      </c>
      <c r="F128" s="86"/>
      <c r="G128" s="86">
        <f>G127-H127</f>
        <v>5000</v>
      </c>
      <c r="H128" s="86"/>
      <c r="I128" s="86">
        <f>I127-J127</f>
        <v>6000</v>
      </c>
      <c r="J128" s="86"/>
      <c r="K128" s="86">
        <f>K127-L127</f>
        <v>6000</v>
      </c>
      <c r="L128" s="86"/>
      <c r="M128" s="86">
        <f>M127-N127</f>
        <v>58800</v>
      </c>
      <c r="N128" s="86"/>
      <c r="O128" s="86">
        <f>O127-P127</f>
        <v>-6000</v>
      </c>
      <c r="P128" s="86"/>
      <c r="Q128" s="86">
        <f>Q127-R127</f>
        <v>-6000</v>
      </c>
      <c r="R128" s="86"/>
      <c r="S128" s="86">
        <f>S127-T127</f>
        <v>-62500</v>
      </c>
      <c r="T128" s="86"/>
      <c r="U128" s="86">
        <f>U127-V127</f>
        <v>-50000</v>
      </c>
      <c r="V128" s="86"/>
      <c r="W128" s="86">
        <f>W127-X127</f>
        <v>-111500</v>
      </c>
      <c r="X128" s="86"/>
      <c r="Y128" s="86">
        <f>Y127-Z127</f>
        <v>-79500</v>
      </c>
      <c r="Z128" s="86"/>
      <c r="AA128" s="86">
        <f>AA127-AB127</f>
        <v>-65000</v>
      </c>
      <c r="AB128" s="86"/>
      <c r="AC128" s="86">
        <f>AC127-AD127</f>
        <v>-23500</v>
      </c>
      <c r="AD128" s="86"/>
      <c r="AE128" s="86">
        <f>AE127-AF127</f>
        <v>39000</v>
      </c>
      <c r="AF128" s="86"/>
      <c r="AG128" s="86">
        <f>AG127-AH127</f>
        <v>117400</v>
      </c>
      <c r="AH128" s="86"/>
      <c r="AI128" s="86">
        <f>AI127-AJ127</f>
        <v>64800</v>
      </c>
      <c r="AJ128" s="86"/>
      <c r="AK128" s="86">
        <f>AK127-AL127</f>
        <v>7200</v>
      </c>
      <c r="AL128" s="86"/>
      <c r="AM128" s="86">
        <f>AM127-AN127</f>
        <v>11360</v>
      </c>
      <c r="AN128" s="86"/>
      <c r="AO128" s="86">
        <f>AO127-AP127</f>
        <v>1500</v>
      </c>
      <c r="AP128" s="86"/>
      <c r="AQ128" s="86">
        <f>AQ127-AR127</f>
        <v>2040</v>
      </c>
      <c r="AR128" s="86"/>
      <c r="AS128" s="86">
        <f>AS127-AT127</f>
        <v>2200</v>
      </c>
      <c r="AT128" s="86"/>
      <c r="AU128" s="86">
        <f>AU127-AV127</f>
        <v>20600</v>
      </c>
      <c r="AV128" s="86"/>
      <c r="AW128" s="86">
        <f>AW127-AX127</f>
        <v>4170</v>
      </c>
      <c r="AX128" s="86"/>
      <c r="AY128" s="86">
        <f>AY127-AZ127</f>
        <v>1800</v>
      </c>
      <c r="AZ128" s="86"/>
      <c r="BA128" s="86">
        <f>BA127-BB127</f>
        <v>2700</v>
      </c>
      <c r="BB128" s="86"/>
    </row>
    <row r="130">
      <c r="A130" s="216" t="s">
        <v>849</v>
      </c>
    </row>
    <row r="131">
      <c r="A131" s="217" t="s">
        <v>850</v>
      </c>
      <c r="D131" s="218">
        <f>SUMIF(E4:N4,"DB",E127:N127)-SUMIF(E4:N4,"CR",E127:N127)</f>
        <v>129230</v>
      </c>
    </row>
    <row r="132">
      <c r="A132" s="219" t="s">
        <v>851</v>
      </c>
      <c r="D132" s="220">
        <f>SUMIF(O4:T4,"CR",O127:T127)-SUMIF(O4:T4,"DB",O127:T127)</f>
        <v>74500</v>
      </c>
    </row>
    <row r="133">
      <c r="A133" s="217" t="s">
        <v>45</v>
      </c>
      <c r="D133" s="218">
        <f>SUMIF(U4:V4,"CR",U127:V127)-SUMIF(U4:V4,"DB",U127:V127)</f>
        <v>50000</v>
      </c>
    </row>
    <row r="134">
      <c r="A134" s="219" t="s">
        <v>852</v>
      </c>
      <c r="D134" s="220">
        <f>SUMIF(W4:AD4,"CR",W127:AD127)-SUMIF(W4:AD4,"DB",W127:AD127)</f>
        <v>279500</v>
      </c>
    </row>
    <row r="135">
      <c r="A135" s="217" t="s">
        <v>853</v>
      </c>
      <c r="D135" s="218">
        <f>SUMIF(AE4:BB4,"DB",AE127:BB127)-SUMIF(AE4:BB4,"CR",AE127:BB127)</f>
        <v>274770</v>
      </c>
    </row>
    <row r="136">
      <c r="A136" s="219" t="s">
        <v>854</v>
      </c>
      <c r="D136" s="220">
        <f>D134-D135</f>
        <v>4730</v>
      </c>
    </row>
    <row r="137">
      <c r="A137" s="217" t="s">
        <v>855</v>
      </c>
      <c r="D137" s="218">
        <f>D133+D136</f>
        <v>54730</v>
      </c>
    </row>
    <row r="138">
      <c r="A138" s="219" t="s">
        <v>856</v>
      </c>
      <c r="D138" s="220">
        <f>D132+D137</f>
        <v>129230</v>
      </c>
    </row>
    <row r="139">
      <c r="A139" s="217" t="s">
        <v>857</v>
      </c>
      <c r="D139" s="218">
        <f>D131-D138</f>
        <v>0</v>
      </c>
    </row>
    <row r="140">
      <c r="A140" s="219" t="s">
        <v>858</v>
      </c>
      <c r="D140" s="221" t="str">
        <f>IF(ROUND(D139,2)=0,"BALANCED","NOT BALANCED")</f>
        <v>BALANCED</v>
      </c>
    </row>
    <row r="141">
      <c r="A141" s="222"/>
      <c r="B141" s="222"/>
      <c r="C141" s="222"/>
      <c r="D141" s="218"/>
    </row>
    <row r="142">
      <c r="A142" s="219" t="s">
        <v>859</v>
      </c>
      <c r="D142" s="220"/>
    </row>
    <row r="143">
      <c r="A143" s="217" t="s">
        <v>860</v>
      </c>
      <c r="D143" s="218">
        <f>SUMIF($E$4:$BB$4,"DB",$E$127:$BB$127)</f>
        <v>809330</v>
      </c>
    </row>
    <row r="144">
      <c r="A144" s="219" t="s">
        <v>861</v>
      </c>
      <c r="D144" s="220">
        <f>SUMIF($E$4:$BB$4,"CR",$E$127:$BB$127)</f>
        <v>809330</v>
      </c>
    </row>
    <row r="145">
      <c r="A145" s="217" t="s">
        <v>862</v>
      </c>
      <c r="D145" s="223" t="str">
        <f>IF(D143=D144,"BALANCED","NOT BALANCED")</f>
        <v>BALANCED</v>
      </c>
    </row>
    <row r="146">
      <c r="A146" s="122"/>
      <c r="B146" s="122"/>
      <c r="C146" s="122"/>
      <c r="D146" s="220"/>
    </row>
    <row r="147">
      <c r="A147" s="217" t="s">
        <v>863</v>
      </c>
      <c r="D147" s="218"/>
    </row>
    <row r="148">
      <c r="A148" s="219" t="s">
        <v>864</v>
      </c>
      <c r="D148" s="220">
        <f t="array" ref="D148">COUNTA(UNIQUE({Journal!E3:E143;Journal!F3:F143}))</f>
        <v>25</v>
      </c>
    </row>
    <row r="149">
      <c r="A149" s="217" t="s">
        <v>865</v>
      </c>
      <c r="D149" s="218">
        <f>COUNTIF($E$4:$BB$4,"DB")</f>
        <v>25</v>
      </c>
    </row>
    <row r="150">
      <c r="A150" s="219" t="s">
        <v>866</v>
      </c>
      <c r="D150" s="221" t="str">
        <f>IF(D148=D149,"OK","CHECK")</f>
        <v>OK</v>
      </c>
    </row>
  </sheetData>
  <mergeCells count="50">
    <mergeCell ref="AI3:AJ3"/>
    <mergeCell ref="AK3:AL3"/>
    <mergeCell ref="AM3:AN3"/>
    <mergeCell ref="AO3:AP3"/>
    <mergeCell ref="AQ3:AR3"/>
    <mergeCell ref="AS3:AT3"/>
    <mergeCell ref="AU3:AV3"/>
    <mergeCell ref="AW3:AX3"/>
    <mergeCell ref="AY3:AZ3"/>
    <mergeCell ref="BA3:BB3"/>
    <mergeCell ref="A1:BB1"/>
    <mergeCell ref="A2:D2"/>
    <mergeCell ref="E2:N2"/>
    <mergeCell ref="O2:T2"/>
    <mergeCell ref="U2:BB2"/>
    <mergeCell ref="A3:D3"/>
    <mergeCell ref="E3:F3"/>
    <mergeCell ref="A143:C143"/>
    <mergeCell ref="A144:C144"/>
    <mergeCell ref="A145:C145"/>
    <mergeCell ref="A147:C147"/>
    <mergeCell ref="A148:C148"/>
    <mergeCell ref="A149:C149"/>
    <mergeCell ref="A150:C150"/>
    <mergeCell ref="A135:C135"/>
    <mergeCell ref="A136:C136"/>
    <mergeCell ref="A137:C137"/>
    <mergeCell ref="A138:C138"/>
    <mergeCell ref="A139:C139"/>
    <mergeCell ref="A140:C140"/>
    <mergeCell ref="A142:C142"/>
    <mergeCell ref="K3:L3"/>
    <mergeCell ref="M3:N3"/>
    <mergeCell ref="O3:P3"/>
    <mergeCell ref="Q3:R3"/>
    <mergeCell ref="S3:T3"/>
    <mergeCell ref="U3:V3"/>
    <mergeCell ref="W3:X3"/>
    <mergeCell ref="Y3:Z3"/>
    <mergeCell ref="AA3:AB3"/>
    <mergeCell ref="AC3:AD3"/>
    <mergeCell ref="AE3:AF3"/>
    <mergeCell ref="AG3:AH3"/>
    <mergeCell ref="G3:H3"/>
    <mergeCell ref="I3:J3"/>
    <mergeCell ref="A130:D130"/>
    <mergeCell ref="A131:C131"/>
    <mergeCell ref="A132:C132"/>
    <mergeCell ref="A133:C133"/>
    <mergeCell ref="A134:C134"/>
  </mergeCells>
  <drawing r:id="rId4"/>
  <legacyDrawing r:id="rId5"/>
  <tableParts count="2">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26.88"/>
  </cols>
  <sheetData>
    <row r="1">
      <c r="A1" s="93"/>
      <c r="B1" s="93"/>
      <c r="C1" s="93"/>
      <c r="D1" s="93"/>
    </row>
    <row r="2">
      <c r="A2" s="93"/>
      <c r="B2" s="94" t="s">
        <v>672</v>
      </c>
      <c r="C2" s="95"/>
      <c r="D2" s="96"/>
    </row>
    <row r="3">
      <c r="A3" s="93"/>
      <c r="B3" s="97" t="s">
        <v>673</v>
      </c>
      <c r="D3" s="98"/>
    </row>
    <row r="4">
      <c r="A4" s="93"/>
      <c r="B4" s="99" t="s">
        <v>674</v>
      </c>
      <c r="C4" s="100"/>
      <c r="D4" s="101"/>
    </row>
    <row r="5">
      <c r="A5" s="1"/>
      <c r="B5" s="102" t="s">
        <v>675</v>
      </c>
      <c r="C5" s="103" t="s">
        <v>668</v>
      </c>
      <c r="D5" s="104" t="s">
        <v>676</v>
      </c>
    </row>
    <row r="6">
      <c r="B6" s="105" t="str">
        <f>General_Ledger!E3</f>
        <v>Cash</v>
      </c>
      <c r="C6" s="106" t="str">
        <f>IF(General_Ledger!E127-General_Ledger!F127&lt;0,-(General_Ledger!E127-General_Ledger!F127),"")</f>
        <v/>
      </c>
      <c r="D6" s="107">
        <f>IF(General_Ledger!E127-General_Ledger!F127&gt;0,General_Ledger!E127-General_Ledger!F127,"")</f>
        <v>53430</v>
      </c>
    </row>
    <row r="7">
      <c r="B7" s="105" t="str">
        <f>General_Ledger!G3</f>
        <v>Accounts Receivable</v>
      </c>
      <c r="C7" s="106" t="str">
        <f>IF(General_Ledger!G127-General_Ledger!H127&lt;0,-(General_Ledger!G127-General_Ledger!H127),"")</f>
        <v/>
      </c>
      <c r="D7" s="107">
        <f>IF(General_Ledger!G127-General_Ledger!H127&gt;0,General_Ledger!G127-General_Ledger!H127,"")</f>
        <v>5000</v>
      </c>
    </row>
    <row r="8">
      <c r="B8" s="105" t="str">
        <f>General_Ledger!I3</f>
        <v>Inventory</v>
      </c>
      <c r="C8" s="106" t="str">
        <f>IF(General_Ledger!I127-General_Ledger!J127&lt;0,-(General_Ledger!I127-General_Ledger!J127),"")</f>
        <v/>
      </c>
      <c r="D8" s="107">
        <f>IF(General_Ledger!I127-General_Ledger!J127&gt;0,General_Ledger!I127-General_Ledger!J127,"")</f>
        <v>6000</v>
      </c>
    </row>
    <row r="9">
      <c r="B9" s="105" t="str">
        <f>General_Ledger!K3</f>
        <v>Security Deposit</v>
      </c>
      <c r="C9" s="106" t="str">
        <f>IF(General_Ledger!K127-General_Ledger!L127&lt;0,-(General_Ledger!K127-General_Ledger!L127),"")</f>
        <v/>
      </c>
      <c r="D9" s="107">
        <f>IF(General_Ledger!K127-General_Ledger!L127&gt;0,General_Ledger!K127-General_Ledger!L127,"")</f>
        <v>6000</v>
      </c>
    </row>
    <row r="10">
      <c r="B10" s="105" t="str">
        <f>General_Ledger!M3</f>
        <v>Equipment</v>
      </c>
      <c r="C10" s="106" t="str">
        <f>IF(General_Ledger!M127-General_Ledger!N127&lt;0,-(General_Ledger!M127-General_Ledger!N127),"")</f>
        <v/>
      </c>
      <c r="D10" s="107">
        <f>IF(General_Ledger!M127-General_Ledger!N127&gt;0,General_Ledger!M127-General_Ledger!N127,"")</f>
        <v>58800</v>
      </c>
    </row>
    <row r="11">
      <c r="B11" s="105" t="str">
        <f>General_Ledger!O3</f>
        <v>Accounts Payable</v>
      </c>
      <c r="C11" s="106">
        <f>IF(General_Ledger!O127-General_Ledger!P127&lt;0,-(General_Ledger!O127-General_Ledger!P127),"")</f>
        <v>6000</v>
      </c>
      <c r="D11" s="107" t="str">
        <f>IF(General_Ledger!O127-General_Ledger!P127&gt;0,General_Ledger!O127-General_Ledger!P127,"")</f>
        <v/>
      </c>
    </row>
    <row r="12">
      <c r="B12" s="105" t="str">
        <f>General_Ledger!Q3</f>
        <v>Unearned Revenue</v>
      </c>
      <c r="C12" s="106">
        <f>IF(General_Ledger!Q127-General_Ledger!R127&lt;0,-(General_Ledger!Q127-General_Ledger!R127),"")</f>
        <v>6000</v>
      </c>
      <c r="D12" s="107" t="str">
        <f>IF(General_Ledger!Q127-General_Ledger!R127&gt;0,General_Ledger!Q127-General_Ledger!R127,"")</f>
        <v/>
      </c>
    </row>
    <row r="13">
      <c r="B13" s="105" t="str">
        <f>General_Ledger!S3</f>
        <v>Notes Payable</v>
      </c>
      <c r="C13" s="106">
        <f>IF(General_Ledger!S127-General_Ledger!T127&lt;0,-(General_Ledger!S127-General_Ledger!T127),"")</f>
        <v>62500</v>
      </c>
      <c r="D13" s="107" t="str">
        <f>IF(General_Ledger!S127-General_Ledger!T127&gt;0,General_Ledger!S127-General_Ledger!T127,"")</f>
        <v/>
      </c>
    </row>
    <row r="14">
      <c r="B14" s="105" t="str">
        <f>General_Ledger!U3</f>
        <v>Owner's Capital</v>
      </c>
      <c r="C14" s="106">
        <f>IF(General_Ledger!U127-General_Ledger!V127&lt;0,-(General_Ledger!U127-General_Ledger!V127),"")</f>
        <v>50000</v>
      </c>
      <c r="D14" s="107" t="str">
        <f>IF(General_Ledger!U127-General_Ledger!V127&gt;0,General_Ledger!U127-General_Ledger!V127,"")</f>
        <v/>
      </c>
    </row>
    <row r="15">
      <c r="B15" s="105" t="str">
        <f>General_Ledger!W3</f>
        <v>Equipment Rental Revenue</v>
      </c>
      <c r="C15" s="106">
        <f>IF(General_Ledger!W127-General_Ledger!X127&lt;0,-(General_Ledger!W127-General_Ledger!X127),"")</f>
        <v>111500</v>
      </c>
      <c r="D15" s="107" t="str">
        <f>IF(General_Ledger!W127-General_Ledger!X127&gt;0,General_Ledger!W127-General_Ledger!X127,"")</f>
        <v/>
      </c>
    </row>
    <row r="16">
      <c r="B16" s="105" t="str">
        <f>General_Ledger!Y3</f>
        <v>Tour Revenue</v>
      </c>
      <c r="C16" s="106">
        <f>IF(General_Ledger!Y127-General_Ledger!Z127&lt;0,-(General_Ledger!Y127-General_Ledger!Z127),"")</f>
        <v>79500</v>
      </c>
      <c r="D16" s="107" t="str">
        <f>IF(General_Ledger!Y127-General_Ledger!Z127&gt;0,General_Ledger!Y127-General_Ledger!Z127,"")</f>
        <v/>
      </c>
    </row>
    <row r="17">
      <c r="B17" s="105" t="str">
        <f>General_Ledger!AA3</f>
        <v>Retail Sales Revenue</v>
      </c>
      <c r="C17" s="106">
        <f>IF(General_Ledger!AA127-General_Ledger!AB127&lt;0,-(General_Ledger!AA127-General_Ledger!AB127),"")</f>
        <v>65000</v>
      </c>
      <c r="D17" s="107" t="str">
        <f>IF(General_Ledger!AA127-General_Ledger!AB127&gt;0,General_Ledger!AA127-General_Ledger!AB127,"")</f>
        <v/>
      </c>
    </row>
    <row r="18">
      <c r="B18" s="105" t="str">
        <f>General_Ledger!AC3</f>
        <v>Event Revenue</v>
      </c>
      <c r="C18" s="106">
        <f>IF(General_Ledger!AC127-General_Ledger!AD127&lt;0,-(General_Ledger!AC127-General_Ledger!AD127),"")</f>
        <v>23500</v>
      </c>
      <c r="D18" s="107" t="str">
        <f>IF(General_Ledger!AC127-General_Ledger!AD127&gt;0,General_Ledger!AC127-General_Ledger!AD127,"")</f>
        <v/>
      </c>
    </row>
    <row r="19">
      <c r="B19" s="105" t="str">
        <f>General_Ledger!AE3</f>
        <v>Cost of Goods Sold</v>
      </c>
      <c r="C19" s="106" t="str">
        <f>IF(General_Ledger!AE127-General_Ledger!AF127&lt;0,-(General_Ledger!AE127-General_Ledger!AF127),"")</f>
        <v/>
      </c>
      <c r="D19" s="107">
        <f>IF(General_Ledger!AE127-General_Ledger!AF127&gt;0,General_Ledger!AE127-General_Ledger!AF127,"")</f>
        <v>39000</v>
      </c>
    </row>
    <row r="20">
      <c r="B20" s="105" t="str">
        <f>General_Ledger!AG3</f>
        <v>Wages Expense</v>
      </c>
      <c r="C20" s="106" t="str">
        <f>IF(General_Ledger!AG127-General_Ledger!AH127&lt;0,-(General_Ledger!AG127-General_Ledger!AH127),"")</f>
        <v/>
      </c>
      <c r="D20" s="107">
        <f>IF(General_Ledger!AG127-General_Ledger!AH127&gt;0,General_Ledger!AG127-General_Ledger!AH127,"")</f>
        <v>117400</v>
      </c>
    </row>
    <row r="21">
      <c r="B21" s="105" t="str">
        <f>General_Ledger!AI3</f>
        <v>Rent Expense</v>
      </c>
      <c r="C21" s="106" t="str">
        <f>IF(General_Ledger!AI127-General_Ledger!AJ127&lt;0,-(General_Ledger!AI127-General_Ledger!AJ127),"")</f>
        <v/>
      </c>
      <c r="D21" s="107">
        <f>IF(General_Ledger!AI127-General_Ledger!AJ127&gt;0,General_Ledger!AI127-General_Ledger!AJ127,"")</f>
        <v>64800</v>
      </c>
    </row>
    <row r="22">
      <c r="B22" s="105" t="str">
        <f>General_Ledger!AK3</f>
        <v>Insurance Expense</v>
      </c>
      <c r="C22" s="106" t="str">
        <f>IF(General_Ledger!AK127-General_Ledger!AL127&lt;0,-(General_Ledger!AK127-General_Ledger!AL127),"")</f>
        <v/>
      </c>
      <c r="D22" s="107">
        <f>IF(General_Ledger!AK127-General_Ledger!AL127&gt;0,General_Ledger!AK127-General_Ledger!AL127,"")</f>
        <v>7200</v>
      </c>
    </row>
    <row r="23">
      <c r="B23" s="105" t="str">
        <f>General_Ledger!AM3</f>
        <v>Utilities Expense</v>
      </c>
      <c r="C23" s="106" t="str">
        <f>IF(General_Ledger!AM127-General_Ledger!AN127&lt;0,-(General_Ledger!AM127-General_Ledger!AN127),"")</f>
        <v/>
      </c>
      <c r="D23" s="107">
        <f>IF(General_Ledger!AM127-General_Ledger!AN127&gt;0,General_Ledger!AM127-General_Ledger!AN127,"")</f>
        <v>11360</v>
      </c>
    </row>
    <row r="24">
      <c r="B24" s="105" t="str">
        <f>General_Ledger!AO3</f>
        <v>License and Permit Expense</v>
      </c>
      <c r="C24" s="106" t="str">
        <f>IF(General_Ledger!AO127-General_Ledger!AP127&lt;0,-(General_Ledger!AO127-General_Ledger!AP127),"")</f>
        <v/>
      </c>
      <c r="D24" s="107">
        <f>IF(General_Ledger!AO127-General_Ledger!AP127&gt;0,General_Ledger!AO127-General_Ledger!AP127,"")</f>
        <v>1500</v>
      </c>
    </row>
    <row r="25">
      <c r="B25" s="105" t="str">
        <f>General_Ledger!AQ3</f>
        <v>Office and Admin Expense</v>
      </c>
      <c r="C25" s="106" t="str">
        <f>IF(General_Ledger!AQ127-General_Ledger!AR127&lt;0,-(General_Ledger!AQ127-General_Ledger!AR127),"")</f>
        <v/>
      </c>
      <c r="D25" s="107">
        <f>IF(General_Ledger!AQ127-General_Ledger!AR127&gt;0,General_Ledger!AQ127-General_Ledger!AR127,"")</f>
        <v>2040</v>
      </c>
    </row>
    <row r="26">
      <c r="B26" s="105" t="str">
        <f>General_Ledger!AS3</f>
        <v>Marketing Expense</v>
      </c>
      <c r="C26" s="106" t="str">
        <f>IF(General_Ledger!AS127-General_Ledger!AT127&lt;0,-(General_Ledger!AS127-General_Ledger!AT127),"")</f>
        <v/>
      </c>
      <c r="D26" s="107">
        <f>IF(General_Ledger!AS127-General_Ledger!AT127&gt;0,General_Ledger!AS127-General_Ledger!AT127,"")</f>
        <v>2200</v>
      </c>
    </row>
    <row r="27">
      <c r="B27" s="105" t="str">
        <f>General_Ledger!AU3</f>
        <v>Repairs and Maintenance Expense</v>
      </c>
      <c r="C27" s="106" t="str">
        <f>IF(General_Ledger!AU127-General_Ledger!AV127&lt;0,-(General_Ledger!AU127-General_Ledger!AV127),"")</f>
        <v/>
      </c>
      <c r="D27" s="107">
        <f>IF(General_Ledger!AU127-General_Ledger!AV127&gt;0,General_Ledger!AU127-General_Ledger!AV127,"")</f>
        <v>20600</v>
      </c>
    </row>
    <row r="28">
      <c r="B28" s="105" t="str">
        <f>General_Ledger!AW3</f>
        <v>School Group Expense</v>
      </c>
      <c r="C28" s="106" t="str">
        <f>IF(General_Ledger!AW127-General_Ledger!AX127&lt;0,-(General_Ledger!AW127-General_Ledger!AX127),"")</f>
        <v/>
      </c>
      <c r="D28" s="107">
        <f>IF(General_Ledger!AW127-General_Ledger!AX127&gt;0,General_Ledger!AW127-General_Ledger!AX127,"")</f>
        <v>4170</v>
      </c>
    </row>
    <row r="29">
      <c r="B29" s="105" t="str">
        <f>General_Ledger!AY3</f>
        <v>Training Expense</v>
      </c>
      <c r="C29" s="106" t="str">
        <f>IF(General_Ledger!AY127-General_Ledger!AZ127&lt;0,-(General_Ledger!AY127-General_Ledger!AZ127),"")</f>
        <v/>
      </c>
      <c r="D29" s="107">
        <f>IF(General_Ledger!AY127-General_Ledger!AZ127&gt;0,General_Ledger!AY127-General_Ledger!AZ127,"")</f>
        <v>1800</v>
      </c>
    </row>
    <row r="30">
      <c r="B30" s="120" t="str">
        <f>General_Ledger!BA3</f>
        <v>Interest Expense</v>
      </c>
      <c r="C30" s="121" t="str">
        <f>IF(General_Ledger!BA127-General_Ledger!BB127&lt;0,-(General_Ledger!BA127-General_Ledger!BB127),"")</f>
        <v/>
      </c>
      <c r="D30" s="124">
        <f>IF(General_Ledger!BA127-General_Ledger!BB127&gt;0,General_Ledger!BA127-General_Ledger!BB127,"")</f>
        <v>2700</v>
      </c>
    </row>
    <row r="32">
      <c r="A32" s="1"/>
      <c r="B32" s="125" t="s">
        <v>679</v>
      </c>
      <c r="C32" s="126">
        <f t="shared" ref="C32:D32" si="1">SUM(C6:C30)</f>
        <v>404000</v>
      </c>
      <c r="D32" s="127">
        <f t="shared" si="1"/>
        <v>404000</v>
      </c>
    </row>
    <row r="33">
      <c r="A33" s="1"/>
      <c r="B33" s="128" t="s">
        <v>681</v>
      </c>
      <c r="C33" s="129" t="str">
        <f>IF(C32=D32,"BALANCED","NOT BALANCED")</f>
        <v>BALANCED</v>
      </c>
      <c r="D33" s="130"/>
    </row>
  </sheetData>
  <mergeCells count="3">
    <mergeCell ref="B2:D2"/>
    <mergeCell ref="B3:D3"/>
    <mergeCell ref="B4:D4"/>
  </mergeCells>
  <conditionalFormatting sqref="C33">
    <cfRule type="containsText" dxfId="12" priority="1" operator="containsText" text="BALANCED">
      <formula>NOT(ISERROR(SEARCH(("BALANCED"),(C33))))</formula>
    </cfRule>
  </conditionalFormatting>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75"/>
  </cols>
  <sheetData>
    <row r="2">
      <c r="B2" s="108" t="str">
        <f>Trial_Balance!B2</f>
        <v>Verde Valley Ventures</v>
      </c>
      <c r="C2" s="95"/>
      <c r="D2" s="96"/>
    </row>
    <row r="3">
      <c r="B3" s="109" t="s">
        <v>677</v>
      </c>
      <c r="D3" s="98"/>
    </row>
    <row r="4">
      <c r="B4" s="110" t="s">
        <v>678</v>
      </c>
      <c r="C4" s="100"/>
      <c r="D4" s="101"/>
    </row>
    <row r="5">
      <c r="B5" s="111" t="s">
        <v>675</v>
      </c>
      <c r="C5" s="112" t="s">
        <v>11</v>
      </c>
      <c r="D5" s="113" t="s">
        <v>679</v>
      </c>
    </row>
    <row r="6">
      <c r="B6" s="114" t="s">
        <v>680</v>
      </c>
      <c r="D6" s="115"/>
    </row>
    <row r="7">
      <c r="B7" s="116" t="str">
        <f>Trial_Balance!B15</f>
        <v>Equipment Rental Revenue</v>
      </c>
      <c r="C7" s="117">
        <f>IF($B7="","",IF(COUNTIF(Trial_Balance!$B$6:$B$30,$B7)=0,"",SUMIF(Trial_Balance!$B$6:$B$30,$B7,Trial_Balance!$C$6:$C$30)+SUMIF(Trial_Balance!$B$6:$B$30,$B7,Trial_Balance!$D$6:$D$30)))</f>
        <v>111500</v>
      </c>
      <c r="D7" s="118"/>
    </row>
    <row r="8">
      <c r="B8" s="119" t="str">
        <f>Trial_Balance!B16</f>
        <v>Tour Revenue</v>
      </c>
      <c r="C8" s="122">
        <f>IF($B8="","",IF(COUNTIF(Trial_Balance!$B$6:$B$30,$B8)=0,"",SUMIF(Trial_Balance!$B$6:$B$30,$B8,Trial_Balance!$C$6:$C$30)+SUMIF(Trial_Balance!$B$6:$B$30,$B8,Trial_Balance!$D$6:$D$30)))</f>
        <v>79500</v>
      </c>
      <c r="D8" s="123"/>
    </row>
    <row r="9">
      <c r="B9" s="116" t="str">
        <f>Trial_Balance!B17</f>
        <v>Retail Sales Revenue</v>
      </c>
      <c r="C9" s="117">
        <f>IF($B9="","",IF(COUNTIF(Trial_Balance!$B$6:$B$30,$B9)=0,"",SUMIF(Trial_Balance!$B$6:$B$30,$B9,Trial_Balance!$C$6:$C$30)+SUMIF(Trial_Balance!$B$6:$B$30,$B9,Trial_Balance!$D$6:$D$30)))</f>
        <v>65000</v>
      </c>
      <c r="D9" s="118"/>
    </row>
    <row r="10">
      <c r="B10" s="119" t="str">
        <f>Trial_Balance!B18</f>
        <v>Event Revenue</v>
      </c>
      <c r="C10" s="122">
        <f>IF($B10="","",IF(COUNTIF(Trial_Balance!$B$6:$B$30,$B10)=0,"",SUMIF(Trial_Balance!$B$6:$B$30,$B10,Trial_Balance!$C$6:$C$30)+SUMIF(Trial_Balance!$B$6:$B$30,$B10,Trial_Balance!$D$6:$D$30)))</f>
        <v>23500</v>
      </c>
      <c r="D10" s="123"/>
    </row>
    <row r="11">
      <c r="B11" s="131" t="s">
        <v>682</v>
      </c>
      <c r="C11" s="117" t="str">
        <f>IF($B11="","",IF(COUNTIF(Trial_Balance!$B$6:$B$30,$B11)=0,"",SUMIF(Trial_Balance!$B$6:$B$30,$B11,Trial_Balance!$C$6:$C$30)+SUMIF(Trial_Balance!$B$6:$B$30,$B11,Trial_Balance!$D$6:$D$30)))</f>
        <v/>
      </c>
      <c r="D11" s="118">
        <f>SUM(C7:C10)</f>
        <v>279500</v>
      </c>
    </row>
    <row r="12">
      <c r="B12" s="119"/>
      <c r="C12" s="122" t="str">
        <f>IF($B12="","",IF(COUNTIF(Trial_Balance!$B$6:$B$30,$B12)=0,"",SUMIF(Trial_Balance!$B$6:$B$30,$B12,Trial_Balance!$C$6:$C$30)+SUMIF(Trial_Balance!$B$6:$B$30,$B12,Trial_Balance!$D$6:$D$30)))</f>
        <v/>
      </c>
      <c r="D12" s="123"/>
    </row>
    <row r="13">
      <c r="B13" s="116" t="str">
        <f>Trial_Balance!B19</f>
        <v>Cost of Goods Sold</v>
      </c>
      <c r="C13" s="117"/>
      <c r="D13" s="118">
        <f>Trial_Balance!D19</f>
        <v>39000</v>
      </c>
    </row>
    <row r="14">
      <c r="B14" s="132" t="s">
        <v>683</v>
      </c>
      <c r="C14" s="122" t="str">
        <f>IF($B14="","",IF(COUNTIF(Trial_Balance!$B$6:$B$30,$B14)=0,"",SUMIF(Trial_Balance!$B$6:$B$30,$B14,Trial_Balance!$C$6:$C$30)+SUMIF(Trial_Balance!$B$6:$B$30,$B14,Trial_Balance!$D$6:$D$30)))</f>
        <v/>
      </c>
      <c r="D14" s="123">
        <f>D11-D13</f>
        <v>240500</v>
      </c>
    </row>
    <row r="15">
      <c r="B15" s="116"/>
      <c r="C15" s="117" t="str">
        <f>IF($B15="","",IF(COUNTIF(Trial_Balance!$B$6:$B$30,$B15)=0,"",SUMIF(Trial_Balance!$B$6:$B$30,$B15,Trial_Balance!$C$6:$C$30)+SUMIF(Trial_Balance!$B$6:$B$30,$B15,Trial_Balance!$D$6:$D$30)))</f>
        <v/>
      </c>
      <c r="D15" s="118"/>
    </row>
    <row r="16">
      <c r="B16" s="114" t="s">
        <v>684</v>
      </c>
      <c r="D16" s="115"/>
    </row>
    <row r="17">
      <c r="B17" s="116" t="str">
        <f>Trial_Balance!B20</f>
        <v>Wages Expense</v>
      </c>
      <c r="C17" s="117">
        <f>IF($B17="","",IF(COUNTIF(Trial_Balance!$B$6:$B$30,$B17)=0,"",SUMIF(Trial_Balance!$B$6:$B$30,$B17,Trial_Balance!$C$6:$C$30)+SUMIF(Trial_Balance!$B$6:$B$30,$B17,Trial_Balance!$D$6:$D$30)))</f>
        <v>117400</v>
      </c>
      <c r="D17" s="118"/>
    </row>
    <row r="18">
      <c r="B18" s="119" t="str">
        <f>Trial_Balance!B21</f>
        <v>Rent Expense</v>
      </c>
      <c r="C18" s="122">
        <f>IF($B18="","",IF(COUNTIF(Trial_Balance!$B$6:$B$30,$B18)=0,"",SUMIF(Trial_Balance!$B$6:$B$30,$B18,Trial_Balance!$C$6:$C$30)+SUMIF(Trial_Balance!$B$6:$B$30,$B18,Trial_Balance!$D$6:$D$30)))</f>
        <v>64800</v>
      </c>
      <c r="D18" s="123"/>
    </row>
    <row r="19">
      <c r="B19" s="116" t="str">
        <f>Trial_Balance!B22</f>
        <v>Insurance Expense</v>
      </c>
      <c r="C19" s="117">
        <f>IF($B19="","",IF(COUNTIF(Trial_Balance!$B$6:$B$30,$B19)=0,"",SUMIF(Trial_Balance!$B$6:$B$30,$B19,Trial_Balance!$C$6:$C$30)+SUMIF(Trial_Balance!$B$6:$B$30,$B19,Trial_Balance!$D$6:$D$30)))</f>
        <v>7200</v>
      </c>
      <c r="D19" s="118"/>
    </row>
    <row r="20">
      <c r="B20" s="119" t="str">
        <f>Trial_Balance!B23</f>
        <v>Utilities Expense</v>
      </c>
      <c r="C20" s="122">
        <f>IF($B20="","",IF(COUNTIF(Trial_Balance!$B$6:$B$30,$B20)=0,"",SUMIF(Trial_Balance!$B$6:$B$30,$B20,Trial_Balance!$C$6:$C$30)+SUMIF(Trial_Balance!$B$6:$B$30,$B20,Trial_Balance!$D$6:$D$30)))</f>
        <v>11360</v>
      </c>
      <c r="D20" s="123"/>
    </row>
    <row r="21">
      <c r="B21" s="116" t="str">
        <f>Trial_Balance!B24</f>
        <v>License and Permit Expense</v>
      </c>
      <c r="C21" s="117">
        <f>IF($B21="","",IF(COUNTIF(Trial_Balance!$B$6:$B$30,$B21)=0,"",SUMIF(Trial_Balance!$B$6:$B$30,$B21,Trial_Balance!$C$6:$C$30)+SUMIF(Trial_Balance!$B$6:$B$30,$B21,Trial_Balance!$D$6:$D$30)))</f>
        <v>1500</v>
      </c>
      <c r="D21" s="118"/>
    </row>
    <row r="22">
      <c r="B22" s="119" t="str">
        <f>Trial_Balance!B25</f>
        <v>Office and Admin Expense</v>
      </c>
      <c r="C22" s="122">
        <f>IF($B22="","",IF(COUNTIF(Trial_Balance!$B$6:$B$30,$B22)=0,"",SUMIF(Trial_Balance!$B$6:$B$30,$B22,Trial_Balance!$C$6:$C$30)+SUMIF(Trial_Balance!$B$6:$B$30,$B22,Trial_Balance!$D$6:$D$30)))</f>
        <v>2040</v>
      </c>
      <c r="D22" s="123"/>
    </row>
    <row r="23">
      <c r="B23" s="116" t="str">
        <f>Trial_Balance!B26</f>
        <v>Marketing Expense</v>
      </c>
      <c r="C23" s="117">
        <f>IF($B23="","",IF(COUNTIF(Trial_Balance!$B$6:$B$30,$B23)=0,"",SUMIF(Trial_Balance!$B$6:$B$30,$B23,Trial_Balance!$C$6:$C$30)+SUMIF(Trial_Balance!$B$6:$B$30,$B23,Trial_Balance!$D$6:$D$30)))</f>
        <v>2200</v>
      </c>
      <c r="D23" s="118"/>
    </row>
    <row r="24">
      <c r="B24" s="119" t="str">
        <f>Trial_Balance!B27</f>
        <v>Repairs and Maintenance Expense</v>
      </c>
      <c r="C24" s="122">
        <f>IF($B24="","",IF(COUNTIF(Trial_Balance!$B$6:$B$30,$B24)=0,"",SUMIF(Trial_Balance!$B$6:$B$30,$B24,Trial_Balance!$C$6:$C$30)+SUMIF(Trial_Balance!$B$6:$B$30,$B24,Trial_Balance!$D$6:$D$30)))</f>
        <v>20600</v>
      </c>
      <c r="D24" s="123"/>
    </row>
    <row r="25">
      <c r="B25" s="116" t="str">
        <f>Trial_Balance!B28</f>
        <v>School Group Expense</v>
      </c>
      <c r="C25" s="117">
        <f>IF($B25="","",IF(COUNTIF(Trial_Balance!$B$6:$B$30,$B25)=0,"",SUMIF(Trial_Balance!$B$6:$B$30,$B25,Trial_Balance!$C$6:$C$30)+SUMIF(Trial_Balance!$B$6:$B$30,$B25,Trial_Balance!$D$6:$D$30)))</f>
        <v>4170</v>
      </c>
      <c r="D25" s="118"/>
    </row>
    <row r="26">
      <c r="B26" s="119" t="str">
        <f>Trial_Balance!B29</f>
        <v>Training Expense</v>
      </c>
      <c r="C26" s="122">
        <f>IF($B26="","",IF(COUNTIF(Trial_Balance!$B$6:$B$30,$B26)=0,"",SUMIF(Trial_Balance!$B$6:$B$30,$B26,Trial_Balance!$C$6:$C$30)+SUMIF(Trial_Balance!$B$6:$B$30,$B26,Trial_Balance!$D$6:$D$30)))</f>
        <v>1800</v>
      </c>
      <c r="D26" s="123"/>
    </row>
    <row r="27">
      <c r="B27" s="131" t="s">
        <v>687</v>
      </c>
      <c r="C27" s="117" t="str">
        <f>IF($B27="","",IF(COUNTIF(Trial_Balance!$B$6:$B$30,$B27)=0,"",SUMIF(Trial_Balance!$B$6:$B$30,$B27,Trial_Balance!$C$6:$C$30)+SUMIF(Trial_Balance!$B$6:$B$30,$B27,Trial_Balance!$D$6:$D$30)))</f>
        <v/>
      </c>
      <c r="D27" s="118">
        <f>SUM(C17:C26)</f>
        <v>233070</v>
      </c>
    </row>
    <row r="28">
      <c r="B28" s="132" t="s">
        <v>690</v>
      </c>
      <c r="C28" s="122" t="str">
        <f>IF($B28="","",IF(COUNTIF(Trial_Balance!$B$6:$B$30,$B28)=0,"",SUMIF(Trial_Balance!$B$6:$B$30,$B28,Trial_Balance!$C$6:$C$30)+SUMIF(Trial_Balance!$B$6:$B$30,$B28,Trial_Balance!$D$6:$D$30)))</f>
        <v/>
      </c>
      <c r="D28" s="123">
        <f>D14-D27</f>
        <v>7430</v>
      </c>
    </row>
    <row r="29">
      <c r="B29" s="116"/>
      <c r="C29" s="117" t="str">
        <f>IF($B29="","",IF(COUNTIF(Trial_Balance!$B$6:$B$30,$B29)=0,"",SUMIF(Trial_Balance!$B$6:$B$30,$B29,Trial_Balance!$C$6:$C$30)+SUMIF(Trial_Balance!$B$6:$B$30,$B29,Trial_Balance!$D$6:$D$30)))</f>
        <v/>
      </c>
      <c r="D29" s="118"/>
    </row>
    <row r="30">
      <c r="B30" s="114" t="s">
        <v>693</v>
      </c>
      <c r="D30" s="115"/>
    </row>
    <row r="31">
      <c r="B31" s="116" t="str">
        <f>Trial_Balance!B30</f>
        <v>Interest Expense</v>
      </c>
      <c r="C31" s="117"/>
      <c r="D31" s="118">
        <f>Trial_Balance!D30</f>
        <v>2700</v>
      </c>
    </row>
    <row r="32">
      <c r="B32" s="119"/>
      <c r="C32" s="122" t="str">
        <f>IF($B32="","",IF(COUNTIF(Trial_Balance!$B$6:$B$30,$B32)=0,"",SUMIF(Trial_Balance!$B$6:$B$30,$B32,Trial_Balance!$C$6:$C$30)+SUMIF(Trial_Balance!$B$6:$B$30,$B32,Trial_Balance!$D$6:$D$30)))</f>
        <v/>
      </c>
      <c r="D32" s="123"/>
    </row>
    <row r="33">
      <c r="B33" s="145" t="s">
        <v>694</v>
      </c>
      <c r="C33" s="146" t="str">
        <f>IF($B33="","",IF(COUNTIF(Trial_Balance!$B$6:$B$30,$B33)=0,"",SUMIF(Trial_Balance!$B$6:$B$30,$B33,Trial_Balance!$C$6:$C$30)+SUMIF(Trial_Balance!$B$6:$B$30,$B33,Trial_Balance!$D$6:$D$30)))</f>
        <v/>
      </c>
      <c r="D33" s="147">
        <f>D28-D31</f>
        <v>4730</v>
      </c>
    </row>
    <row r="35">
      <c r="B35" s="148" t="s">
        <v>695</v>
      </c>
      <c r="C35" s="144" t="str">
        <f>IF(D33=SUM(Trial_Balance!C15:C18)-SUM(Trial_Balance!D19:D30),"OK","ERROR")</f>
        <v>OK</v>
      </c>
    </row>
  </sheetData>
  <mergeCells count="6">
    <mergeCell ref="B2:D2"/>
    <mergeCell ref="B3:D3"/>
    <mergeCell ref="B4:D4"/>
    <mergeCell ref="B6:D6"/>
    <mergeCell ref="B16:D16"/>
    <mergeCell ref="B30:D30"/>
  </mergeCells>
  <conditionalFormatting sqref="C35">
    <cfRule type="cellIs" dxfId="15" priority="1" operator="equal">
      <formula>"OK"</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s>
  <sheetData>
    <row r="2">
      <c r="B2" s="133" t="str">
        <f>Trial_Balance!B2</f>
        <v>Verde Valley Ventures</v>
      </c>
      <c r="C2" s="96"/>
    </row>
    <row r="3">
      <c r="B3" s="134" t="s">
        <v>685</v>
      </c>
      <c r="C3" s="98"/>
    </row>
    <row r="4">
      <c r="B4" s="135" t="s">
        <v>678</v>
      </c>
      <c r="C4" s="101"/>
    </row>
    <row r="5">
      <c r="B5" s="136" t="s">
        <v>675</v>
      </c>
      <c r="C5" s="137" t="s">
        <v>679</v>
      </c>
    </row>
    <row r="6">
      <c r="B6" s="138" t="s">
        <v>686</v>
      </c>
      <c r="C6" s="139">
        <f>IF(COUNTIFS(Journal!$B$3:$B$200,"&gt;0",Journal!$B$3:$B$200,"&lt;"&amp;DATE(2024,1,1))=0,0,"CHECK")</f>
        <v>0</v>
      </c>
    </row>
    <row r="7">
      <c r="B7" s="138" t="s">
        <v>688</v>
      </c>
      <c r="C7" s="140">
        <f>Income_Statement!D33</f>
        <v>4730</v>
      </c>
    </row>
    <row r="8">
      <c r="B8" s="138" t="s">
        <v>689</v>
      </c>
      <c r="C8" s="140">
        <f>SUMIFS(Journal!$D$3:$D$200,Journal!$E$3:$E$200,"Owner's Drawings")</f>
        <v>0</v>
      </c>
    </row>
    <row r="9">
      <c r="B9" s="141" t="s">
        <v>691</v>
      </c>
      <c r="C9" s="142">
        <f>C6+C7-C8</f>
        <v>4730</v>
      </c>
    </row>
    <row r="11">
      <c r="B11" s="143" t="s">
        <v>692</v>
      </c>
      <c r="C11" s="144" t="str">
        <f>IF(C9=C6+Income_Statement!D33-C8,"OK","ERROR")</f>
        <v>OK</v>
      </c>
    </row>
  </sheetData>
  <mergeCells count="3">
    <mergeCell ref="B2:C2"/>
    <mergeCell ref="B3:C3"/>
    <mergeCell ref="B4:C4"/>
  </mergeCells>
  <conditionalFormatting sqref="C11">
    <cfRule type="cellIs" dxfId="15" priority="1" operator="equal">
      <formula>"OK"</formula>
    </cfRule>
  </conditionalFormatting>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s>
  <sheetData>
    <row r="2">
      <c r="B2" s="149" t="str">
        <f>Trial_Balance!B2</f>
        <v>Verde Valley Ventures</v>
      </c>
      <c r="C2" s="95"/>
      <c r="D2" s="96"/>
    </row>
    <row r="3">
      <c r="B3" s="150" t="s">
        <v>696</v>
      </c>
      <c r="D3" s="98"/>
    </row>
    <row r="4">
      <c r="B4" s="151" t="s">
        <v>697</v>
      </c>
      <c r="C4" s="100"/>
      <c r="D4" s="101"/>
    </row>
    <row r="5">
      <c r="B5" s="152" t="s">
        <v>675</v>
      </c>
      <c r="C5" s="153" t="s">
        <v>11</v>
      </c>
      <c r="D5" s="154" t="s">
        <v>679</v>
      </c>
    </row>
    <row r="6">
      <c r="B6" s="155" t="s">
        <v>698</v>
      </c>
      <c r="D6" s="156"/>
    </row>
    <row r="7">
      <c r="B7" s="157" t="s">
        <v>699</v>
      </c>
      <c r="C7" s="122"/>
      <c r="D7" s="123"/>
    </row>
    <row r="8">
      <c r="B8" s="158" t="str">
        <f>Trial_Balance!B6</f>
        <v>Cash</v>
      </c>
      <c r="C8" s="159">
        <f>Trial_Balance!D6</f>
        <v>53430</v>
      </c>
      <c r="D8" s="160"/>
    </row>
    <row r="9">
      <c r="B9" s="119" t="str">
        <f>Trial_Balance!B7</f>
        <v>Accounts Receivable</v>
      </c>
      <c r="C9" s="122">
        <f>Trial_Balance!D7</f>
        <v>5000</v>
      </c>
      <c r="D9" s="123"/>
    </row>
    <row r="10">
      <c r="B10" s="158" t="str">
        <f>Trial_Balance!B8</f>
        <v>Inventory</v>
      </c>
      <c r="C10" s="159">
        <f>Trial_Balance!D8</f>
        <v>6000</v>
      </c>
      <c r="D10" s="160"/>
    </row>
    <row r="11">
      <c r="B11" s="132" t="s">
        <v>700</v>
      </c>
      <c r="C11" s="122"/>
      <c r="D11" s="123">
        <f>SUM(C8:C10)</f>
        <v>64430</v>
      </c>
    </row>
    <row r="12">
      <c r="B12" s="161" t="s">
        <v>701</v>
      </c>
      <c r="C12" s="159"/>
      <c r="D12" s="160"/>
    </row>
    <row r="13">
      <c r="B13" s="119" t="str">
        <f>Trial_Balance!B9</f>
        <v>Security Deposit</v>
      </c>
      <c r="C13" s="122">
        <f>Trial_Balance!D9</f>
        <v>6000</v>
      </c>
      <c r="D13" s="123"/>
    </row>
    <row r="14">
      <c r="B14" s="158" t="str">
        <f>Trial_Balance!B10</f>
        <v>Equipment</v>
      </c>
      <c r="C14" s="159">
        <f>Trial_Balance!D10</f>
        <v>58800</v>
      </c>
      <c r="D14" s="160"/>
    </row>
    <row r="15">
      <c r="B15" s="132" t="s">
        <v>702</v>
      </c>
      <c r="C15" s="122"/>
      <c r="D15" s="123">
        <f>SUM(C13:C14)</f>
        <v>64800</v>
      </c>
    </row>
    <row r="16">
      <c r="B16" s="161" t="s">
        <v>703</v>
      </c>
      <c r="C16" s="159"/>
      <c r="D16" s="160">
        <f>D11+D15</f>
        <v>129230</v>
      </c>
    </row>
    <row r="17">
      <c r="B17" s="119"/>
      <c r="C17" s="122"/>
      <c r="D17" s="123"/>
    </row>
    <row r="18">
      <c r="B18" s="155" t="s">
        <v>704</v>
      </c>
      <c r="D18" s="156"/>
    </row>
    <row r="19">
      <c r="B19" s="157" t="s">
        <v>706</v>
      </c>
      <c r="C19" s="122"/>
      <c r="D19" s="123"/>
    </row>
    <row r="20">
      <c r="B20" s="158" t="str">
        <f>Trial_Balance!B11</f>
        <v>Accounts Payable</v>
      </c>
      <c r="C20" s="159">
        <f>Trial_Balance!C11</f>
        <v>6000</v>
      </c>
      <c r="D20" s="160"/>
    </row>
    <row r="21">
      <c r="B21" s="119" t="str">
        <f>Trial_Balance!B12</f>
        <v>Unearned Revenue</v>
      </c>
      <c r="C21" s="122">
        <f>Trial_Balance!C12</f>
        <v>6000</v>
      </c>
      <c r="D21" s="123"/>
    </row>
    <row r="22">
      <c r="B22" s="168" t="str">
        <f>Trial_Balance!B13&amp;" - current portion"</f>
        <v>Notes Payable - current portion</v>
      </c>
      <c r="C22" s="171">
        <f>IFERROR(__xludf.DUMMYFUNCTION("VALUE(SUBSTITUTE(REGEXEXTRACT(Raw_Data!J6,""Instalments of \$([\d,]+)""),"","",""""))"),7500.0)</f>
        <v>7500</v>
      </c>
      <c r="D22" s="160"/>
    </row>
    <row r="23">
      <c r="B23" s="132" t="s">
        <v>708</v>
      </c>
      <c r="C23" s="122"/>
      <c r="D23" s="123">
        <f>SUM(C20:C22)</f>
        <v>19500</v>
      </c>
    </row>
    <row r="24">
      <c r="B24" s="161" t="s">
        <v>709</v>
      </c>
      <c r="C24" s="159"/>
      <c r="D24" s="160"/>
    </row>
    <row r="25">
      <c r="B25" s="132" t="str">
        <f>Trial_Balance!B13&amp;" - long-term"</f>
        <v>Notes Payable - long-term</v>
      </c>
      <c r="C25" s="122">
        <f>Trial_Balance!C13-C22</f>
        <v>55000</v>
      </c>
      <c r="D25" s="123"/>
    </row>
    <row r="26">
      <c r="B26" s="168" t="s">
        <v>711</v>
      </c>
      <c r="C26" s="159"/>
      <c r="D26" s="160">
        <f>C25</f>
        <v>55000</v>
      </c>
    </row>
    <row r="27">
      <c r="B27" s="157" t="s">
        <v>712</v>
      </c>
      <c r="C27" s="122"/>
      <c r="D27" s="123">
        <f>D23+D26</f>
        <v>74500</v>
      </c>
    </row>
    <row r="28">
      <c r="B28" s="158"/>
      <c r="C28" s="159"/>
      <c r="D28" s="160"/>
    </row>
    <row r="29">
      <c r="B29" s="114" t="s">
        <v>713</v>
      </c>
      <c r="D29" s="115"/>
    </row>
    <row r="30">
      <c r="B30" s="158" t="str">
        <f>Trial_Balance!B14</f>
        <v>Owner's Capital</v>
      </c>
      <c r="C30" s="159">
        <f>Trial_Balance!C14</f>
        <v>50000</v>
      </c>
      <c r="D30" s="160"/>
    </row>
    <row r="31">
      <c r="B31" s="132" t="s">
        <v>714</v>
      </c>
      <c r="C31" s="122">
        <f>Retained_Earnings!C9</f>
        <v>4730</v>
      </c>
      <c r="D31" s="123"/>
    </row>
    <row r="32">
      <c r="B32" s="161" t="s">
        <v>715</v>
      </c>
      <c r="C32" s="159"/>
      <c r="D32" s="160">
        <f>SUM(C30:C31)</f>
        <v>54730</v>
      </c>
    </row>
    <row r="33">
      <c r="B33" s="119"/>
      <c r="C33" s="122"/>
      <c r="D33" s="123"/>
    </row>
    <row r="34">
      <c r="B34" s="172" t="s">
        <v>717</v>
      </c>
      <c r="C34" s="174"/>
      <c r="D34" s="175">
        <f>D27+D32</f>
        <v>129230</v>
      </c>
    </row>
    <row r="36">
      <c r="B36" s="176" t="s">
        <v>719</v>
      </c>
      <c r="C36" s="144" t="str">
        <f>IF(ROUND(D16-D34,2)=0,"BALANCED","NOT BALANCED")</f>
        <v>BALANCED</v>
      </c>
    </row>
  </sheetData>
  <mergeCells count="6">
    <mergeCell ref="B2:D2"/>
    <mergeCell ref="B3:D3"/>
    <mergeCell ref="B4:D4"/>
    <mergeCell ref="B6:D6"/>
    <mergeCell ref="B18:D18"/>
    <mergeCell ref="B29:D29"/>
  </mergeCells>
  <conditionalFormatting sqref="C36">
    <cfRule type="cellIs" dxfId="15" priority="1" operator="equal">
      <formula>"Balanced"</formula>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63"/>
  </cols>
  <sheetData>
    <row r="1">
      <c r="A1" s="162"/>
    </row>
    <row r="2">
      <c r="B2" s="163" t="str">
        <f>Trial_Balance!B2</f>
        <v>Verde Valley Ventures</v>
      </c>
      <c r="C2" s="95"/>
      <c r="D2" s="96"/>
    </row>
    <row r="3">
      <c r="B3" s="164" t="s">
        <v>705</v>
      </c>
      <c r="D3" s="98"/>
    </row>
    <row r="4">
      <c r="B4" s="165" t="s">
        <v>678</v>
      </c>
      <c r="C4" s="100"/>
      <c r="D4" s="101"/>
    </row>
    <row r="5">
      <c r="B5" s="166" t="s">
        <v>675</v>
      </c>
      <c r="C5" s="167" t="s">
        <v>11</v>
      </c>
      <c r="D5" s="169" t="s">
        <v>679</v>
      </c>
    </row>
    <row r="6">
      <c r="B6" s="170" t="s">
        <v>707</v>
      </c>
      <c r="C6" s="86"/>
      <c r="D6" s="140"/>
    </row>
    <row r="7">
      <c r="B7" s="138" t="str">
        <f>Income_Statement!B33</f>
        <v>Net Income</v>
      </c>
      <c r="C7" s="86">
        <f>Income_Statement!D33</f>
        <v>4730</v>
      </c>
      <c r="D7" s="140"/>
    </row>
    <row r="8">
      <c r="B8" s="138" t="s">
        <v>710</v>
      </c>
      <c r="C8" s="86"/>
      <c r="D8" s="140"/>
    </row>
    <row r="9">
      <c r="B9" s="138" t="str">
        <f>"(Increase) in "&amp;Trial_Balance!B7</f>
        <v>(Increase) in Accounts Receivable</v>
      </c>
      <c r="C9" s="86">
        <f>-Trial_Balance!D7</f>
        <v>-5000</v>
      </c>
      <c r="D9" s="140"/>
    </row>
    <row r="10">
      <c r="B10" s="138" t="str">
        <f>"(Increase) in "&amp;Trial_Balance!B8</f>
        <v>(Increase) in Inventory</v>
      </c>
      <c r="C10" s="86">
        <f>-Trial_Balance!D8</f>
        <v>-6000</v>
      </c>
      <c r="D10" s="140"/>
    </row>
    <row r="11">
      <c r="B11" s="138" t="str">
        <f>"Increase in "&amp;Trial_Balance!B11</f>
        <v>Increase in Accounts Payable</v>
      </c>
      <c r="C11" s="86">
        <f>Trial_Balance!C11</f>
        <v>6000</v>
      </c>
      <c r="D11" s="140"/>
    </row>
    <row r="12">
      <c r="B12" s="138" t="str">
        <f>"Increase in "&amp;Trial_Balance!B12</f>
        <v>Increase in Unearned Revenue</v>
      </c>
      <c r="C12" s="86">
        <f>Trial_Balance!C12</f>
        <v>6000</v>
      </c>
      <c r="D12" s="140"/>
    </row>
    <row r="13">
      <c r="B13" s="138" t="s">
        <v>716</v>
      </c>
      <c r="C13" s="86"/>
      <c r="D13" s="140">
        <f>SUM(C7:C12)</f>
        <v>5730</v>
      </c>
    </row>
    <row r="14">
      <c r="B14" s="173"/>
      <c r="C14" s="86"/>
      <c r="D14" s="140"/>
    </row>
    <row r="15">
      <c r="B15" s="170" t="s">
        <v>718</v>
      </c>
      <c r="C15" s="86"/>
      <c r="D15" s="140"/>
    </row>
    <row r="16">
      <c r="B16" s="138" t="str">
        <f>"Purchase of "&amp;Trial_Balance!B10&amp;" (cash part only)"</f>
        <v>Purchase of Equipment (cash part only)</v>
      </c>
      <c r="C16" s="86">
        <f>-(Trial_Balance!D10-SUMIFS(Journal!$D$3:$D$200,Journal!$E$3:$E$200,"Equipment",Journal!$F$3:$F$200,"Notes Payable"))</f>
        <v>-38800</v>
      </c>
      <c r="D16" s="140"/>
    </row>
    <row r="17">
      <c r="B17" s="138" t="str">
        <f>Trial_Balance!B9&amp;" paid"</f>
        <v>Security Deposit paid</v>
      </c>
      <c r="C17" s="86">
        <f>-Trial_Balance!D9</f>
        <v>-6000</v>
      </c>
      <c r="D17" s="140"/>
    </row>
    <row r="18">
      <c r="B18" s="138" t="s">
        <v>720</v>
      </c>
      <c r="C18" s="86"/>
      <c r="D18" s="140">
        <f>SUM(C16:C17)</f>
        <v>-44800</v>
      </c>
    </row>
    <row r="19">
      <c r="B19" s="173"/>
      <c r="C19" s="86"/>
      <c r="D19" s="140"/>
    </row>
    <row r="20">
      <c r="B20" s="170" t="s">
        <v>721</v>
      </c>
      <c r="C20" s="86"/>
      <c r="D20" s="140"/>
    </row>
    <row r="21">
      <c r="B21" s="138" t="str">
        <f>Trial_Balance!B14&amp;" contribution"</f>
        <v>Owner's Capital contribution</v>
      </c>
      <c r="C21" s="86">
        <f>SUMIFS(Journal!$D$3:$D$200,Journal!$E$3:$E$200,"Cash",Journal!$F$3:$F$200,"Owner's Capital")</f>
        <v>50000</v>
      </c>
      <c r="D21" s="140"/>
    </row>
    <row r="22">
      <c r="B22" s="138" t="str">
        <f>Trial_Balance!B13&amp;" received"</f>
        <v>Notes Payable received</v>
      </c>
      <c r="C22" s="86">
        <f>SUMIFS(Journal!$D$3:$D$200,Journal!$E$3:$E$200,"Cash",Journal!$F$3:$F$200,"Notes Payable")</f>
        <v>50000</v>
      </c>
      <c r="D22" s="140"/>
    </row>
    <row r="23">
      <c r="B23" s="138" t="str">
        <f>Trial_Balance!B13&amp;" repaid"</f>
        <v>Notes Payable repaid</v>
      </c>
      <c r="C23" s="86">
        <f>-SUMIFS(Journal!$D$3:$D$200,Journal!$E$3:$E$200,"Notes Payable",Journal!$F$3:$F$200,"Cash")</f>
        <v>-7500</v>
      </c>
      <c r="D23" s="140"/>
    </row>
    <row r="24">
      <c r="B24" s="138" t="s">
        <v>722</v>
      </c>
      <c r="C24" s="86"/>
      <c r="D24" s="140">
        <f>SUM(C21:C23)</f>
        <v>92500</v>
      </c>
    </row>
    <row r="25">
      <c r="B25" s="173"/>
      <c r="C25" s="86"/>
      <c r="D25" s="140"/>
    </row>
    <row r="26">
      <c r="B26" s="138" t="s">
        <v>723</v>
      </c>
      <c r="C26" s="86"/>
      <c r="D26" s="140">
        <f>D13+D18+D24</f>
        <v>53430</v>
      </c>
    </row>
    <row r="27">
      <c r="B27" s="138" t="str">
        <f>Trial_Balance!B6&amp;", January 1, 2024"</f>
        <v>Cash, January 1, 2024</v>
      </c>
      <c r="C27" s="86"/>
      <c r="D27" s="139">
        <f>SUMIFS(Journal!$D$3:$D$200,Journal!$B$3:$B$200,"&lt;"&amp;DATE(2024,1,1),Journal!$E$3:$E$200,"Cash")-SUMIFS(Journal!$D$3:$D$200,Journal!$B$3:$B$200,"&lt;"&amp;DATE(2024,1,1),Journal!$F$3:$F$200,"Cash")</f>
        <v>0</v>
      </c>
    </row>
    <row r="28">
      <c r="B28" s="138" t="str">
        <f>Trial_Balance!B6&amp;", December 31, 2024"</f>
        <v>Cash, December 31, 2024</v>
      </c>
      <c r="C28" s="86"/>
      <c r="D28" s="140">
        <f>D26+D27</f>
        <v>53430</v>
      </c>
    </row>
    <row r="29">
      <c r="B29" s="173"/>
      <c r="C29" s="86"/>
      <c r="D29" s="140"/>
    </row>
    <row r="30">
      <c r="B30" s="138" t="s">
        <v>724</v>
      </c>
      <c r="C30" s="86"/>
      <c r="D30" s="140"/>
    </row>
    <row r="31">
      <c r="B31" s="141" t="str">
        <f>Trial_Balance!B10&amp;" acquired with seller note payable"</f>
        <v>Equipment acquired with seller note payable</v>
      </c>
      <c r="C31" s="177">
        <f>SUMIFS(Journal!$D$3:$D$200,Journal!$E$3:$E$200,"Equipment",Journal!$F$3:$F$200,"Notes Payable")</f>
        <v>20000</v>
      </c>
      <c r="D31" s="142"/>
    </row>
    <row r="33">
      <c r="B33" s="178" t="s">
        <v>725</v>
      </c>
      <c r="C33" s="144" t="str">
        <f>IF(D28=Trial_Balance!D6,"OK","ERROR")</f>
        <v>OK</v>
      </c>
    </row>
  </sheetData>
  <mergeCells count="3">
    <mergeCell ref="B2:D2"/>
    <mergeCell ref="B3:D3"/>
    <mergeCell ref="B4:D4"/>
  </mergeCells>
  <conditionalFormatting sqref="C33">
    <cfRule type="cellIs" dxfId="15" priority="1" operator="equal">
      <formula>"ok"</formula>
    </cfRule>
  </conditionalFormatting>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38"/>
    <col customWidth="1" min="4" max="4" width="74.38"/>
    <col customWidth="1" min="5" max="8" width="25.38"/>
  </cols>
  <sheetData>
    <row r="1">
      <c r="A1" s="179" t="str">
        <f>Trial_Balance!B2&amp;" – Year-End Financial Report 2024"</f>
        <v>Verde Valley Ventures – Year-End Financial Report 2024</v>
      </c>
      <c r="E1" s="90"/>
      <c r="F1" s="90"/>
      <c r="G1" s="90"/>
      <c r="H1" s="90"/>
    </row>
    <row r="2">
      <c r="A2" s="180"/>
      <c r="B2" s="180"/>
      <c r="C2" s="180"/>
      <c r="D2" s="180"/>
      <c r="E2" s="90"/>
      <c r="F2" s="90"/>
      <c r="G2" s="90"/>
      <c r="H2" s="90"/>
    </row>
    <row r="3">
      <c r="A3" s="181" t="s">
        <v>726</v>
      </c>
      <c r="E3" s="90"/>
      <c r="F3" s="90"/>
      <c r="G3" s="90"/>
      <c r="H3" s="90"/>
    </row>
    <row r="4">
      <c r="A4" s="182" t="s">
        <v>727</v>
      </c>
      <c r="B4" s="182" t="s">
        <v>728</v>
      </c>
      <c r="C4" s="182" t="s">
        <v>729</v>
      </c>
      <c r="D4" s="182" t="s">
        <v>730</v>
      </c>
      <c r="E4" s="90"/>
      <c r="F4" s="90"/>
      <c r="G4" s="90"/>
      <c r="H4" s="90"/>
    </row>
    <row r="5">
      <c r="A5" s="53" t="s">
        <v>731</v>
      </c>
      <c r="B5" s="53" t="s">
        <v>732</v>
      </c>
      <c r="C5" s="183">
        <f>ROUND(Balance_Sheet!D11/Balance_Sheet!D23,2)</f>
        <v>3.3</v>
      </c>
      <c r="D5" s="53" t="s">
        <v>733</v>
      </c>
      <c r="E5" s="90"/>
      <c r="F5" s="90"/>
      <c r="G5" s="90"/>
      <c r="H5" s="90"/>
    </row>
    <row r="6">
      <c r="A6" s="184" t="s">
        <v>734</v>
      </c>
      <c r="B6" s="184" t="s">
        <v>735</v>
      </c>
      <c r="C6" s="180">
        <f>ROUND((Balance_Sheet!C8+Balance_Sheet!C9)/Balance_Sheet!D23,2)</f>
        <v>3</v>
      </c>
      <c r="D6" s="184" t="s">
        <v>736</v>
      </c>
      <c r="E6" s="90"/>
      <c r="F6" s="90"/>
      <c r="G6" s="90"/>
      <c r="H6" s="90"/>
    </row>
    <row r="7">
      <c r="A7" s="53" t="s">
        <v>737</v>
      </c>
      <c r="B7" s="53" t="s">
        <v>738</v>
      </c>
      <c r="C7" s="183">
        <f>ROUND(Balance_Sheet!D27/Balance_Sheet!D16*100,1)</f>
        <v>57.6</v>
      </c>
      <c r="D7" s="53" t="s">
        <v>739</v>
      </c>
      <c r="E7" s="90"/>
      <c r="F7" s="90"/>
      <c r="G7" s="90"/>
      <c r="H7" s="90"/>
    </row>
    <row r="8">
      <c r="A8" s="184" t="s">
        <v>740</v>
      </c>
      <c r="B8" s="184" t="s">
        <v>741</v>
      </c>
      <c r="C8" s="180">
        <f>ROUND(Balance_Sheet!D27/Balance_Sheet!D32,2)</f>
        <v>1.36</v>
      </c>
      <c r="D8" s="184" t="s">
        <v>742</v>
      </c>
      <c r="E8" s="90"/>
      <c r="F8" s="90"/>
      <c r="G8" s="90"/>
      <c r="H8" s="90"/>
    </row>
    <row r="9">
      <c r="A9" s="53" t="s">
        <v>743</v>
      </c>
      <c r="B9" s="53" t="s">
        <v>744</v>
      </c>
      <c r="C9" s="183">
        <f>ROUND(Income_Statement!D33/Income_Statement!D11*100,1)</f>
        <v>1.7</v>
      </c>
      <c r="D9" s="53" t="s">
        <v>745</v>
      </c>
      <c r="E9" s="90"/>
      <c r="F9" s="90"/>
      <c r="G9" s="90"/>
      <c r="H9" s="90"/>
    </row>
    <row r="10">
      <c r="A10" s="184" t="s">
        <v>746</v>
      </c>
      <c r="B10" s="184" t="s">
        <v>747</v>
      </c>
      <c r="C10" s="180">
        <f>ROUND((Income_Statement!C9-Income_Statement!D13)/Income_Statement!C9*100,1)</f>
        <v>40</v>
      </c>
      <c r="D10" s="184" t="s">
        <v>748</v>
      </c>
      <c r="E10" s="90"/>
      <c r="F10" s="90"/>
      <c r="G10" s="90"/>
      <c r="H10" s="90"/>
    </row>
    <row r="11">
      <c r="A11" s="53" t="s">
        <v>749</v>
      </c>
      <c r="B11" s="53" t="s">
        <v>750</v>
      </c>
      <c r="C11" s="183">
        <f>ROUND(Income_Statement!D33/Balance_Sheet!D16*100,1)</f>
        <v>3.7</v>
      </c>
      <c r="D11" s="53" t="s">
        <v>751</v>
      </c>
      <c r="E11" s="90"/>
      <c r="F11" s="90"/>
      <c r="G11" s="90"/>
      <c r="H11" s="90"/>
    </row>
    <row r="12">
      <c r="A12" s="184" t="s">
        <v>752</v>
      </c>
      <c r="B12" s="184" t="s">
        <v>753</v>
      </c>
      <c r="C12" s="180">
        <f>ROUND(Income_Statement!D33/Balance_Sheet!D32*100,1)</f>
        <v>8.6</v>
      </c>
      <c r="D12" s="184" t="s">
        <v>754</v>
      </c>
      <c r="E12" s="90"/>
      <c r="F12" s="90"/>
      <c r="G12" s="90"/>
      <c r="H12" s="90"/>
    </row>
    <row r="13">
      <c r="A13" s="53" t="s">
        <v>755</v>
      </c>
      <c r="B13" s="53" t="s">
        <v>756</v>
      </c>
      <c r="C13" s="183">
        <f>ROUND(Income_Statement!D28/Income_Statement!D31,2)</f>
        <v>2.75</v>
      </c>
      <c r="D13" s="53" t="s">
        <v>757</v>
      </c>
      <c r="E13" s="90"/>
      <c r="F13" s="90"/>
      <c r="G13" s="90"/>
      <c r="H13" s="90"/>
    </row>
    <row r="14">
      <c r="A14" s="184" t="s">
        <v>758</v>
      </c>
      <c r="B14" s="184" t="s">
        <v>759</v>
      </c>
      <c r="C14" s="180">
        <f>ROUND(Income_Statement!C17/Income_Statement!D11*100,1)</f>
        <v>42</v>
      </c>
      <c r="D14" s="184" t="s">
        <v>760</v>
      </c>
      <c r="E14" s="90"/>
      <c r="F14" s="90"/>
      <c r="G14" s="90"/>
      <c r="H14" s="90"/>
    </row>
    <row r="15">
      <c r="A15" s="90"/>
      <c r="B15" s="90"/>
      <c r="C15" s="90"/>
      <c r="D15" s="90"/>
      <c r="E15" s="90"/>
      <c r="F15" s="90"/>
      <c r="G15" s="90"/>
      <c r="H15" s="90"/>
    </row>
    <row r="16">
      <c r="A16" s="186" t="s">
        <v>761</v>
      </c>
    </row>
    <row r="17">
      <c r="A17" s="181" t="s">
        <v>763</v>
      </c>
      <c r="B17" s="181" t="s">
        <v>764</v>
      </c>
      <c r="C17" s="187" t="str">
        <f>Trial_Balance!B15</f>
        <v>Equipment Rental Revenue</v>
      </c>
      <c r="D17" s="187" t="str">
        <f>Trial_Balance!B16</f>
        <v>Tour Revenue</v>
      </c>
      <c r="E17" s="187" t="str">
        <f>Trial_Balance!B17</f>
        <v>Retail Sales Revenue</v>
      </c>
      <c r="F17" s="187" t="str">
        <f>Trial_Balance!B18</f>
        <v>Event Revenue</v>
      </c>
      <c r="G17" s="181" t="s">
        <v>769</v>
      </c>
      <c r="H17" s="181" t="s">
        <v>771</v>
      </c>
      <c r="I17" s="192" t="s">
        <v>772</v>
      </c>
    </row>
    <row r="18">
      <c r="A18" s="193">
        <v>1.0</v>
      </c>
      <c r="B18" s="194" t="str">
        <f t="shared" ref="B18:B29" si="1">TEXT(DATE(2024,A18,1),"mmm")</f>
        <v>Jan</v>
      </c>
      <c r="C18" s="194">
        <f>SUMPRODUCT((MONTH(Journal!$B$3:$B$143)=$A18)*(Journal!$F$3:$F$143=C$17)*Journal!$D$3:$D$143)</f>
        <v>4500</v>
      </c>
      <c r="D18" s="194">
        <f>SUMPRODUCT((MONTH(Journal!$B$3:$B$143)=$A18)*(Journal!$F$3:$F$143=D$17)*Journal!$D$3:$D$143)</f>
        <v>0</v>
      </c>
      <c r="E18" s="194">
        <f>SUMPRODUCT((MONTH(Journal!$B$3:$B$143)=$A18)*(Journal!$F$3:$F$143=E$17)*Journal!$D$3:$D$143)</f>
        <v>3000</v>
      </c>
      <c r="F18" s="194">
        <f>SUMPRODUCT((MONTH(Journal!$B$3:$B$143)=$A18)*(Journal!$F$3:$F$143=F$17)*Journal!$D$3:$D$143)</f>
        <v>0</v>
      </c>
      <c r="G18" s="194">
        <f t="shared" ref="G18:G29" si="2">SUM(C18:F18)</f>
        <v>7500</v>
      </c>
      <c r="H18" s="194">
        <f>SUMPRODUCT((MONTH(Journal!$B$3:$B$143)=$A18)*((ISNUMBER(SEARCH("Expense",Journal!$E$3:$E$143)))+(Journal!$E$3:$E$143="Cost of Goods Sold"))*Journal!$D$3:$D$143)</f>
        <v>21194</v>
      </c>
      <c r="I18" s="202">
        <f t="shared" ref="I18:I29" si="3">G18-H18</f>
        <v>-13694</v>
      </c>
    </row>
    <row r="19">
      <c r="A19" s="53">
        <v>2.0</v>
      </c>
      <c r="B19" s="183" t="str">
        <f t="shared" si="1"/>
        <v>Feb</v>
      </c>
      <c r="C19" s="183">
        <f>SUMPRODUCT((MONTH(Journal!$B$3:$B$143)=$A19)*(Journal!$F$3:$F$143=C$17)*Journal!$D$3:$D$143)</f>
        <v>5500</v>
      </c>
      <c r="D19" s="183">
        <f>SUMPRODUCT((MONTH(Journal!$B$3:$B$143)=$A19)*(Journal!$F$3:$F$143=D$17)*Journal!$D$3:$D$143)</f>
        <v>3500</v>
      </c>
      <c r="E19" s="183">
        <f>SUMPRODUCT((MONTH(Journal!$B$3:$B$143)=$A19)*(Journal!$F$3:$F$143=E$17)*Journal!$D$3:$D$143)</f>
        <v>4000</v>
      </c>
      <c r="F19" s="183">
        <f>SUMPRODUCT((MONTH(Journal!$B$3:$B$143)=$A19)*(Journal!$F$3:$F$143=F$17)*Journal!$D$3:$D$143)</f>
        <v>0</v>
      </c>
      <c r="G19" s="183">
        <f t="shared" si="2"/>
        <v>13000</v>
      </c>
      <c r="H19" s="183">
        <f>SUMPRODUCT((MONTH(Journal!$B$3:$B$143)=$A19)*((ISNUMBER(SEARCH("Expense",Journal!$E$3:$E$143)))+(Journal!$E$3:$E$143="Cost of Goods Sold"))*Journal!$D$3:$D$143)</f>
        <v>17354</v>
      </c>
      <c r="I19" s="122">
        <f t="shared" si="3"/>
        <v>-4354</v>
      </c>
    </row>
    <row r="20">
      <c r="A20" s="193">
        <v>3.0</v>
      </c>
      <c r="B20" s="194" t="str">
        <f t="shared" si="1"/>
        <v>Mar</v>
      </c>
      <c r="C20" s="194">
        <f>SUMPRODUCT((MONTH(Journal!$B$3:$B$143)=$A20)*(Journal!$F$3:$F$143=C$17)*Journal!$D$3:$D$143)</f>
        <v>7500</v>
      </c>
      <c r="D20" s="194">
        <f>SUMPRODUCT((MONTH(Journal!$B$3:$B$143)=$A20)*(Journal!$F$3:$F$143=D$17)*Journal!$D$3:$D$143)</f>
        <v>6000</v>
      </c>
      <c r="E20" s="194">
        <f>SUMPRODUCT((MONTH(Journal!$B$3:$B$143)=$A20)*(Journal!$F$3:$F$143=E$17)*Journal!$D$3:$D$143)</f>
        <v>5000</v>
      </c>
      <c r="F20" s="194">
        <f>SUMPRODUCT((MONTH(Journal!$B$3:$B$143)=$A20)*(Journal!$F$3:$F$143=F$17)*Journal!$D$3:$D$143)</f>
        <v>0</v>
      </c>
      <c r="G20" s="194">
        <f t="shared" si="2"/>
        <v>18500</v>
      </c>
      <c r="H20" s="194">
        <f>SUMPRODUCT((MONTH(Journal!$B$3:$B$143)=$A20)*((ISNUMBER(SEARCH("Expense",Journal!$E$3:$E$143)))+(Journal!$E$3:$E$143="Cost of Goods Sold"))*Journal!$D$3:$D$143)</f>
        <v>24883</v>
      </c>
      <c r="I20" s="202">
        <f t="shared" si="3"/>
        <v>-6383</v>
      </c>
    </row>
    <row r="21">
      <c r="A21" s="53">
        <v>4.0</v>
      </c>
      <c r="B21" s="183" t="str">
        <f t="shared" si="1"/>
        <v>Apr</v>
      </c>
      <c r="C21" s="183">
        <f>SUMPRODUCT((MONTH(Journal!$B$3:$B$143)=$A21)*(Journal!$F$3:$F$143=C$17)*Journal!$D$3:$D$143)</f>
        <v>10000</v>
      </c>
      <c r="D21" s="183">
        <f>SUMPRODUCT((MONTH(Journal!$B$3:$B$143)=$A21)*(Journal!$F$3:$F$143=D$17)*Journal!$D$3:$D$143)</f>
        <v>7000</v>
      </c>
      <c r="E21" s="183">
        <f>SUMPRODUCT((MONTH(Journal!$B$3:$B$143)=$A21)*(Journal!$F$3:$F$143=E$17)*Journal!$D$3:$D$143)</f>
        <v>6500</v>
      </c>
      <c r="F21" s="183">
        <f>SUMPRODUCT((MONTH(Journal!$B$3:$B$143)=$A21)*(Journal!$F$3:$F$143=F$17)*Journal!$D$3:$D$143)</f>
        <v>0</v>
      </c>
      <c r="G21" s="183">
        <f t="shared" si="2"/>
        <v>23500</v>
      </c>
      <c r="H21" s="183">
        <f>SUMPRODUCT((MONTH(Journal!$B$3:$B$143)=$A21)*((ISNUMBER(SEARCH("Expense",Journal!$E$3:$E$143)))+(Journal!$E$3:$E$143="Cost of Goods Sold"))*Journal!$D$3:$D$143)</f>
        <v>24798</v>
      </c>
      <c r="I21" s="122">
        <f t="shared" si="3"/>
        <v>-1298</v>
      </c>
    </row>
    <row r="22">
      <c r="A22" s="193">
        <v>5.0</v>
      </c>
      <c r="B22" s="194" t="str">
        <f t="shared" si="1"/>
        <v>May</v>
      </c>
      <c r="C22" s="194">
        <f>SUMPRODUCT((MONTH(Journal!$B$3:$B$143)=$A22)*(Journal!$F$3:$F$143=C$17)*Journal!$D$3:$D$143)</f>
        <v>13000</v>
      </c>
      <c r="D22" s="194">
        <f>SUMPRODUCT((MONTH(Journal!$B$3:$B$143)=$A22)*(Journal!$F$3:$F$143=D$17)*Journal!$D$3:$D$143)</f>
        <v>9000</v>
      </c>
      <c r="E22" s="194">
        <f>SUMPRODUCT((MONTH(Journal!$B$3:$B$143)=$A22)*(Journal!$F$3:$F$143=E$17)*Journal!$D$3:$D$143)</f>
        <v>8000</v>
      </c>
      <c r="F22" s="194">
        <f>SUMPRODUCT((MONTH(Journal!$B$3:$B$143)=$A22)*(Journal!$F$3:$F$143=F$17)*Journal!$D$3:$D$143)</f>
        <v>0</v>
      </c>
      <c r="G22" s="194">
        <f t="shared" si="2"/>
        <v>30000</v>
      </c>
      <c r="H22" s="194">
        <f>SUMPRODUCT((MONTH(Journal!$B$3:$B$143)=$A22)*((ISNUMBER(SEARCH("Expense",Journal!$E$3:$E$143)))+(Journal!$E$3:$E$143="Cost of Goods Sold"))*Journal!$D$3:$D$143)</f>
        <v>23328</v>
      </c>
      <c r="I22" s="202">
        <f t="shared" si="3"/>
        <v>6672</v>
      </c>
    </row>
    <row r="23">
      <c r="A23" s="53">
        <v>6.0</v>
      </c>
      <c r="B23" s="183" t="str">
        <f t="shared" si="1"/>
        <v>Jun</v>
      </c>
      <c r="C23" s="183">
        <f>SUMPRODUCT((MONTH(Journal!$B$3:$B$143)=$A23)*(Journal!$F$3:$F$143=C$17)*Journal!$D$3:$D$143)</f>
        <v>16000</v>
      </c>
      <c r="D23" s="183">
        <f>SUMPRODUCT((MONTH(Journal!$B$3:$B$143)=$A23)*(Journal!$F$3:$F$143=D$17)*Journal!$D$3:$D$143)</f>
        <v>12000</v>
      </c>
      <c r="E23" s="183">
        <f>SUMPRODUCT((MONTH(Journal!$B$3:$B$143)=$A23)*(Journal!$F$3:$F$143=E$17)*Journal!$D$3:$D$143)</f>
        <v>9000</v>
      </c>
      <c r="F23" s="183">
        <f>SUMPRODUCT((MONTH(Journal!$B$3:$B$143)=$A23)*(Journal!$F$3:$F$143=F$17)*Journal!$D$3:$D$143)</f>
        <v>7500</v>
      </c>
      <c r="G23" s="183">
        <f t="shared" si="2"/>
        <v>44500</v>
      </c>
      <c r="H23" s="183">
        <f>SUMPRODUCT((MONTH(Journal!$B$3:$B$143)=$A23)*((ISNUMBER(SEARCH("Expense",Journal!$E$3:$E$143)))+(Journal!$E$3:$E$143="Cost of Goods Sold"))*Journal!$D$3:$D$143)</f>
        <v>31533</v>
      </c>
      <c r="I23" s="122">
        <f t="shared" si="3"/>
        <v>12967</v>
      </c>
    </row>
    <row r="24">
      <c r="A24" s="193">
        <v>7.0</v>
      </c>
      <c r="B24" s="194" t="str">
        <f t="shared" si="1"/>
        <v>Jul</v>
      </c>
      <c r="C24" s="194">
        <f>SUMPRODUCT((MONTH(Journal!$B$3:$B$143)=$A24)*(Journal!$F$3:$F$143=C$17)*Journal!$D$3:$D$143)</f>
        <v>18000</v>
      </c>
      <c r="D24" s="194">
        <f>SUMPRODUCT((MONTH(Journal!$B$3:$B$143)=$A24)*(Journal!$F$3:$F$143=D$17)*Journal!$D$3:$D$143)</f>
        <v>14000</v>
      </c>
      <c r="E24" s="194">
        <f>SUMPRODUCT((MONTH(Journal!$B$3:$B$143)=$A24)*(Journal!$F$3:$F$143=E$17)*Journal!$D$3:$D$143)</f>
        <v>10000</v>
      </c>
      <c r="F24" s="194">
        <f>SUMPRODUCT((MONTH(Journal!$B$3:$B$143)=$A24)*(Journal!$F$3:$F$143=F$17)*Journal!$D$3:$D$143)</f>
        <v>9000</v>
      </c>
      <c r="G24" s="194">
        <f t="shared" si="2"/>
        <v>51000</v>
      </c>
      <c r="H24" s="194">
        <f>SUMPRODUCT((MONTH(Journal!$B$3:$B$143)=$A24)*((ISNUMBER(SEARCH("Expense",Journal!$E$3:$E$143)))+(Journal!$E$3:$E$143="Cost of Goods Sold"))*Journal!$D$3:$D$143)</f>
        <v>29934</v>
      </c>
      <c r="I24" s="202">
        <f t="shared" si="3"/>
        <v>21066</v>
      </c>
    </row>
    <row r="25">
      <c r="A25" s="53">
        <v>8.0</v>
      </c>
      <c r="B25" s="183" t="str">
        <f t="shared" si="1"/>
        <v>Aug</v>
      </c>
      <c r="C25" s="183">
        <f>SUMPRODUCT((MONTH(Journal!$B$3:$B$143)=$A25)*(Journal!$F$3:$F$143=C$17)*Journal!$D$3:$D$143)</f>
        <v>15000</v>
      </c>
      <c r="D25" s="183">
        <f>SUMPRODUCT((MONTH(Journal!$B$3:$B$143)=$A25)*(Journal!$F$3:$F$143=D$17)*Journal!$D$3:$D$143)</f>
        <v>12000</v>
      </c>
      <c r="E25" s="183">
        <f>SUMPRODUCT((MONTH(Journal!$B$3:$B$143)=$A25)*(Journal!$F$3:$F$143=E$17)*Journal!$D$3:$D$143)</f>
        <v>9000</v>
      </c>
      <c r="F25" s="183">
        <f>SUMPRODUCT((MONTH(Journal!$B$3:$B$143)=$A25)*(Journal!$F$3:$F$143=F$17)*Journal!$D$3:$D$143)</f>
        <v>7000</v>
      </c>
      <c r="G25" s="183">
        <f t="shared" si="2"/>
        <v>43000</v>
      </c>
      <c r="H25" s="183">
        <f>SUMPRODUCT((MONTH(Journal!$B$3:$B$143)=$A25)*((ISNUMBER(SEARCH("Expense",Journal!$E$3:$E$143)))+(Journal!$E$3:$E$143="Cost of Goods Sold"))*Journal!$D$3:$D$143)</f>
        <v>24747</v>
      </c>
      <c r="I25" s="122">
        <f t="shared" si="3"/>
        <v>18253</v>
      </c>
    </row>
    <row r="26">
      <c r="A26" s="193">
        <v>9.0</v>
      </c>
      <c r="B26" s="194" t="str">
        <f t="shared" si="1"/>
        <v>Sep</v>
      </c>
      <c r="C26" s="194">
        <f>SUMPRODUCT((MONTH(Journal!$B$3:$B$143)=$A26)*(Journal!$F$3:$F$143=C$17)*Journal!$D$3:$D$143)</f>
        <v>11000</v>
      </c>
      <c r="D26" s="194">
        <f>SUMPRODUCT((MONTH(Journal!$B$3:$B$143)=$A26)*(Journal!$F$3:$F$143=D$17)*Journal!$D$3:$D$143)</f>
        <v>8000</v>
      </c>
      <c r="E26" s="194">
        <f>SUMPRODUCT((MONTH(Journal!$B$3:$B$143)=$A26)*(Journal!$F$3:$F$143=E$17)*Journal!$D$3:$D$143)</f>
        <v>7000</v>
      </c>
      <c r="F26" s="194">
        <f>SUMPRODUCT((MONTH(Journal!$B$3:$B$143)=$A26)*(Journal!$F$3:$F$143=F$17)*Journal!$D$3:$D$143)</f>
        <v>0</v>
      </c>
      <c r="G26" s="194">
        <f t="shared" si="2"/>
        <v>26000</v>
      </c>
      <c r="H26" s="194">
        <f>SUMPRODUCT((MONTH(Journal!$B$3:$B$143)=$A26)*((ISNUMBER(SEARCH("Expense",Journal!$E$3:$E$143)))+(Journal!$E$3:$E$143="Cost of Goods Sold"))*Journal!$D$3:$D$143)</f>
        <v>28814</v>
      </c>
      <c r="I26" s="202">
        <f t="shared" si="3"/>
        <v>-2814</v>
      </c>
    </row>
    <row r="27">
      <c r="A27" s="53">
        <v>10.0</v>
      </c>
      <c r="B27" s="183" t="str">
        <f t="shared" si="1"/>
        <v>Oct</v>
      </c>
      <c r="C27" s="183">
        <f>SUMPRODUCT((MONTH(Journal!$B$3:$B$143)=$A27)*(Journal!$F$3:$F$143=C$17)*Journal!$D$3:$D$143)</f>
        <v>7000</v>
      </c>
      <c r="D27" s="183">
        <f>SUMPRODUCT((MONTH(Journal!$B$3:$B$143)=$A27)*(Journal!$F$3:$F$143=D$17)*Journal!$D$3:$D$143)</f>
        <v>5000</v>
      </c>
      <c r="E27" s="183">
        <f>SUMPRODUCT((MONTH(Journal!$B$3:$B$143)=$A27)*(Journal!$F$3:$F$143=E$17)*Journal!$D$3:$D$143)</f>
        <v>0</v>
      </c>
      <c r="F27" s="183">
        <f>SUMPRODUCT((MONTH(Journal!$B$3:$B$143)=$A27)*(Journal!$F$3:$F$143=F$17)*Journal!$D$3:$D$143)</f>
        <v>0</v>
      </c>
      <c r="G27" s="183">
        <f t="shared" si="2"/>
        <v>12000</v>
      </c>
      <c r="H27" s="183">
        <f>SUMPRODUCT((MONTH(Journal!$B$3:$B$143)=$A27)*((ISNUMBER(SEARCH("Expense",Journal!$E$3:$E$143)))+(Journal!$E$3:$E$143="Cost of Goods Sold"))*Journal!$D$3:$D$143)</f>
        <v>16539</v>
      </c>
      <c r="I27" s="122">
        <f t="shared" si="3"/>
        <v>-4539</v>
      </c>
    </row>
    <row r="28">
      <c r="A28" s="193">
        <v>11.0</v>
      </c>
      <c r="B28" s="194" t="str">
        <f t="shared" si="1"/>
        <v>Nov</v>
      </c>
      <c r="C28" s="194">
        <f>SUMPRODUCT((MONTH(Journal!$B$3:$B$143)=$A28)*(Journal!$F$3:$F$143=C$17)*Journal!$D$3:$D$143)</f>
        <v>4000</v>
      </c>
      <c r="D28" s="194">
        <f>SUMPRODUCT((MONTH(Journal!$B$3:$B$143)=$A28)*(Journal!$F$3:$F$143=D$17)*Journal!$D$3:$D$143)</f>
        <v>3000</v>
      </c>
      <c r="E28" s="194">
        <f>SUMPRODUCT((MONTH(Journal!$B$3:$B$143)=$A28)*(Journal!$F$3:$F$143=E$17)*Journal!$D$3:$D$143)</f>
        <v>0</v>
      </c>
      <c r="F28" s="194">
        <f>SUMPRODUCT((MONTH(Journal!$B$3:$B$143)=$A28)*(Journal!$F$3:$F$143=F$17)*Journal!$D$3:$D$143)</f>
        <v>0</v>
      </c>
      <c r="G28" s="194">
        <f t="shared" si="2"/>
        <v>7000</v>
      </c>
      <c r="H28" s="194">
        <f>SUMPRODUCT((MONTH(Journal!$B$3:$B$143)=$A28)*((ISNUMBER(SEARCH("Expense",Journal!$E$3:$E$143)))+(Journal!$E$3:$E$143="Cost of Goods Sold"))*Journal!$D$3:$D$143)</f>
        <v>14464</v>
      </c>
      <c r="I28" s="202">
        <f t="shared" si="3"/>
        <v>-7464</v>
      </c>
    </row>
    <row r="29">
      <c r="A29" s="53">
        <v>12.0</v>
      </c>
      <c r="B29" s="183" t="str">
        <f t="shared" si="1"/>
        <v>Dec</v>
      </c>
      <c r="C29" s="183">
        <f>SUMPRODUCT((MONTH(Journal!$B$3:$B$143)=$A29)*(Journal!$F$3:$F$143=C$17)*Journal!$D$3:$D$143)</f>
        <v>0</v>
      </c>
      <c r="D29" s="183">
        <f>SUMPRODUCT((MONTH(Journal!$B$3:$B$143)=$A29)*(Journal!$F$3:$F$143=D$17)*Journal!$D$3:$D$143)</f>
        <v>0</v>
      </c>
      <c r="E29" s="183">
        <f>SUMPRODUCT((MONTH(Journal!$B$3:$B$143)=$A29)*(Journal!$F$3:$F$143=E$17)*Journal!$D$3:$D$143)</f>
        <v>3500</v>
      </c>
      <c r="F29" s="183">
        <f>SUMPRODUCT((MONTH(Journal!$B$3:$B$143)=$A29)*(Journal!$F$3:$F$143=F$17)*Journal!$D$3:$D$143)</f>
        <v>0</v>
      </c>
      <c r="G29" s="183">
        <f t="shared" si="2"/>
        <v>3500</v>
      </c>
      <c r="H29" s="183">
        <f>SUMPRODUCT((MONTH(Journal!$B$3:$B$143)=$A29)*((ISNUMBER(SEARCH("Expense",Journal!$E$3:$E$143)))+(Journal!$E$3:$E$143="Cost of Goods Sold"))*Journal!$D$3:$D$143)</f>
        <v>17182</v>
      </c>
      <c r="I29" s="122">
        <f t="shared" si="3"/>
        <v>-13682</v>
      </c>
    </row>
    <row r="30">
      <c r="A30" s="194"/>
      <c r="B30" s="193" t="s">
        <v>679</v>
      </c>
      <c r="C30" s="194">
        <f t="shared" ref="C30:I30" si="4">SUM(C18:C29)</f>
        <v>111500</v>
      </c>
      <c r="D30" s="194">
        <f t="shared" si="4"/>
        <v>79500</v>
      </c>
      <c r="E30" s="194">
        <f t="shared" si="4"/>
        <v>65000</v>
      </c>
      <c r="F30" s="194">
        <f t="shared" si="4"/>
        <v>23500</v>
      </c>
      <c r="G30" s="194">
        <f t="shared" si="4"/>
        <v>279500</v>
      </c>
      <c r="H30" s="194">
        <f t="shared" si="4"/>
        <v>274770</v>
      </c>
      <c r="I30" s="202">
        <f t="shared" si="4"/>
        <v>4730</v>
      </c>
    </row>
    <row r="31">
      <c r="A31" s="183"/>
      <c r="B31" s="181" t="s">
        <v>814</v>
      </c>
      <c r="C31" s="187" t="str">
        <f>IF(C30=Income_Statement!C7,"OK","CHECK")</f>
        <v>OK</v>
      </c>
      <c r="D31" s="187" t="str">
        <f>IF(D30=Income_Statement!C8,"OK","CHECK")</f>
        <v>OK</v>
      </c>
      <c r="E31" s="187" t="str">
        <f>IF(E30=Income_Statement!C9,"OK","CHECK")</f>
        <v>OK</v>
      </c>
      <c r="F31" s="187" t="str">
        <f>IF(F30=Income_Statement!C10,"OK","CHECK")</f>
        <v>OK</v>
      </c>
      <c r="G31" s="187" t="str">
        <f>IF(G30=Income_Statement!D11,"OK","CHECK")</f>
        <v>OK</v>
      </c>
      <c r="H31" s="187" t="str">
        <f>IF(H30=Income_Statement!D13+Income_Statement!D27+Income_Statement!D31,"OK","CHECK")</f>
        <v>OK</v>
      </c>
      <c r="I31" s="187" t="str">
        <f>IF(I30=Income_Statement!D33,"OK","CHECK")</f>
        <v>OK</v>
      </c>
    </row>
    <row r="32">
      <c r="A32" s="90"/>
      <c r="B32" s="90"/>
      <c r="C32" s="90"/>
      <c r="D32" s="90"/>
      <c r="E32" s="90"/>
      <c r="F32" s="90"/>
      <c r="G32" s="90"/>
      <c r="H32" s="90"/>
    </row>
    <row r="33">
      <c r="A33" s="91" t="s">
        <v>815</v>
      </c>
      <c r="B33" s="90"/>
      <c r="C33" s="90"/>
      <c r="D33" s="90"/>
      <c r="E33" s="90"/>
      <c r="F33" s="90"/>
      <c r="G33" s="90"/>
      <c r="H33" s="90"/>
    </row>
    <row r="34">
      <c r="A34" s="91" t="s">
        <v>816</v>
      </c>
      <c r="B34" s="90"/>
      <c r="C34" s="90"/>
      <c r="D34" s="90"/>
      <c r="E34" s="90"/>
      <c r="F34" s="90"/>
      <c r="G34" s="198" t="s">
        <v>769</v>
      </c>
      <c r="H34" s="198" t="s">
        <v>771</v>
      </c>
      <c r="I34" s="191" t="s">
        <v>772</v>
      </c>
    </row>
    <row r="35">
      <c r="A35" s="91" t="s">
        <v>817</v>
      </c>
      <c r="B35" s="90"/>
      <c r="C35" s="90"/>
      <c r="D35" s="90"/>
      <c r="E35" s="90"/>
      <c r="F35" s="90"/>
      <c r="G35" s="90">
        <f t="shared" ref="G35:I35" si="5">SUM(G18:G20)</f>
        <v>39000</v>
      </c>
      <c r="H35" s="90">
        <f t="shared" si="5"/>
        <v>63431</v>
      </c>
      <c r="I35" s="60">
        <f t="shared" si="5"/>
        <v>-24431</v>
      </c>
    </row>
    <row r="36">
      <c r="A36" s="91" t="s">
        <v>818</v>
      </c>
      <c r="B36" s="90"/>
      <c r="C36" s="90"/>
      <c r="D36" s="90"/>
      <c r="E36" s="90"/>
      <c r="F36" s="90"/>
      <c r="G36" s="90">
        <f t="shared" ref="G36:I36" si="6">SUM(G21:G23)</f>
        <v>98000</v>
      </c>
      <c r="H36" s="90">
        <f t="shared" si="6"/>
        <v>79659</v>
      </c>
      <c r="I36" s="60">
        <f t="shared" si="6"/>
        <v>18341</v>
      </c>
    </row>
    <row r="37">
      <c r="A37" s="91" t="s">
        <v>819</v>
      </c>
      <c r="B37" s="90"/>
      <c r="C37" s="90"/>
      <c r="D37" s="90"/>
      <c r="E37" s="90"/>
      <c r="F37" s="90"/>
      <c r="G37" s="90">
        <f t="shared" ref="G37:I37" si="7">SUM(G24:G26)</f>
        <v>120000</v>
      </c>
      <c r="H37" s="90">
        <f t="shared" si="7"/>
        <v>83495</v>
      </c>
      <c r="I37" s="60">
        <f t="shared" si="7"/>
        <v>36505</v>
      </c>
    </row>
    <row r="38">
      <c r="A38" s="91" t="s">
        <v>820</v>
      </c>
      <c r="B38" s="90"/>
      <c r="C38" s="90"/>
      <c r="D38" s="90"/>
      <c r="E38" s="90"/>
      <c r="F38" s="90"/>
      <c r="G38" s="90">
        <f t="shared" ref="G38:I38" si="8">SUM(G27:G29)</f>
        <v>22500</v>
      </c>
      <c r="H38" s="90">
        <f t="shared" si="8"/>
        <v>48185</v>
      </c>
      <c r="I38" s="60">
        <f t="shared" si="8"/>
        <v>-25685</v>
      </c>
    </row>
    <row r="39">
      <c r="A39" s="90"/>
      <c r="B39" s="90"/>
      <c r="C39" s="90"/>
      <c r="D39" s="90"/>
      <c r="E39" s="90"/>
      <c r="F39" s="90"/>
      <c r="G39" s="90"/>
      <c r="H39" s="90"/>
    </row>
    <row r="40">
      <c r="A40" s="211" t="s">
        <v>821</v>
      </c>
      <c r="C40" s="212" t="str">
        <f t="array" ref="C40">INDEX(B18:B29,MATCH(MAX(I18:I29),I18:I29,0))</f>
        <v>Jul</v>
      </c>
      <c r="D40" s="90"/>
      <c r="E40" s="90"/>
      <c r="F40" s="90"/>
      <c r="G40" s="90"/>
      <c r="H40" s="90"/>
    </row>
    <row r="41">
      <c r="A41" s="211" t="s">
        <v>822</v>
      </c>
      <c r="C41" s="212" t="str">
        <f t="array" ref="C41">INDEX(B18:B29,MATCH(MIN(I18:I29),I18:I29,0))</f>
        <v>Jan</v>
      </c>
      <c r="D41" s="90"/>
      <c r="E41" s="90"/>
      <c r="F41" s="90"/>
      <c r="G41" s="90"/>
      <c r="H41" s="90"/>
    </row>
    <row r="42">
      <c r="A42" s="211" t="s">
        <v>823</v>
      </c>
      <c r="C42" s="212">
        <f>ROUND(SUM(G23:G25)/G30*100,1)</f>
        <v>49.6</v>
      </c>
      <c r="D42" s="90"/>
      <c r="E42" s="90"/>
      <c r="F42" s="90"/>
      <c r="G42" s="90"/>
      <c r="H42" s="90"/>
    </row>
    <row r="43">
      <c r="A43" s="90"/>
      <c r="B43" s="90"/>
      <c r="C43" s="90"/>
      <c r="D43" s="90"/>
      <c r="E43" s="90"/>
      <c r="F43" s="90"/>
      <c r="G43" s="90"/>
      <c r="H43" s="90"/>
    </row>
    <row r="44">
      <c r="A44" s="213" t="s">
        <v>824</v>
      </c>
      <c r="B44" s="90"/>
      <c r="C44" s="90"/>
      <c r="D44" s="90"/>
      <c r="E44" s="90"/>
      <c r="F44" s="90"/>
      <c r="G44" s="90"/>
      <c r="H44" s="90"/>
    </row>
    <row r="45">
      <c r="A45" s="83" t="s">
        <v>825</v>
      </c>
      <c r="B45" s="90"/>
      <c r="C45" s="90"/>
      <c r="D45" s="90"/>
      <c r="E45" s="90"/>
      <c r="F45" s="90"/>
      <c r="G45" s="90"/>
      <c r="H45" s="90"/>
    </row>
    <row r="46">
      <c r="A46" s="83" t="s">
        <v>826</v>
      </c>
      <c r="B46" s="90"/>
      <c r="C46" s="90"/>
      <c r="D46" s="90"/>
      <c r="E46" s="90"/>
      <c r="F46" s="90"/>
      <c r="G46" s="90"/>
      <c r="H46" s="90"/>
    </row>
    <row r="47">
      <c r="A47" s="83"/>
      <c r="B47" s="90"/>
      <c r="C47" s="90"/>
      <c r="D47" s="90"/>
      <c r="E47" s="90"/>
      <c r="F47" s="90"/>
      <c r="G47" s="90"/>
      <c r="H47" s="90"/>
    </row>
    <row r="48">
      <c r="A48" s="83" t="s">
        <v>827</v>
      </c>
      <c r="B48" s="90"/>
      <c r="C48" s="90"/>
      <c r="D48" s="90"/>
      <c r="E48" s="90"/>
      <c r="F48" s="90"/>
      <c r="G48" s="90"/>
      <c r="H48" s="90"/>
    </row>
    <row r="49">
      <c r="A49" s="83" t="s">
        <v>828</v>
      </c>
      <c r="B49" s="90"/>
      <c r="C49" s="90"/>
      <c r="D49" s="90"/>
      <c r="E49" s="90"/>
      <c r="F49" s="90"/>
      <c r="G49" s="90"/>
      <c r="H49" s="90"/>
    </row>
    <row r="50">
      <c r="A50" s="83"/>
      <c r="B50" s="90"/>
      <c r="C50" s="90"/>
      <c r="D50" s="90"/>
      <c r="E50" s="90"/>
      <c r="F50" s="90"/>
      <c r="G50" s="90"/>
      <c r="H50" s="90"/>
    </row>
    <row r="51">
      <c r="A51" s="83" t="s">
        <v>829</v>
      </c>
      <c r="B51" s="90"/>
      <c r="C51" s="90"/>
      <c r="D51" s="90"/>
      <c r="E51" s="90"/>
      <c r="F51" s="90"/>
      <c r="G51" s="90"/>
      <c r="H51" s="90"/>
    </row>
    <row r="52">
      <c r="A52" s="83" t="s">
        <v>830</v>
      </c>
      <c r="B52" s="90"/>
      <c r="C52" s="90"/>
      <c r="D52" s="90"/>
      <c r="E52" s="90"/>
      <c r="F52" s="90"/>
      <c r="G52" s="90"/>
      <c r="H52" s="90"/>
    </row>
    <row r="53">
      <c r="A53" s="83" t="s">
        <v>831</v>
      </c>
      <c r="B53" s="90"/>
      <c r="C53" s="90"/>
      <c r="D53" s="90"/>
      <c r="E53" s="90"/>
      <c r="F53" s="90"/>
      <c r="G53" s="90"/>
      <c r="H53" s="90"/>
    </row>
    <row r="54">
      <c r="A54" s="83" t="s">
        <v>832</v>
      </c>
      <c r="B54" s="90"/>
      <c r="C54" s="90"/>
      <c r="D54" s="90"/>
      <c r="E54" s="90"/>
      <c r="F54" s="90"/>
      <c r="G54" s="90"/>
      <c r="H54" s="90"/>
    </row>
    <row r="55">
      <c r="A55" s="83" t="s">
        <v>833</v>
      </c>
      <c r="B55" s="90"/>
      <c r="C55" s="90"/>
      <c r="D55" s="90"/>
      <c r="E55" s="90"/>
      <c r="F55" s="90"/>
      <c r="G55" s="90"/>
      <c r="H55" s="90"/>
    </row>
    <row r="56">
      <c r="A56" s="83" t="s">
        <v>834</v>
      </c>
      <c r="B56" s="90"/>
      <c r="C56" s="90"/>
      <c r="D56" s="90"/>
      <c r="E56" s="90"/>
      <c r="F56" s="90"/>
      <c r="G56" s="90"/>
      <c r="H56" s="90"/>
    </row>
    <row r="57">
      <c r="A57" s="83" t="s">
        <v>835</v>
      </c>
      <c r="B57" s="90"/>
      <c r="C57" s="91" t="s">
        <v>729</v>
      </c>
      <c r="D57" s="90"/>
      <c r="E57" s="90"/>
      <c r="F57" s="90"/>
      <c r="G57" s="90"/>
      <c r="H57" s="90"/>
    </row>
    <row r="58">
      <c r="A58" s="83" t="s">
        <v>836</v>
      </c>
      <c r="B58" s="90"/>
      <c r="C58" s="90">
        <f>IFERROR(__xludf.DUMMYFUNCTION("SUM(ARRAYFORMULA(IFERROR(VALUE(REGEXEXTRACT(Raw_Data!$J$2:$J$121,""receipts \$([\d,]+)"")),0)))"),1440.0)</f>
        <v>1440</v>
      </c>
      <c r="D58" s="90"/>
      <c r="E58" s="90"/>
      <c r="F58" s="90"/>
      <c r="G58" s="90"/>
      <c r="H58" s="90"/>
    </row>
    <row r="59">
      <c r="A59" s="83" t="s">
        <v>837</v>
      </c>
      <c r="B59" s="90"/>
      <c r="C59" s="90">
        <f>Trial_Balance!D28</f>
        <v>4170</v>
      </c>
      <c r="D59" s="90"/>
      <c r="E59" s="90"/>
      <c r="F59" s="90"/>
      <c r="G59" s="90"/>
      <c r="H59" s="90"/>
    </row>
    <row r="60">
      <c r="A60" s="83" t="s">
        <v>838</v>
      </c>
      <c r="B60" s="90"/>
      <c r="C60" s="90">
        <f>SUMIF(Raw_Data!$G$2:$G$121,"Ridge Supply House",Raw_Data!$D$2:$D$121)+SUMIF(Raw_Data!$G$2:$G$121,"Mesa Mechanical",Raw_Data!$D$2:$D$121)</f>
        <v>5800</v>
      </c>
      <c r="D60" s="90"/>
      <c r="E60" s="90"/>
      <c r="F60" s="90"/>
      <c r="G60" s="90"/>
      <c r="H60" s="90"/>
    </row>
    <row r="61">
      <c r="A61" s="83" t="s">
        <v>839</v>
      </c>
      <c r="B61" s="90"/>
      <c r="C61" s="90">
        <f>SUMIF(Raw_Data!$G$2:$G$121,"Stonefield Outdoor Services",Raw_Data!$D$2:$D$121)</f>
        <v>19970</v>
      </c>
      <c r="D61" s="90"/>
      <c r="E61" s="90"/>
      <c r="F61" s="90"/>
      <c r="G61" s="90"/>
      <c r="H61" s="90"/>
    </row>
    <row r="62">
      <c r="A62" s="83" t="s">
        <v>840</v>
      </c>
      <c r="B62" s="90"/>
      <c r="C62" s="90">
        <f>COUNTIF(Raw_Data!$G$2:$G$121,"Stonefield Outdoor Services")</f>
        <v>6</v>
      </c>
      <c r="D62" s="90"/>
      <c r="E62" s="90"/>
      <c r="F62" s="90"/>
      <c r="G62" s="90"/>
      <c r="H62" s="90"/>
    </row>
    <row r="63">
      <c r="A63" s="83" t="s">
        <v>841</v>
      </c>
      <c r="B63" s="90"/>
      <c r="C63" s="90">
        <f>MAXIFS(Raw_Data!$D$2:$D$121,Raw_Data!$G$2:$G$121,"Stonefield Outdoor Services")</f>
        <v>4200</v>
      </c>
      <c r="D63" s="90"/>
      <c r="E63" s="90"/>
      <c r="F63" s="90"/>
      <c r="G63" s="90"/>
      <c r="H63" s="90"/>
    </row>
    <row r="64">
      <c r="A64" s="83" t="s">
        <v>842</v>
      </c>
      <c r="B64" s="90"/>
      <c r="C64" s="90">
        <f>C61-C59</f>
        <v>15800</v>
      </c>
      <c r="D64" s="90"/>
      <c r="E64" s="90"/>
      <c r="F64" s="90"/>
      <c r="G64" s="90"/>
      <c r="H64" s="90"/>
    </row>
    <row r="65">
      <c r="A65" s="83" t="s">
        <v>843</v>
      </c>
      <c r="B65" s="90"/>
      <c r="C65" s="90">
        <f>SUMIF(Raw_Data!$G$2:$G$121,"Peak Outdoor Maintenance",Raw_Data!$D$2:$D$121)</f>
        <v>4800</v>
      </c>
      <c r="D65" s="90"/>
      <c r="E65" s="90"/>
      <c r="F65" s="90"/>
      <c r="G65" s="90"/>
      <c r="H65" s="90"/>
    </row>
    <row r="66">
      <c r="A66" s="83" t="s">
        <v>844</v>
      </c>
      <c r="B66" s="90"/>
      <c r="C66" s="90">
        <f>IFERROR(__xludf.DUMMYFUNCTION("SUM(ARRAYFORMULA(IFERROR(VALUE(REGEXEXTRACT(Raw_Data!$J$2:$J$121,""labour (\d+) h at"")),0)))"),158.0)</f>
        <v>158</v>
      </c>
      <c r="D66" s="90"/>
      <c r="E66" s="90"/>
      <c r="F66" s="90"/>
      <c r="G66" s="90"/>
      <c r="H66" s="90"/>
    </row>
    <row r="67">
      <c r="A67" s="83" t="s">
        <v>845</v>
      </c>
      <c r="B67" s="90"/>
      <c r="C67" s="90">
        <f>IFERROR(__xludf.DUMMYFUNCTION("SUM(ARRAYFORMULA(IFERROR(VALUE(REGEXEXTRACT(Raw_Data!$J$2:$J$121,""labour; (\d+) hours"")),0)))"),48.0)</f>
        <v>48</v>
      </c>
      <c r="D67" s="90"/>
      <c r="E67" s="90"/>
      <c r="F67" s="90"/>
      <c r="G67" s="90"/>
      <c r="H67" s="90"/>
    </row>
    <row r="68">
      <c r="A68" s="87"/>
      <c r="B68" s="90"/>
      <c r="C68" s="90"/>
      <c r="D68" s="90"/>
      <c r="E68" s="90"/>
      <c r="F68" s="90"/>
      <c r="G68" s="90"/>
      <c r="H68" s="90"/>
    </row>
    <row r="69">
      <c r="A69" s="83" t="s">
        <v>846</v>
      </c>
      <c r="B69" s="90"/>
      <c r="C69" s="90"/>
      <c r="D69" s="90"/>
      <c r="E69" s="90"/>
      <c r="F69" s="90"/>
      <c r="G69" s="90"/>
      <c r="H69" s="90"/>
    </row>
    <row r="70">
      <c r="A70" s="83" t="s">
        <v>847</v>
      </c>
      <c r="B70" s="90"/>
      <c r="C70" s="90"/>
      <c r="D70" s="90"/>
      <c r="E70" s="90"/>
      <c r="F70" s="90"/>
      <c r="G70" s="90"/>
      <c r="H70" s="90"/>
    </row>
    <row r="71">
      <c r="A71" s="53"/>
      <c r="B71" s="90"/>
      <c r="C71" s="90"/>
      <c r="D71" s="90"/>
      <c r="E71" s="90"/>
      <c r="F71" s="90"/>
      <c r="G71" s="90"/>
      <c r="H71" s="90"/>
    </row>
    <row r="72">
      <c r="A72" s="83"/>
      <c r="B72" s="90"/>
      <c r="C72" s="90"/>
      <c r="D72" s="90"/>
      <c r="E72" s="90"/>
      <c r="F72" s="90"/>
      <c r="G72" s="90"/>
      <c r="H72" s="90"/>
    </row>
    <row r="73">
      <c r="A73" s="90"/>
      <c r="B73" s="90"/>
      <c r="C73" s="90"/>
      <c r="D73" s="90"/>
      <c r="E73" s="90"/>
      <c r="F73" s="90"/>
      <c r="G73" s="90"/>
      <c r="H73" s="90"/>
    </row>
    <row r="74">
      <c r="A74" s="90"/>
      <c r="B74" s="90"/>
      <c r="C74" s="90"/>
      <c r="D74" s="90"/>
      <c r="E74" s="90"/>
      <c r="F74" s="90"/>
      <c r="G74" s="90"/>
      <c r="H74" s="90"/>
    </row>
    <row r="75">
      <c r="A75" s="90"/>
      <c r="B75" s="90"/>
      <c r="C75" s="90"/>
      <c r="D75" s="90"/>
      <c r="E75" s="90"/>
      <c r="F75" s="90"/>
      <c r="G75" s="90"/>
      <c r="H75" s="90"/>
    </row>
    <row r="76">
      <c r="A76" s="90"/>
      <c r="B76" s="90"/>
      <c r="C76" s="90"/>
      <c r="D76" s="90"/>
      <c r="E76" s="90"/>
      <c r="F76" s="90"/>
      <c r="G76" s="90"/>
      <c r="H76" s="90"/>
    </row>
    <row r="77">
      <c r="A77" s="90"/>
      <c r="B77" s="90"/>
      <c r="C77" s="90"/>
      <c r="D77" s="90"/>
      <c r="E77" s="90"/>
      <c r="F77" s="90"/>
      <c r="G77" s="90"/>
      <c r="H77" s="90"/>
    </row>
    <row r="78">
      <c r="A78" s="90"/>
      <c r="B78" s="90"/>
      <c r="C78" s="90"/>
      <c r="D78" s="90"/>
      <c r="E78" s="90"/>
      <c r="F78" s="90"/>
      <c r="G78" s="90"/>
      <c r="H78" s="90"/>
    </row>
    <row r="79">
      <c r="A79" s="90"/>
      <c r="B79" s="90"/>
      <c r="C79" s="90"/>
      <c r="D79" s="90"/>
      <c r="E79" s="90"/>
      <c r="F79" s="90"/>
      <c r="G79" s="90"/>
      <c r="H79" s="90"/>
    </row>
    <row r="80">
      <c r="A80" s="90"/>
      <c r="B80" s="90"/>
      <c r="C80" s="90"/>
      <c r="D80" s="90"/>
      <c r="E80" s="90"/>
      <c r="F80" s="90"/>
      <c r="G80" s="90"/>
      <c r="H80" s="90"/>
    </row>
    <row r="81">
      <c r="A81" s="90"/>
      <c r="B81" s="90"/>
      <c r="C81" s="90"/>
      <c r="D81" s="90"/>
      <c r="E81" s="90"/>
      <c r="F81" s="90"/>
      <c r="G81" s="90"/>
      <c r="H81" s="90"/>
    </row>
    <row r="82">
      <c r="A82" s="90"/>
      <c r="B82" s="90"/>
      <c r="C82" s="90"/>
      <c r="D82" s="90"/>
      <c r="E82" s="90"/>
      <c r="F82" s="90"/>
      <c r="G82" s="90"/>
      <c r="H82" s="90"/>
    </row>
    <row r="83">
      <c r="A83" s="90"/>
      <c r="B83" s="90"/>
      <c r="C83" s="90"/>
      <c r="D83" s="90"/>
      <c r="E83" s="90"/>
      <c r="F83" s="90"/>
      <c r="G83" s="90"/>
      <c r="H83" s="90"/>
    </row>
    <row r="84">
      <c r="A84" s="90"/>
      <c r="B84" s="90"/>
      <c r="C84" s="90"/>
      <c r="D84" s="90"/>
      <c r="E84" s="90"/>
      <c r="F84" s="90"/>
      <c r="G84" s="90"/>
      <c r="H84" s="90"/>
    </row>
    <row r="85">
      <c r="A85" s="90"/>
      <c r="B85" s="90"/>
      <c r="C85" s="90"/>
      <c r="D85" s="90"/>
      <c r="E85" s="90"/>
      <c r="F85" s="90"/>
      <c r="G85" s="90"/>
      <c r="H85" s="90"/>
    </row>
    <row r="86">
      <c r="A86" s="90"/>
      <c r="B86" s="90"/>
      <c r="C86" s="90"/>
      <c r="D86" s="90"/>
      <c r="E86" s="90"/>
      <c r="F86" s="90"/>
      <c r="G86" s="90"/>
      <c r="H86" s="90"/>
    </row>
    <row r="87">
      <c r="A87" s="90"/>
      <c r="B87" s="90"/>
      <c r="C87" s="90"/>
      <c r="D87" s="90"/>
      <c r="E87" s="90"/>
      <c r="F87" s="90"/>
      <c r="G87" s="90"/>
      <c r="H87" s="90"/>
    </row>
    <row r="88">
      <c r="A88" s="90"/>
      <c r="B88" s="90"/>
      <c r="C88" s="90"/>
      <c r="D88" s="90"/>
      <c r="E88" s="90"/>
      <c r="F88" s="90"/>
      <c r="G88" s="90"/>
      <c r="H88" s="90"/>
    </row>
    <row r="89">
      <c r="A89" s="90"/>
      <c r="B89" s="90"/>
      <c r="C89" s="90"/>
      <c r="D89" s="90"/>
      <c r="E89" s="90"/>
      <c r="F89" s="90"/>
      <c r="G89" s="90"/>
      <c r="H89" s="90"/>
    </row>
    <row r="90">
      <c r="A90" s="90"/>
      <c r="B90" s="90"/>
      <c r="C90" s="90"/>
      <c r="D90" s="90"/>
      <c r="E90" s="90"/>
      <c r="F90" s="90"/>
      <c r="G90" s="90"/>
      <c r="H90" s="90"/>
    </row>
    <row r="91">
      <c r="A91" s="90"/>
      <c r="B91" s="90"/>
      <c r="C91" s="90"/>
      <c r="D91" s="90"/>
      <c r="E91" s="90"/>
      <c r="F91" s="90"/>
      <c r="G91" s="90"/>
      <c r="H91" s="90"/>
    </row>
    <row r="92">
      <c r="A92" s="90"/>
      <c r="B92" s="90"/>
      <c r="C92" s="90"/>
      <c r="D92" s="90"/>
      <c r="E92" s="90"/>
      <c r="F92" s="90"/>
      <c r="G92" s="90"/>
      <c r="H92" s="90"/>
    </row>
    <row r="93">
      <c r="A93" s="90"/>
      <c r="B93" s="90"/>
      <c r="C93" s="90"/>
      <c r="D93" s="90"/>
      <c r="E93" s="90"/>
      <c r="F93" s="90"/>
      <c r="G93" s="90"/>
      <c r="H93" s="90"/>
    </row>
    <row r="94">
      <c r="A94" s="90"/>
      <c r="B94" s="90"/>
      <c r="C94" s="90"/>
      <c r="D94" s="90"/>
      <c r="E94" s="90"/>
      <c r="F94" s="90"/>
      <c r="G94" s="90"/>
      <c r="H94" s="90"/>
    </row>
    <row r="95">
      <c r="A95" s="90"/>
      <c r="B95" s="90"/>
      <c r="C95" s="90"/>
      <c r="D95" s="90"/>
      <c r="E95" s="90"/>
      <c r="F95" s="90"/>
      <c r="G95" s="90"/>
      <c r="H95" s="90"/>
    </row>
    <row r="96">
      <c r="A96" s="90"/>
      <c r="B96" s="90"/>
      <c r="C96" s="90"/>
      <c r="D96" s="90"/>
      <c r="E96" s="90"/>
      <c r="F96" s="90"/>
      <c r="G96" s="90"/>
      <c r="H96" s="90"/>
    </row>
    <row r="97">
      <c r="A97" s="90"/>
      <c r="B97" s="90"/>
      <c r="C97" s="90"/>
      <c r="D97" s="90"/>
      <c r="E97" s="90"/>
      <c r="F97" s="90"/>
      <c r="G97" s="90"/>
      <c r="H97" s="90"/>
    </row>
    <row r="98">
      <c r="A98" s="90"/>
      <c r="B98" s="90"/>
      <c r="C98" s="90"/>
      <c r="D98" s="90"/>
      <c r="E98" s="90"/>
      <c r="F98" s="90"/>
      <c r="G98" s="90"/>
      <c r="H98" s="90"/>
    </row>
    <row r="99">
      <c r="A99" s="90"/>
      <c r="B99" s="90"/>
      <c r="C99" s="90"/>
      <c r="D99" s="90"/>
      <c r="E99" s="90"/>
      <c r="F99" s="90"/>
      <c r="G99" s="90"/>
      <c r="H99" s="90"/>
    </row>
    <row r="100">
      <c r="A100" s="90"/>
      <c r="B100" s="90"/>
      <c r="C100" s="90"/>
      <c r="D100" s="90"/>
      <c r="E100" s="90"/>
      <c r="F100" s="90"/>
      <c r="G100" s="90"/>
      <c r="H100" s="90"/>
    </row>
    <row r="101">
      <c r="A101" s="90"/>
      <c r="B101" s="90"/>
      <c r="C101" s="90"/>
      <c r="D101" s="90"/>
      <c r="E101" s="90"/>
      <c r="F101" s="90"/>
      <c r="G101" s="90"/>
      <c r="H101" s="90"/>
    </row>
    <row r="102">
      <c r="A102" s="90"/>
      <c r="B102" s="90"/>
      <c r="C102" s="90"/>
      <c r="D102" s="90"/>
      <c r="E102" s="90"/>
      <c r="F102" s="90"/>
      <c r="G102" s="90"/>
      <c r="H102" s="90"/>
    </row>
    <row r="103">
      <c r="A103" s="90"/>
      <c r="B103" s="90"/>
      <c r="C103" s="90"/>
      <c r="D103" s="90"/>
      <c r="E103" s="90"/>
      <c r="F103" s="90"/>
      <c r="G103" s="90"/>
      <c r="H103" s="90"/>
    </row>
    <row r="104">
      <c r="A104" s="90"/>
      <c r="B104" s="90"/>
      <c r="C104" s="90"/>
      <c r="D104" s="90"/>
      <c r="E104" s="90"/>
      <c r="F104" s="90"/>
      <c r="G104" s="90"/>
      <c r="H104" s="90"/>
    </row>
    <row r="105">
      <c r="A105" s="90"/>
      <c r="B105" s="90"/>
      <c r="C105" s="90"/>
      <c r="D105" s="90"/>
      <c r="E105" s="90"/>
      <c r="F105" s="90"/>
      <c r="G105" s="90"/>
      <c r="H105" s="90"/>
    </row>
    <row r="106">
      <c r="A106" s="90"/>
      <c r="B106" s="90"/>
      <c r="C106" s="90"/>
      <c r="D106" s="90"/>
      <c r="E106" s="90"/>
      <c r="F106" s="90"/>
      <c r="G106" s="90"/>
      <c r="H106" s="90"/>
    </row>
    <row r="107">
      <c r="A107" s="90"/>
      <c r="B107" s="90"/>
      <c r="C107" s="90"/>
      <c r="D107" s="90"/>
      <c r="E107" s="90"/>
      <c r="F107" s="90"/>
      <c r="G107" s="90"/>
      <c r="H107" s="90"/>
    </row>
    <row r="108">
      <c r="A108" s="90"/>
      <c r="B108" s="90"/>
      <c r="C108" s="90"/>
      <c r="D108" s="90"/>
      <c r="E108" s="90"/>
      <c r="F108" s="90"/>
      <c r="G108" s="90"/>
      <c r="H108" s="90"/>
    </row>
    <row r="109">
      <c r="A109" s="90"/>
      <c r="B109" s="90"/>
      <c r="C109" s="90"/>
      <c r="D109" s="90"/>
      <c r="E109" s="90"/>
      <c r="F109" s="90"/>
      <c r="G109" s="90"/>
      <c r="H109" s="90"/>
    </row>
    <row r="110">
      <c r="A110" s="90"/>
      <c r="B110" s="90"/>
      <c r="C110" s="90"/>
      <c r="D110" s="90"/>
      <c r="E110" s="90"/>
      <c r="F110" s="90"/>
      <c r="G110" s="90"/>
      <c r="H110" s="90"/>
    </row>
    <row r="111">
      <c r="A111" s="90"/>
      <c r="B111" s="90"/>
      <c r="C111" s="90"/>
      <c r="D111" s="90"/>
      <c r="E111" s="90"/>
      <c r="F111" s="90"/>
      <c r="G111" s="90"/>
      <c r="H111" s="90"/>
    </row>
    <row r="112">
      <c r="A112" s="90"/>
      <c r="B112" s="90"/>
      <c r="C112" s="90"/>
      <c r="D112" s="90"/>
      <c r="E112" s="90"/>
      <c r="F112" s="90"/>
      <c r="G112" s="90"/>
      <c r="H112" s="90"/>
    </row>
    <row r="113">
      <c r="A113" s="90"/>
      <c r="B113" s="90"/>
      <c r="C113" s="90"/>
      <c r="D113" s="90"/>
      <c r="E113" s="90"/>
      <c r="F113" s="90"/>
      <c r="G113" s="90"/>
      <c r="H113" s="90"/>
    </row>
    <row r="114">
      <c r="A114" s="90"/>
      <c r="B114" s="90"/>
      <c r="C114" s="90"/>
      <c r="D114" s="90"/>
      <c r="E114" s="90"/>
      <c r="F114" s="90"/>
      <c r="G114" s="90"/>
      <c r="H114" s="90"/>
    </row>
    <row r="115">
      <c r="A115" s="90"/>
      <c r="B115" s="90"/>
      <c r="C115" s="90"/>
      <c r="D115" s="90"/>
      <c r="E115" s="90"/>
      <c r="F115" s="90"/>
      <c r="G115" s="90"/>
      <c r="H115" s="90"/>
    </row>
    <row r="116">
      <c r="A116" s="90"/>
      <c r="B116" s="90"/>
      <c r="C116" s="90"/>
      <c r="D116" s="90"/>
      <c r="E116" s="90"/>
      <c r="F116" s="90"/>
      <c r="G116" s="90"/>
      <c r="H116" s="90"/>
    </row>
    <row r="117">
      <c r="A117" s="90"/>
      <c r="B117" s="90"/>
      <c r="C117" s="90"/>
      <c r="D117" s="90"/>
      <c r="E117" s="90"/>
      <c r="F117" s="90"/>
      <c r="G117" s="90"/>
      <c r="H117" s="90"/>
    </row>
    <row r="118">
      <c r="A118" s="90"/>
      <c r="B118" s="90"/>
      <c r="C118" s="90"/>
      <c r="D118" s="90"/>
      <c r="E118" s="90"/>
      <c r="F118" s="90"/>
      <c r="G118" s="90"/>
      <c r="H118" s="90"/>
    </row>
    <row r="119">
      <c r="A119" s="90"/>
      <c r="B119" s="90"/>
      <c r="C119" s="90"/>
      <c r="D119" s="90"/>
      <c r="E119" s="90"/>
      <c r="F119" s="90"/>
      <c r="G119" s="90"/>
      <c r="H119" s="90"/>
    </row>
    <row r="120">
      <c r="A120" s="90"/>
      <c r="B120" s="90"/>
      <c r="C120" s="90"/>
      <c r="D120" s="90"/>
      <c r="E120" s="90"/>
      <c r="F120" s="90"/>
      <c r="G120" s="90"/>
      <c r="H120" s="90"/>
    </row>
    <row r="121">
      <c r="A121" s="90"/>
      <c r="B121" s="90"/>
      <c r="C121" s="90"/>
      <c r="D121" s="90"/>
      <c r="E121" s="90"/>
      <c r="F121" s="90"/>
      <c r="G121" s="90"/>
      <c r="H121" s="90"/>
    </row>
    <row r="122">
      <c r="A122" s="90"/>
      <c r="B122" s="90"/>
      <c r="C122" s="90"/>
      <c r="D122" s="90"/>
      <c r="E122" s="90"/>
      <c r="F122" s="90"/>
      <c r="G122" s="90"/>
      <c r="H122" s="90"/>
    </row>
    <row r="123">
      <c r="A123" s="90"/>
      <c r="B123" s="90"/>
      <c r="C123" s="90"/>
      <c r="D123" s="90"/>
      <c r="E123" s="90"/>
      <c r="F123" s="90"/>
      <c r="G123" s="90"/>
      <c r="H123" s="90"/>
    </row>
    <row r="124">
      <c r="A124" s="90"/>
      <c r="B124" s="90"/>
      <c r="C124" s="90"/>
      <c r="D124" s="90"/>
      <c r="E124" s="90"/>
      <c r="F124" s="90"/>
      <c r="G124" s="90"/>
      <c r="H124" s="90"/>
    </row>
    <row r="125">
      <c r="A125" s="90"/>
      <c r="B125" s="90"/>
      <c r="C125" s="90"/>
      <c r="D125" s="90"/>
      <c r="E125" s="90"/>
      <c r="F125" s="90"/>
      <c r="G125" s="90"/>
      <c r="H125" s="90"/>
    </row>
    <row r="126">
      <c r="A126" s="90"/>
      <c r="B126" s="90"/>
      <c r="C126" s="90"/>
      <c r="D126" s="90"/>
      <c r="E126" s="90"/>
      <c r="F126" s="90"/>
      <c r="G126" s="90"/>
      <c r="H126" s="90"/>
    </row>
    <row r="127">
      <c r="A127" s="90"/>
      <c r="B127" s="90"/>
      <c r="C127" s="90"/>
      <c r="D127" s="90"/>
      <c r="E127" s="90"/>
      <c r="F127" s="90"/>
      <c r="G127" s="90"/>
      <c r="H127" s="90"/>
    </row>
    <row r="128">
      <c r="A128" s="90"/>
      <c r="B128" s="90"/>
      <c r="C128" s="90"/>
      <c r="D128" s="90"/>
      <c r="E128" s="90"/>
      <c r="F128" s="90"/>
      <c r="G128" s="90"/>
      <c r="H128" s="90"/>
    </row>
    <row r="129">
      <c r="A129" s="90"/>
      <c r="B129" s="90"/>
      <c r="C129" s="90"/>
      <c r="D129" s="90"/>
      <c r="E129" s="90"/>
      <c r="F129" s="90"/>
      <c r="G129" s="90"/>
      <c r="H129" s="90"/>
    </row>
    <row r="130">
      <c r="A130" s="90"/>
      <c r="B130" s="90"/>
      <c r="C130" s="90"/>
      <c r="D130" s="90"/>
      <c r="E130" s="90"/>
      <c r="F130" s="90"/>
      <c r="G130" s="90"/>
      <c r="H130" s="90"/>
    </row>
    <row r="131">
      <c r="A131" s="90"/>
      <c r="B131" s="90"/>
      <c r="C131" s="90"/>
      <c r="D131" s="90"/>
      <c r="E131" s="90"/>
      <c r="F131" s="90"/>
      <c r="G131" s="90"/>
      <c r="H131" s="90"/>
    </row>
    <row r="132">
      <c r="A132" s="90"/>
      <c r="B132" s="90"/>
      <c r="C132" s="90"/>
      <c r="D132" s="90"/>
      <c r="E132" s="90"/>
      <c r="F132" s="90"/>
      <c r="G132" s="90"/>
      <c r="H132" s="90"/>
    </row>
    <row r="133">
      <c r="A133" s="90"/>
      <c r="B133" s="90"/>
      <c r="C133" s="90"/>
      <c r="D133" s="90"/>
      <c r="E133" s="90"/>
      <c r="F133" s="90"/>
      <c r="G133" s="90"/>
      <c r="H133" s="90"/>
    </row>
    <row r="134">
      <c r="A134" s="90"/>
      <c r="B134" s="90"/>
      <c r="C134" s="90"/>
      <c r="D134" s="90"/>
      <c r="E134" s="90"/>
      <c r="F134" s="90"/>
      <c r="G134" s="90"/>
      <c r="H134" s="90"/>
    </row>
    <row r="135">
      <c r="A135" s="90"/>
      <c r="B135" s="90"/>
      <c r="C135" s="90"/>
      <c r="D135" s="90"/>
      <c r="E135" s="90"/>
      <c r="F135" s="90"/>
      <c r="G135" s="90"/>
      <c r="H135" s="90"/>
    </row>
    <row r="136">
      <c r="A136" s="90"/>
      <c r="B136" s="90"/>
      <c r="C136" s="90"/>
      <c r="D136" s="90"/>
      <c r="E136" s="90"/>
      <c r="F136" s="90"/>
      <c r="G136" s="90"/>
      <c r="H136" s="90"/>
    </row>
    <row r="137">
      <c r="A137" s="90"/>
      <c r="B137" s="90"/>
      <c r="C137" s="90"/>
      <c r="D137" s="90"/>
      <c r="E137" s="90"/>
      <c r="F137" s="90"/>
      <c r="G137" s="90"/>
      <c r="H137" s="90"/>
    </row>
    <row r="138">
      <c r="A138" s="90"/>
      <c r="B138" s="90"/>
      <c r="C138" s="90"/>
      <c r="D138" s="90"/>
      <c r="E138" s="90"/>
      <c r="F138" s="90"/>
      <c r="G138" s="90"/>
      <c r="H138" s="90"/>
    </row>
    <row r="139">
      <c r="A139" s="90"/>
      <c r="B139" s="90"/>
      <c r="C139" s="90"/>
      <c r="D139" s="90"/>
      <c r="E139" s="90"/>
      <c r="F139" s="90"/>
      <c r="G139" s="90"/>
      <c r="H139" s="90"/>
    </row>
    <row r="140">
      <c r="A140" s="90"/>
      <c r="B140" s="90"/>
      <c r="C140" s="90"/>
      <c r="D140" s="90"/>
      <c r="E140" s="90"/>
      <c r="F140" s="90"/>
      <c r="G140" s="90"/>
      <c r="H140" s="90"/>
    </row>
    <row r="141">
      <c r="A141" s="90"/>
      <c r="B141" s="90"/>
      <c r="C141" s="90"/>
      <c r="D141" s="90"/>
      <c r="E141" s="90"/>
      <c r="F141" s="90"/>
      <c r="G141" s="90"/>
      <c r="H141" s="90"/>
    </row>
    <row r="142">
      <c r="A142" s="90"/>
      <c r="B142" s="90"/>
      <c r="C142" s="90"/>
      <c r="D142" s="90"/>
      <c r="E142" s="90"/>
      <c r="F142" s="90"/>
      <c r="G142" s="90"/>
      <c r="H142" s="90"/>
    </row>
    <row r="143">
      <c r="A143" s="90"/>
      <c r="B143" s="90"/>
      <c r="C143" s="90"/>
      <c r="D143" s="90"/>
      <c r="E143" s="90"/>
      <c r="F143" s="90"/>
      <c r="G143" s="90"/>
      <c r="H143" s="90"/>
    </row>
    <row r="144">
      <c r="A144" s="90"/>
      <c r="B144" s="90"/>
      <c r="C144" s="90"/>
      <c r="D144" s="90"/>
      <c r="E144" s="90"/>
      <c r="F144" s="90"/>
      <c r="G144" s="90"/>
      <c r="H144" s="90"/>
    </row>
    <row r="145">
      <c r="A145" s="90"/>
      <c r="B145" s="90"/>
      <c r="C145" s="90"/>
      <c r="D145" s="90"/>
      <c r="E145" s="90"/>
      <c r="F145" s="90"/>
      <c r="G145" s="90"/>
      <c r="H145" s="90"/>
    </row>
    <row r="146">
      <c r="A146" s="90"/>
      <c r="B146" s="90"/>
      <c r="C146" s="90"/>
      <c r="D146" s="90"/>
      <c r="E146" s="90"/>
      <c r="F146" s="90"/>
      <c r="G146" s="90"/>
      <c r="H146" s="90"/>
    </row>
    <row r="147">
      <c r="A147" s="90"/>
      <c r="B147" s="90"/>
      <c r="C147" s="90"/>
      <c r="D147" s="90"/>
      <c r="E147" s="90"/>
      <c r="F147" s="90"/>
      <c r="G147" s="90"/>
      <c r="H147" s="90"/>
    </row>
    <row r="148">
      <c r="A148" s="90"/>
      <c r="B148" s="90"/>
      <c r="C148" s="90"/>
      <c r="D148" s="90"/>
      <c r="E148" s="90"/>
      <c r="F148" s="90"/>
      <c r="G148" s="90"/>
      <c r="H148" s="90"/>
    </row>
    <row r="149">
      <c r="A149" s="90"/>
      <c r="B149" s="90"/>
      <c r="C149" s="90"/>
      <c r="D149" s="90"/>
      <c r="E149" s="90"/>
      <c r="F149" s="90"/>
      <c r="G149" s="90"/>
      <c r="H149" s="90"/>
    </row>
    <row r="150">
      <c r="A150" s="90"/>
      <c r="B150" s="90"/>
      <c r="C150" s="90"/>
      <c r="D150" s="90"/>
      <c r="E150" s="90"/>
      <c r="F150" s="90"/>
      <c r="G150" s="90"/>
      <c r="H150" s="90"/>
    </row>
    <row r="151">
      <c r="A151" s="90"/>
      <c r="B151" s="90"/>
      <c r="C151" s="90"/>
      <c r="D151" s="90"/>
      <c r="E151" s="90"/>
      <c r="F151" s="90"/>
      <c r="G151" s="90"/>
      <c r="H151" s="90"/>
    </row>
    <row r="152">
      <c r="A152" s="90"/>
      <c r="B152" s="90"/>
      <c r="C152" s="90"/>
      <c r="D152" s="90"/>
      <c r="E152" s="90"/>
      <c r="F152" s="90"/>
      <c r="G152" s="90"/>
      <c r="H152" s="90"/>
    </row>
    <row r="153">
      <c r="A153" s="90"/>
      <c r="B153" s="90"/>
      <c r="C153" s="90"/>
      <c r="D153" s="90"/>
      <c r="E153" s="90"/>
      <c r="F153" s="90"/>
      <c r="G153" s="90"/>
      <c r="H153" s="90"/>
    </row>
    <row r="154">
      <c r="A154" s="90"/>
      <c r="B154" s="90"/>
      <c r="C154" s="90"/>
      <c r="D154" s="90"/>
      <c r="E154" s="90"/>
      <c r="F154" s="90"/>
      <c r="G154" s="90"/>
      <c r="H154" s="90"/>
    </row>
    <row r="155">
      <c r="A155" s="90"/>
      <c r="B155" s="90"/>
      <c r="C155" s="90"/>
      <c r="D155" s="90"/>
      <c r="E155" s="90"/>
      <c r="F155" s="90"/>
      <c r="G155" s="90"/>
      <c r="H155" s="90"/>
    </row>
    <row r="156">
      <c r="A156" s="90"/>
      <c r="B156" s="90"/>
      <c r="C156" s="90"/>
      <c r="D156" s="90"/>
      <c r="E156" s="90"/>
      <c r="F156" s="90"/>
      <c r="G156" s="90"/>
      <c r="H156" s="90"/>
    </row>
    <row r="157">
      <c r="A157" s="90"/>
      <c r="B157" s="90"/>
      <c r="C157" s="90"/>
      <c r="D157" s="90"/>
      <c r="E157" s="90"/>
      <c r="F157" s="90"/>
      <c r="G157" s="90"/>
      <c r="H157" s="90"/>
    </row>
    <row r="158">
      <c r="A158" s="90"/>
      <c r="B158" s="90"/>
      <c r="C158" s="90"/>
      <c r="D158" s="90"/>
      <c r="E158" s="90"/>
      <c r="F158" s="90"/>
      <c r="G158" s="90"/>
      <c r="H158" s="90"/>
    </row>
    <row r="159">
      <c r="A159" s="90"/>
      <c r="B159" s="90"/>
      <c r="C159" s="90"/>
      <c r="D159" s="90"/>
      <c r="E159" s="90"/>
      <c r="F159" s="90"/>
      <c r="G159" s="90"/>
      <c r="H159" s="90"/>
    </row>
    <row r="160">
      <c r="A160" s="90"/>
      <c r="B160" s="90"/>
      <c r="C160" s="90"/>
      <c r="D160" s="90"/>
      <c r="E160" s="90"/>
      <c r="F160" s="90"/>
      <c r="G160" s="90"/>
      <c r="H160" s="90"/>
    </row>
    <row r="161">
      <c r="A161" s="90"/>
      <c r="B161" s="90"/>
      <c r="C161" s="90"/>
      <c r="D161" s="90"/>
      <c r="E161" s="90"/>
      <c r="F161" s="90"/>
      <c r="G161" s="90"/>
      <c r="H161" s="90"/>
    </row>
    <row r="162">
      <c r="A162" s="90"/>
      <c r="B162" s="90"/>
      <c r="C162" s="90"/>
      <c r="D162" s="90"/>
      <c r="E162" s="90"/>
      <c r="F162" s="90"/>
      <c r="G162" s="90"/>
      <c r="H162" s="90"/>
    </row>
    <row r="163">
      <c r="A163" s="90"/>
      <c r="B163" s="90"/>
      <c r="C163" s="90"/>
      <c r="D163" s="90"/>
      <c r="E163" s="90"/>
      <c r="F163" s="90"/>
      <c r="G163" s="90"/>
      <c r="H163" s="90"/>
    </row>
    <row r="164">
      <c r="A164" s="90"/>
      <c r="B164" s="90"/>
      <c r="C164" s="90"/>
      <c r="D164" s="90"/>
      <c r="E164" s="90"/>
      <c r="F164" s="90"/>
      <c r="G164" s="90"/>
      <c r="H164" s="90"/>
    </row>
    <row r="165">
      <c r="A165" s="90"/>
      <c r="B165" s="90"/>
      <c r="C165" s="90"/>
      <c r="D165" s="90"/>
      <c r="E165" s="90"/>
      <c r="F165" s="90"/>
      <c r="G165" s="90"/>
      <c r="H165" s="90"/>
    </row>
    <row r="166">
      <c r="A166" s="90"/>
      <c r="B166" s="90"/>
      <c r="C166" s="90"/>
      <c r="D166" s="90"/>
      <c r="E166" s="90"/>
      <c r="F166" s="90"/>
      <c r="G166" s="90"/>
      <c r="H166" s="90"/>
    </row>
    <row r="167">
      <c r="A167" s="90"/>
      <c r="B167" s="90"/>
      <c r="C167" s="90"/>
      <c r="D167" s="90"/>
      <c r="E167" s="90"/>
      <c r="F167" s="90"/>
      <c r="G167" s="90"/>
      <c r="H167" s="90"/>
    </row>
    <row r="168">
      <c r="A168" s="90"/>
      <c r="B168" s="90"/>
      <c r="C168" s="90"/>
      <c r="D168" s="90"/>
      <c r="E168" s="90"/>
      <c r="F168" s="90"/>
      <c r="G168" s="90"/>
      <c r="H168" s="90"/>
    </row>
    <row r="169">
      <c r="A169" s="90"/>
      <c r="B169" s="90"/>
      <c r="C169" s="90"/>
      <c r="D169" s="90"/>
      <c r="E169" s="90"/>
      <c r="F169" s="90"/>
      <c r="G169" s="90"/>
      <c r="H169" s="90"/>
    </row>
    <row r="170">
      <c r="A170" s="90"/>
      <c r="B170" s="90"/>
      <c r="C170" s="90"/>
      <c r="D170" s="90"/>
      <c r="E170" s="90"/>
      <c r="F170" s="90"/>
      <c r="G170" s="90"/>
      <c r="H170" s="90"/>
    </row>
    <row r="171">
      <c r="A171" s="90"/>
      <c r="B171" s="90"/>
      <c r="C171" s="90"/>
      <c r="D171" s="90"/>
      <c r="E171" s="90"/>
      <c r="F171" s="90"/>
      <c r="G171" s="90"/>
      <c r="H171" s="90"/>
    </row>
    <row r="172">
      <c r="A172" s="90"/>
      <c r="B172" s="90"/>
      <c r="C172" s="90"/>
      <c r="D172" s="90"/>
      <c r="E172" s="90"/>
      <c r="F172" s="90"/>
      <c r="G172" s="90"/>
      <c r="H172" s="90"/>
    </row>
    <row r="173">
      <c r="A173" s="90"/>
      <c r="B173" s="90"/>
      <c r="C173" s="90"/>
      <c r="D173" s="90"/>
      <c r="E173" s="90"/>
      <c r="F173" s="90"/>
      <c r="G173" s="90"/>
      <c r="H173" s="90"/>
    </row>
    <row r="174">
      <c r="A174" s="90"/>
      <c r="B174" s="90"/>
      <c r="C174" s="90"/>
      <c r="D174" s="90"/>
      <c r="E174" s="90"/>
      <c r="F174" s="90"/>
      <c r="G174" s="90"/>
      <c r="H174" s="90"/>
    </row>
    <row r="175">
      <c r="A175" s="90"/>
      <c r="B175" s="90"/>
      <c r="C175" s="90"/>
      <c r="D175" s="90"/>
      <c r="E175" s="90"/>
      <c r="F175" s="90"/>
      <c r="G175" s="90"/>
      <c r="H175" s="90"/>
    </row>
    <row r="176">
      <c r="A176" s="90"/>
      <c r="B176" s="90"/>
      <c r="C176" s="90"/>
      <c r="D176" s="90"/>
      <c r="E176" s="90"/>
      <c r="F176" s="90"/>
      <c r="G176" s="90"/>
      <c r="H176" s="90"/>
    </row>
    <row r="177">
      <c r="A177" s="90"/>
      <c r="B177" s="90"/>
      <c r="C177" s="90"/>
      <c r="D177" s="90"/>
      <c r="E177" s="90"/>
      <c r="F177" s="90"/>
      <c r="G177" s="90"/>
      <c r="H177" s="90"/>
    </row>
    <row r="178">
      <c r="A178" s="90"/>
      <c r="B178" s="90"/>
      <c r="C178" s="90"/>
      <c r="D178" s="90"/>
      <c r="E178" s="90"/>
      <c r="F178" s="90"/>
      <c r="G178" s="90"/>
      <c r="H178" s="90"/>
    </row>
    <row r="179">
      <c r="A179" s="90"/>
      <c r="B179" s="90"/>
      <c r="C179" s="90"/>
      <c r="D179" s="90"/>
      <c r="E179" s="90"/>
      <c r="F179" s="90"/>
      <c r="G179" s="90"/>
      <c r="H179" s="90"/>
    </row>
    <row r="180">
      <c r="A180" s="90"/>
      <c r="B180" s="90"/>
      <c r="C180" s="90"/>
      <c r="D180" s="90"/>
      <c r="E180" s="90"/>
      <c r="F180" s="90"/>
      <c r="G180" s="90"/>
      <c r="H180" s="90"/>
    </row>
    <row r="181">
      <c r="A181" s="90"/>
      <c r="B181" s="90"/>
      <c r="C181" s="90"/>
      <c r="D181" s="90"/>
      <c r="E181" s="90"/>
      <c r="F181" s="90"/>
      <c r="G181" s="90"/>
      <c r="H181" s="90"/>
    </row>
    <row r="182">
      <c r="A182" s="90"/>
      <c r="B182" s="90"/>
      <c r="C182" s="90"/>
      <c r="D182" s="90"/>
      <c r="E182" s="90"/>
      <c r="F182" s="90"/>
      <c r="G182" s="90"/>
      <c r="H182" s="90"/>
    </row>
    <row r="183">
      <c r="A183" s="90"/>
      <c r="B183" s="90"/>
      <c r="C183" s="90"/>
      <c r="D183" s="90"/>
      <c r="E183" s="90"/>
      <c r="F183" s="90"/>
      <c r="G183" s="90"/>
      <c r="H183" s="90"/>
    </row>
    <row r="184">
      <c r="A184" s="90"/>
      <c r="B184" s="90"/>
      <c r="C184" s="90"/>
      <c r="D184" s="90"/>
      <c r="E184" s="90"/>
      <c r="F184" s="90"/>
      <c r="G184" s="90"/>
      <c r="H184" s="90"/>
    </row>
    <row r="185">
      <c r="A185" s="90"/>
      <c r="B185" s="90"/>
      <c r="C185" s="90"/>
      <c r="D185" s="90"/>
      <c r="E185" s="90"/>
      <c r="F185" s="90"/>
      <c r="G185" s="90"/>
      <c r="H185" s="90"/>
    </row>
    <row r="186">
      <c r="A186" s="90"/>
      <c r="B186" s="90"/>
      <c r="C186" s="90"/>
      <c r="D186" s="90"/>
      <c r="E186" s="90"/>
      <c r="F186" s="90"/>
      <c r="G186" s="90"/>
      <c r="H186" s="90"/>
    </row>
    <row r="187">
      <c r="A187" s="90"/>
      <c r="B187" s="90"/>
      <c r="C187" s="90"/>
      <c r="D187" s="90"/>
      <c r="E187" s="90"/>
      <c r="F187" s="90"/>
      <c r="G187" s="90"/>
      <c r="H187" s="90"/>
    </row>
    <row r="188">
      <c r="A188" s="90"/>
      <c r="B188" s="90"/>
      <c r="C188" s="90"/>
      <c r="D188" s="90"/>
      <c r="E188" s="90"/>
      <c r="F188" s="90"/>
      <c r="G188" s="90"/>
      <c r="H188" s="90"/>
    </row>
    <row r="189">
      <c r="A189" s="90"/>
      <c r="B189" s="90"/>
      <c r="C189" s="90"/>
      <c r="D189" s="90"/>
      <c r="E189" s="90"/>
      <c r="F189" s="90"/>
      <c r="G189" s="90"/>
      <c r="H189" s="90"/>
    </row>
    <row r="190">
      <c r="A190" s="90"/>
      <c r="B190" s="90"/>
      <c r="C190" s="90"/>
      <c r="D190" s="90"/>
      <c r="E190" s="90"/>
      <c r="F190" s="90"/>
      <c r="G190" s="90"/>
      <c r="H190" s="90"/>
    </row>
    <row r="191">
      <c r="A191" s="90"/>
      <c r="B191" s="90"/>
      <c r="C191" s="90"/>
      <c r="D191" s="90"/>
      <c r="E191" s="90"/>
      <c r="F191" s="90"/>
      <c r="G191" s="90"/>
      <c r="H191" s="90"/>
    </row>
    <row r="192">
      <c r="A192" s="90"/>
      <c r="B192" s="90"/>
      <c r="C192" s="90"/>
      <c r="D192" s="90"/>
      <c r="E192" s="90"/>
      <c r="F192" s="90"/>
      <c r="G192" s="90"/>
      <c r="H192" s="90"/>
    </row>
    <row r="193">
      <c r="A193" s="90"/>
      <c r="B193" s="90"/>
      <c r="C193" s="90"/>
      <c r="D193" s="90"/>
      <c r="E193" s="90"/>
      <c r="F193" s="90"/>
      <c r="G193" s="90"/>
      <c r="H193" s="90"/>
    </row>
    <row r="194">
      <c r="A194" s="90"/>
      <c r="B194" s="90"/>
      <c r="C194" s="90"/>
      <c r="D194" s="90"/>
      <c r="E194" s="90"/>
      <c r="F194" s="90"/>
      <c r="G194" s="90"/>
      <c r="H194" s="90"/>
    </row>
    <row r="195">
      <c r="A195" s="90"/>
      <c r="B195" s="90"/>
      <c r="C195" s="90"/>
      <c r="D195" s="90"/>
      <c r="E195" s="90"/>
      <c r="F195" s="90"/>
      <c r="G195" s="90"/>
      <c r="H195" s="90"/>
    </row>
    <row r="196">
      <c r="A196" s="90"/>
      <c r="B196" s="90"/>
      <c r="C196" s="90"/>
      <c r="D196" s="90"/>
      <c r="E196" s="90"/>
      <c r="F196" s="90"/>
      <c r="G196" s="90"/>
      <c r="H196" s="90"/>
    </row>
    <row r="197">
      <c r="A197" s="90"/>
      <c r="B197" s="90"/>
      <c r="C197" s="90"/>
      <c r="D197" s="90"/>
      <c r="E197" s="90"/>
      <c r="F197" s="90"/>
      <c r="G197" s="90"/>
      <c r="H197" s="90"/>
    </row>
    <row r="198">
      <c r="A198" s="90"/>
      <c r="B198" s="90"/>
      <c r="C198" s="90"/>
      <c r="D198" s="90"/>
      <c r="E198" s="90"/>
      <c r="F198" s="90"/>
      <c r="G198" s="90"/>
      <c r="H198" s="90"/>
    </row>
    <row r="199">
      <c r="A199" s="90"/>
      <c r="B199" s="90"/>
      <c r="C199" s="90"/>
      <c r="D199" s="90"/>
      <c r="E199" s="90"/>
      <c r="F199" s="90"/>
      <c r="G199" s="90"/>
      <c r="H199" s="90"/>
    </row>
    <row r="200">
      <c r="A200" s="90"/>
      <c r="B200" s="90"/>
      <c r="C200" s="90"/>
      <c r="D200" s="90"/>
      <c r="E200" s="90"/>
      <c r="F200" s="90"/>
      <c r="G200" s="90"/>
      <c r="H200" s="90"/>
    </row>
    <row r="201">
      <c r="A201" s="90"/>
      <c r="B201" s="90"/>
      <c r="C201" s="90"/>
      <c r="D201" s="90"/>
      <c r="E201" s="90"/>
      <c r="F201" s="90"/>
      <c r="G201" s="90"/>
      <c r="H201" s="90"/>
    </row>
    <row r="202">
      <c r="A202" s="90"/>
      <c r="B202" s="90"/>
      <c r="C202" s="90"/>
      <c r="D202" s="90"/>
      <c r="E202" s="90"/>
      <c r="F202" s="90"/>
      <c r="G202" s="90"/>
      <c r="H202" s="90"/>
    </row>
    <row r="203">
      <c r="A203" s="90"/>
      <c r="B203" s="90"/>
      <c r="C203" s="90"/>
      <c r="D203" s="90"/>
      <c r="E203" s="90"/>
      <c r="F203" s="90"/>
      <c r="G203" s="90"/>
      <c r="H203" s="90"/>
    </row>
    <row r="204">
      <c r="A204" s="90"/>
      <c r="B204" s="90"/>
      <c r="C204" s="90"/>
      <c r="D204" s="90"/>
      <c r="E204" s="90"/>
      <c r="F204" s="90"/>
      <c r="G204" s="90"/>
      <c r="H204" s="90"/>
    </row>
    <row r="205">
      <c r="A205" s="90"/>
      <c r="B205" s="90"/>
      <c r="C205" s="90"/>
      <c r="D205" s="90"/>
      <c r="E205" s="90"/>
      <c r="F205" s="90"/>
      <c r="G205" s="90"/>
      <c r="H205" s="90"/>
    </row>
    <row r="206">
      <c r="A206" s="90"/>
      <c r="B206" s="90"/>
      <c r="C206" s="90"/>
      <c r="D206" s="90"/>
      <c r="E206" s="90"/>
      <c r="F206" s="90"/>
      <c r="G206" s="90"/>
      <c r="H206" s="90"/>
    </row>
    <row r="207">
      <c r="A207" s="90"/>
      <c r="B207" s="90"/>
      <c r="C207" s="90"/>
      <c r="D207" s="90"/>
      <c r="E207" s="90"/>
      <c r="F207" s="90"/>
      <c r="G207" s="90"/>
      <c r="H207" s="90"/>
    </row>
    <row r="208">
      <c r="A208" s="90"/>
      <c r="B208" s="90"/>
      <c r="C208" s="90"/>
      <c r="D208" s="90"/>
      <c r="E208" s="90"/>
      <c r="F208" s="90"/>
      <c r="G208" s="90"/>
      <c r="H208" s="90"/>
    </row>
    <row r="209">
      <c r="A209" s="90"/>
      <c r="B209" s="90"/>
      <c r="C209" s="90"/>
      <c r="D209" s="90"/>
      <c r="E209" s="90"/>
      <c r="F209" s="90"/>
      <c r="G209" s="90"/>
      <c r="H209" s="90"/>
    </row>
    <row r="210">
      <c r="A210" s="90"/>
      <c r="B210" s="90"/>
      <c r="C210" s="90"/>
      <c r="D210" s="90"/>
      <c r="E210" s="90"/>
      <c r="F210" s="90"/>
      <c r="G210" s="90"/>
      <c r="H210" s="90"/>
    </row>
    <row r="211">
      <c r="A211" s="90"/>
      <c r="B211" s="90"/>
      <c r="C211" s="90"/>
      <c r="D211" s="90"/>
      <c r="E211" s="90"/>
      <c r="F211" s="90"/>
      <c r="G211" s="90"/>
      <c r="H211" s="90"/>
    </row>
    <row r="212">
      <c r="A212" s="90"/>
      <c r="B212" s="90"/>
      <c r="C212" s="90"/>
      <c r="D212" s="90"/>
      <c r="E212" s="90"/>
      <c r="F212" s="90"/>
      <c r="G212" s="90"/>
      <c r="H212" s="90"/>
    </row>
    <row r="213">
      <c r="A213" s="90"/>
      <c r="B213" s="90"/>
      <c r="C213" s="90"/>
      <c r="D213" s="90"/>
      <c r="E213" s="90"/>
      <c r="F213" s="90"/>
      <c r="G213" s="90"/>
      <c r="H213" s="90"/>
    </row>
    <row r="214">
      <c r="A214" s="90"/>
      <c r="B214" s="90"/>
      <c r="C214" s="90"/>
      <c r="D214" s="90"/>
      <c r="E214" s="90"/>
      <c r="F214" s="90"/>
      <c r="G214" s="90"/>
      <c r="H214" s="90"/>
    </row>
    <row r="215">
      <c r="A215" s="90"/>
      <c r="B215" s="90"/>
      <c r="C215" s="90"/>
      <c r="D215" s="90"/>
      <c r="E215" s="90"/>
      <c r="F215" s="90"/>
      <c r="G215" s="90"/>
      <c r="H215" s="90"/>
    </row>
    <row r="216">
      <c r="A216" s="90"/>
      <c r="B216" s="90"/>
      <c r="C216" s="90"/>
      <c r="D216" s="90"/>
      <c r="E216" s="90"/>
      <c r="F216" s="90"/>
      <c r="G216" s="90"/>
      <c r="H216" s="90"/>
    </row>
    <row r="217">
      <c r="A217" s="90"/>
      <c r="B217" s="90"/>
      <c r="C217" s="90"/>
      <c r="D217" s="90"/>
      <c r="E217" s="90"/>
      <c r="F217" s="90"/>
      <c r="G217" s="90"/>
      <c r="H217" s="90"/>
    </row>
    <row r="218">
      <c r="A218" s="90"/>
      <c r="B218" s="90"/>
      <c r="C218" s="90"/>
      <c r="D218" s="90"/>
      <c r="E218" s="90"/>
      <c r="F218" s="90"/>
      <c r="G218" s="90"/>
      <c r="H218" s="90"/>
    </row>
    <row r="219">
      <c r="A219" s="90"/>
      <c r="B219" s="90"/>
      <c r="C219" s="90"/>
      <c r="D219" s="90"/>
      <c r="E219" s="90"/>
      <c r="F219" s="90"/>
      <c r="G219" s="90"/>
      <c r="H219" s="90"/>
    </row>
    <row r="220">
      <c r="A220" s="90"/>
      <c r="B220" s="90"/>
      <c r="C220" s="90"/>
      <c r="D220" s="90"/>
      <c r="E220" s="90"/>
      <c r="F220" s="90"/>
      <c r="G220" s="90"/>
      <c r="H220" s="90"/>
    </row>
    <row r="221">
      <c r="A221" s="90"/>
      <c r="B221" s="90"/>
      <c r="C221" s="90"/>
      <c r="D221" s="90"/>
      <c r="E221" s="90"/>
      <c r="F221" s="90"/>
      <c r="G221" s="90"/>
      <c r="H221" s="90"/>
    </row>
    <row r="222">
      <c r="A222" s="90"/>
      <c r="B222" s="90"/>
      <c r="C222" s="90"/>
      <c r="D222" s="90"/>
      <c r="E222" s="90"/>
      <c r="F222" s="90"/>
      <c r="G222" s="90"/>
      <c r="H222" s="90"/>
    </row>
    <row r="223">
      <c r="A223" s="90"/>
      <c r="B223" s="90"/>
      <c r="C223" s="90"/>
      <c r="D223" s="90"/>
      <c r="E223" s="90"/>
      <c r="F223" s="90"/>
      <c r="G223" s="90"/>
      <c r="H223" s="90"/>
    </row>
    <row r="224">
      <c r="A224" s="90"/>
      <c r="B224" s="90"/>
      <c r="C224" s="90"/>
      <c r="D224" s="90"/>
      <c r="E224" s="90"/>
      <c r="F224" s="90"/>
      <c r="G224" s="90"/>
      <c r="H224" s="90"/>
    </row>
    <row r="225">
      <c r="A225" s="90"/>
      <c r="B225" s="90"/>
      <c r="C225" s="90"/>
      <c r="D225" s="90"/>
      <c r="E225" s="90"/>
      <c r="F225" s="90"/>
      <c r="G225" s="90"/>
      <c r="H225" s="90"/>
    </row>
    <row r="226">
      <c r="A226" s="90"/>
      <c r="B226" s="90"/>
      <c r="C226" s="90"/>
      <c r="D226" s="90"/>
      <c r="E226" s="90"/>
      <c r="F226" s="90"/>
      <c r="G226" s="90"/>
      <c r="H226" s="90"/>
    </row>
    <row r="227">
      <c r="A227" s="90"/>
      <c r="B227" s="90"/>
      <c r="C227" s="90"/>
      <c r="D227" s="90"/>
      <c r="E227" s="90"/>
      <c r="F227" s="90"/>
      <c r="G227" s="90"/>
      <c r="H227" s="90"/>
    </row>
    <row r="228">
      <c r="A228" s="90"/>
      <c r="B228" s="90"/>
      <c r="C228" s="90"/>
      <c r="D228" s="90"/>
      <c r="E228" s="90"/>
      <c r="F228" s="90"/>
      <c r="G228" s="90"/>
      <c r="H228" s="90"/>
    </row>
    <row r="229">
      <c r="A229" s="90"/>
      <c r="B229" s="90"/>
      <c r="C229" s="90"/>
      <c r="D229" s="90"/>
      <c r="E229" s="90"/>
      <c r="F229" s="90"/>
      <c r="G229" s="90"/>
      <c r="H229" s="90"/>
    </row>
    <row r="230">
      <c r="A230" s="90"/>
      <c r="B230" s="90"/>
      <c r="C230" s="90"/>
      <c r="D230" s="90"/>
      <c r="E230" s="90"/>
      <c r="F230" s="90"/>
      <c r="G230" s="90"/>
      <c r="H230" s="90"/>
    </row>
    <row r="231">
      <c r="A231" s="90"/>
      <c r="B231" s="90"/>
      <c r="C231" s="90"/>
      <c r="D231" s="90"/>
      <c r="E231" s="90"/>
      <c r="F231" s="90"/>
      <c r="G231" s="90"/>
      <c r="H231" s="90"/>
    </row>
    <row r="232">
      <c r="A232" s="90"/>
      <c r="B232" s="90"/>
      <c r="C232" s="90"/>
      <c r="D232" s="90"/>
      <c r="E232" s="90"/>
      <c r="F232" s="90"/>
      <c r="G232" s="90"/>
      <c r="H232" s="90"/>
    </row>
    <row r="233">
      <c r="A233" s="90"/>
      <c r="B233" s="90"/>
      <c r="C233" s="90"/>
      <c r="D233" s="90"/>
      <c r="E233" s="90"/>
      <c r="F233" s="90"/>
      <c r="G233" s="90"/>
      <c r="H233" s="90"/>
    </row>
    <row r="234">
      <c r="A234" s="90"/>
      <c r="B234" s="90"/>
      <c r="C234" s="90"/>
      <c r="D234" s="90"/>
      <c r="E234" s="90"/>
      <c r="F234" s="90"/>
      <c r="G234" s="90"/>
      <c r="H234" s="90"/>
    </row>
    <row r="235">
      <c r="A235" s="90"/>
      <c r="B235" s="90"/>
      <c r="C235" s="90"/>
      <c r="D235" s="90"/>
      <c r="E235" s="90"/>
      <c r="F235" s="90"/>
      <c r="G235" s="90"/>
      <c r="H235" s="90"/>
    </row>
    <row r="236">
      <c r="A236" s="90"/>
      <c r="B236" s="90"/>
      <c r="C236" s="90"/>
      <c r="D236" s="90"/>
      <c r="E236" s="90"/>
      <c r="F236" s="90"/>
      <c r="G236" s="90"/>
      <c r="H236" s="90"/>
    </row>
    <row r="237">
      <c r="A237" s="90"/>
      <c r="B237" s="90"/>
      <c r="C237" s="90"/>
      <c r="D237" s="90"/>
      <c r="E237" s="90"/>
      <c r="F237" s="90"/>
      <c r="G237" s="90"/>
      <c r="H237" s="90"/>
    </row>
    <row r="238">
      <c r="A238" s="90"/>
      <c r="B238" s="90"/>
      <c r="C238" s="90"/>
      <c r="D238" s="90"/>
      <c r="E238" s="90"/>
      <c r="F238" s="90"/>
      <c r="G238" s="90"/>
      <c r="H238" s="90"/>
    </row>
    <row r="239">
      <c r="A239" s="90"/>
      <c r="B239" s="90"/>
      <c r="C239" s="90"/>
      <c r="D239" s="90"/>
      <c r="E239" s="90"/>
      <c r="F239" s="90"/>
      <c r="G239" s="90"/>
      <c r="H239" s="90"/>
    </row>
    <row r="240">
      <c r="A240" s="90"/>
      <c r="B240" s="90"/>
      <c r="C240" s="90"/>
      <c r="D240" s="90"/>
      <c r="E240" s="90"/>
      <c r="F240" s="90"/>
      <c r="G240" s="90"/>
      <c r="H240" s="90"/>
    </row>
    <row r="241">
      <c r="A241" s="90"/>
      <c r="B241" s="90"/>
      <c r="C241" s="90"/>
      <c r="D241" s="90"/>
      <c r="E241" s="90"/>
      <c r="F241" s="90"/>
      <c r="G241" s="90"/>
      <c r="H241" s="90"/>
    </row>
    <row r="242">
      <c r="A242" s="90"/>
      <c r="B242" s="90"/>
      <c r="C242" s="90"/>
      <c r="D242" s="90"/>
      <c r="E242" s="90"/>
      <c r="F242" s="90"/>
      <c r="G242" s="90"/>
      <c r="H242" s="90"/>
    </row>
    <row r="243">
      <c r="A243" s="90"/>
      <c r="B243" s="90"/>
      <c r="C243" s="90"/>
      <c r="D243" s="90"/>
      <c r="E243" s="90"/>
      <c r="F243" s="90"/>
      <c r="G243" s="90"/>
      <c r="H243" s="90"/>
    </row>
    <row r="244">
      <c r="A244" s="90"/>
      <c r="B244" s="90"/>
      <c r="C244" s="90"/>
      <c r="D244" s="90"/>
      <c r="E244" s="90"/>
      <c r="F244" s="90"/>
      <c r="G244" s="90"/>
      <c r="H244" s="90"/>
    </row>
    <row r="245">
      <c r="A245" s="90"/>
      <c r="B245" s="90"/>
      <c r="C245" s="90"/>
      <c r="D245" s="90"/>
      <c r="E245" s="90"/>
      <c r="F245" s="90"/>
      <c r="G245" s="90"/>
      <c r="H245" s="90"/>
    </row>
    <row r="246">
      <c r="A246" s="90"/>
      <c r="B246" s="90"/>
      <c r="C246" s="90"/>
      <c r="D246" s="90"/>
      <c r="E246" s="90"/>
      <c r="F246" s="90"/>
      <c r="G246" s="90"/>
      <c r="H246" s="90"/>
    </row>
    <row r="247">
      <c r="A247" s="90"/>
      <c r="B247" s="90"/>
      <c r="C247" s="90"/>
      <c r="D247" s="90"/>
      <c r="E247" s="90"/>
      <c r="F247" s="90"/>
      <c r="G247" s="90"/>
      <c r="H247" s="90"/>
    </row>
    <row r="248">
      <c r="A248" s="90"/>
      <c r="B248" s="90"/>
      <c r="C248" s="90"/>
      <c r="D248" s="90"/>
      <c r="E248" s="90"/>
      <c r="F248" s="90"/>
      <c r="G248" s="90"/>
      <c r="H248" s="90"/>
    </row>
    <row r="249">
      <c r="A249" s="90"/>
      <c r="B249" s="90"/>
      <c r="C249" s="90"/>
      <c r="D249" s="90"/>
      <c r="E249" s="90"/>
      <c r="F249" s="90"/>
      <c r="G249" s="90"/>
      <c r="H249" s="90"/>
    </row>
    <row r="250">
      <c r="A250" s="90"/>
      <c r="B250" s="90"/>
      <c r="C250" s="90"/>
      <c r="D250" s="90"/>
      <c r="E250" s="90"/>
      <c r="F250" s="90"/>
      <c r="G250" s="90"/>
      <c r="H250" s="90"/>
    </row>
    <row r="251">
      <c r="A251" s="90"/>
      <c r="B251" s="90"/>
      <c r="C251" s="90"/>
      <c r="D251" s="90"/>
      <c r="E251" s="90"/>
      <c r="F251" s="90"/>
      <c r="G251" s="90"/>
      <c r="H251" s="90"/>
    </row>
    <row r="252">
      <c r="A252" s="90"/>
      <c r="B252" s="90"/>
      <c r="C252" s="90"/>
      <c r="D252" s="90"/>
      <c r="E252" s="90"/>
      <c r="F252" s="90"/>
      <c r="G252" s="90"/>
      <c r="H252" s="90"/>
    </row>
    <row r="253">
      <c r="A253" s="90"/>
      <c r="B253" s="90"/>
      <c r="C253" s="90"/>
      <c r="D253" s="90"/>
      <c r="E253" s="90"/>
      <c r="F253" s="90"/>
      <c r="G253" s="90"/>
      <c r="H253" s="90"/>
    </row>
    <row r="254">
      <c r="A254" s="90"/>
      <c r="B254" s="90"/>
      <c r="C254" s="90"/>
      <c r="D254" s="90"/>
      <c r="E254" s="90"/>
      <c r="F254" s="90"/>
      <c r="G254" s="90"/>
      <c r="H254" s="90"/>
    </row>
    <row r="255">
      <c r="A255" s="90"/>
      <c r="B255" s="90"/>
      <c r="C255" s="90"/>
      <c r="D255" s="90"/>
      <c r="E255" s="90"/>
      <c r="F255" s="90"/>
      <c r="G255" s="90"/>
      <c r="H255" s="90"/>
    </row>
    <row r="256">
      <c r="A256" s="90"/>
      <c r="B256" s="90"/>
      <c r="C256" s="90"/>
      <c r="D256" s="90"/>
      <c r="E256" s="90"/>
      <c r="F256" s="90"/>
      <c r="G256" s="90"/>
      <c r="H256" s="90"/>
    </row>
    <row r="257">
      <c r="A257" s="90"/>
      <c r="B257" s="90"/>
      <c r="C257" s="90"/>
      <c r="D257" s="90"/>
      <c r="E257" s="90"/>
      <c r="F257" s="90"/>
      <c r="G257" s="90"/>
      <c r="H257" s="90"/>
    </row>
    <row r="258">
      <c r="A258" s="90"/>
      <c r="B258" s="90"/>
      <c r="C258" s="90"/>
      <c r="D258" s="90"/>
      <c r="E258" s="90"/>
      <c r="F258" s="90"/>
      <c r="G258" s="90"/>
      <c r="H258" s="90"/>
    </row>
    <row r="259">
      <c r="A259" s="90"/>
      <c r="B259" s="90"/>
      <c r="C259" s="90"/>
      <c r="D259" s="90"/>
      <c r="E259" s="90"/>
      <c r="F259" s="90"/>
      <c r="G259" s="90"/>
      <c r="H259" s="90"/>
    </row>
    <row r="260">
      <c r="A260" s="90"/>
      <c r="B260" s="90"/>
      <c r="C260" s="90"/>
      <c r="D260" s="90"/>
      <c r="E260" s="90"/>
      <c r="F260" s="90"/>
      <c r="G260" s="90"/>
      <c r="H260" s="90"/>
    </row>
    <row r="261">
      <c r="A261" s="90"/>
      <c r="B261" s="90"/>
      <c r="C261" s="90"/>
      <c r="D261" s="90"/>
      <c r="E261" s="90"/>
      <c r="F261" s="90"/>
      <c r="G261" s="90"/>
      <c r="H261" s="90"/>
    </row>
    <row r="262">
      <c r="A262" s="90"/>
      <c r="B262" s="90"/>
      <c r="C262" s="90"/>
      <c r="D262" s="90"/>
      <c r="E262" s="90"/>
      <c r="F262" s="90"/>
      <c r="G262" s="90"/>
      <c r="H262" s="90"/>
    </row>
    <row r="263">
      <c r="A263" s="90"/>
      <c r="B263" s="90"/>
      <c r="C263" s="90"/>
      <c r="D263" s="90"/>
      <c r="E263" s="90"/>
      <c r="F263" s="90"/>
      <c r="G263" s="90"/>
      <c r="H263" s="90"/>
    </row>
    <row r="264">
      <c r="A264" s="90"/>
      <c r="B264" s="90"/>
      <c r="C264" s="90"/>
      <c r="D264" s="90"/>
      <c r="E264" s="90"/>
      <c r="F264" s="90"/>
      <c r="G264" s="90"/>
      <c r="H264" s="90"/>
    </row>
    <row r="265">
      <c r="A265" s="90"/>
      <c r="B265" s="90"/>
      <c r="C265" s="90"/>
      <c r="D265" s="90"/>
      <c r="E265" s="90"/>
      <c r="F265" s="90"/>
      <c r="G265" s="90"/>
      <c r="H265" s="90"/>
    </row>
    <row r="266">
      <c r="A266" s="90"/>
      <c r="B266" s="90"/>
      <c r="C266" s="90"/>
      <c r="D266" s="90"/>
      <c r="E266" s="90"/>
      <c r="F266" s="90"/>
      <c r="G266" s="90"/>
      <c r="H266" s="90"/>
    </row>
    <row r="267">
      <c r="A267" s="90"/>
      <c r="B267" s="90"/>
      <c r="C267" s="90"/>
      <c r="D267" s="90"/>
      <c r="E267" s="90"/>
      <c r="F267" s="90"/>
      <c r="G267" s="90"/>
      <c r="H267" s="90"/>
    </row>
    <row r="268">
      <c r="A268" s="90"/>
      <c r="B268" s="90"/>
      <c r="C268" s="90"/>
      <c r="D268" s="90"/>
      <c r="E268" s="90"/>
      <c r="F268" s="90"/>
      <c r="G268" s="90"/>
      <c r="H268" s="90"/>
    </row>
    <row r="269">
      <c r="A269" s="90"/>
      <c r="B269" s="90"/>
      <c r="C269" s="90"/>
      <c r="D269" s="90"/>
      <c r="E269" s="90"/>
      <c r="F269" s="90"/>
      <c r="G269" s="90"/>
      <c r="H269" s="90"/>
    </row>
    <row r="270">
      <c r="A270" s="90"/>
      <c r="B270" s="90"/>
      <c r="C270" s="90"/>
      <c r="D270" s="90"/>
      <c r="E270" s="90"/>
      <c r="F270" s="90"/>
      <c r="G270" s="90"/>
      <c r="H270" s="90"/>
    </row>
    <row r="271">
      <c r="A271" s="90"/>
      <c r="B271" s="90"/>
      <c r="C271" s="90"/>
      <c r="D271" s="90"/>
      <c r="E271" s="90"/>
      <c r="F271" s="90"/>
      <c r="G271" s="90"/>
      <c r="H271" s="90"/>
    </row>
    <row r="272">
      <c r="A272" s="90"/>
      <c r="B272" s="90"/>
      <c r="C272" s="90"/>
      <c r="D272" s="90"/>
      <c r="E272" s="90"/>
      <c r="F272" s="90"/>
      <c r="G272" s="90"/>
      <c r="H272" s="90"/>
    </row>
    <row r="273">
      <c r="A273" s="90"/>
      <c r="B273" s="90"/>
      <c r="C273" s="90"/>
      <c r="D273" s="90"/>
      <c r="E273" s="90"/>
      <c r="F273" s="90"/>
      <c r="G273" s="90"/>
      <c r="H273" s="90"/>
    </row>
    <row r="274">
      <c r="A274" s="90"/>
      <c r="B274" s="90"/>
      <c r="C274" s="90"/>
      <c r="D274" s="90"/>
      <c r="E274" s="90"/>
      <c r="F274" s="90"/>
      <c r="G274" s="90"/>
      <c r="H274" s="90"/>
    </row>
    <row r="275">
      <c r="A275" s="90"/>
      <c r="B275" s="90"/>
      <c r="C275" s="90"/>
      <c r="D275" s="90"/>
      <c r="E275" s="90"/>
      <c r="F275" s="90"/>
      <c r="G275" s="90"/>
      <c r="H275" s="90"/>
    </row>
    <row r="276">
      <c r="A276" s="90"/>
      <c r="B276" s="90"/>
      <c r="C276" s="90"/>
      <c r="D276" s="90"/>
      <c r="E276" s="90"/>
      <c r="F276" s="90"/>
      <c r="G276" s="90"/>
      <c r="H276" s="90"/>
    </row>
    <row r="277">
      <c r="A277" s="90"/>
      <c r="B277" s="90"/>
      <c r="C277" s="90"/>
      <c r="D277" s="90"/>
      <c r="E277" s="90"/>
      <c r="F277" s="90"/>
      <c r="G277" s="90"/>
      <c r="H277" s="90"/>
    </row>
    <row r="278">
      <c r="A278" s="90"/>
      <c r="B278" s="90"/>
      <c r="C278" s="90"/>
      <c r="D278" s="90"/>
      <c r="E278" s="90"/>
      <c r="F278" s="90"/>
      <c r="G278" s="90"/>
      <c r="H278" s="90"/>
    </row>
    <row r="279">
      <c r="A279" s="90"/>
      <c r="B279" s="90"/>
      <c r="C279" s="90"/>
      <c r="D279" s="90"/>
      <c r="E279" s="90"/>
      <c r="F279" s="90"/>
      <c r="G279" s="90"/>
      <c r="H279" s="90"/>
    </row>
    <row r="280">
      <c r="A280" s="90"/>
      <c r="B280" s="90"/>
      <c r="C280" s="90"/>
      <c r="D280" s="90"/>
      <c r="E280" s="90"/>
      <c r="F280" s="90"/>
      <c r="G280" s="90"/>
      <c r="H280" s="90"/>
    </row>
    <row r="281">
      <c r="A281" s="90"/>
      <c r="B281" s="90"/>
      <c r="C281" s="90"/>
      <c r="D281" s="90"/>
      <c r="E281" s="90"/>
      <c r="F281" s="90"/>
      <c r="G281" s="90"/>
      <c r="H281" s="90"/>
    </row>
    <row r="282">
      <c r="A282" s="90"/>
      <c r="B282" s="90"/>
      <c r="C282" s="90"/>
      <c r="D282" s="90"/>
      <c r="E282" s="90"/>
      <c r="F282" s="90"/>
      <c r="G282" s="90"/>
      <c r="H282" s="90"/>
    </row>
    <row r="283">
      <c r="A283" s="90"/>
      <c r="B283" s="90"/>
      <c r="C283" s="90"/>
      <c r="D283" s="90"/>
      <c r="E283" s="90"/>
      <c r="F283" s="90"/>
      <c r="G283" s="90"/>
      <c r="H283" s="90"/>
    </row>
    <row r="284">
      <c r="A284" s="90"/>
      <c r="B284" s="90"/>
      <c r="C284" s="90"/>
      <c r="D284" s="90"/>
      <c r="E284" s="90"/>
      <c r="F284" s="90"/>
      <c r="G284" s="90"/>
      <c r="H284" s="90"/>
    </row>
    <row r="285">
      <c r="A285" s="90"/>
      <c r="B285" s="90"/>
      <c r="C285" s="90"/>
      <c r="D285" s="90"/>
      <c r="E285" s="90"/>
      <c r="F285" s="90"/>
      <c r="G285" s="90"/>
      <c r="H285" s="90"/>
    </row>
    <row r="286">
      <c r="A286" s="90"/>
      <c r="B286" s="90"/>
      <c r="C286" s="90"/>
      <c r="D286" s="90"/>
      <c r="E286" s="90"/>
      <c r="F286" s="90"/>
      <c r="G286" s="90"/>
      <c r="H286" s="90"/>
    </row>
    <row r="287">
      <c r="A287" s="90"/>
      <c r="B287" s="90"/>
      <c r="C287" s="90"/>
      <c r="D287" s="90"/>
      <c r="E287" s="90"/>
      <c r="F287" s="90"/>
      <c r="G287" s="90"/>
      <c r="H287" s="90"/>
    </row>
    <row r="288">
      <c r="A288" s="90"/>
      <c r="B288" s="90"/>
      <c r="C288" s="90"/>
      <c r="D288" s="90"/>
      <c r="E288" s="90"/>
      <c r="F288" s="90"/>
      <c r="G288" s="90"/>
      <c r="H288" s="90"/>
    </row>
    <row r="289">
      <c r="A289" s="90"/>
      <c r="B289" s="90"/>
      <c r="C289" s="90"/>
      <c r="D289" s="90"/>
      <c r="E289" s="90"/>
      <c r="F289" s="90"/>
      <c r="G289" s="90"/>
      <c r="H289" s="90"/>
    </row>
    <row r="290">
      <c r="A290" s="90"/>
      <c r="B290" s="90"/>
      <c r="C290" s="90"/>
      <c r="D290" s="90"/>
      <c r="E290" s="90"/>
      <c r="F290" s="90"/>
      <c r="G290" s="90"/>
      <c r="H290" s="90"/>
    </row>
    <row r="291">
      <c r="A291" s="90"/>
      <c r="B291" s="90"/>
      <c r="C291" s="90"/>
      <c r="D291" s="90"/>
      <c r="E291" s="90"/>
      <c r="F291" s="90"/>
      <c r="G291" s="90"/>
      <c r="H291" s="90"/>
    </row>
    <row r="292">
      <c r="A292" s="90"/>
      <c r="B292" s="90"/>
      <c r="C292" s="90"/>
      <c r="D292" s="90"/>
      <c r="E292" s="90"/>
      <c r="F292" s="90"/>
      <c r="G292" s="90"/>
      <c r="H292" s="90"/>
    </row>
    <row r="293">
      <c r="A293" s="90"/>
      <c r="B293" s="90"/>
      <c r="C293" s="90"/>
      <c r="D293" s="90"/>
      <c r="E293" s="90"/>
      <c r="F293" s="90"/>
      <c r="G293" s="90"/>
      <c r="H293" s="90"/>
    </row>
    <row r="294">
      <c r="A294" s="90"/>
      <c r="B294" s="90"/>
      <c r="C294" s="90"/>
      <c r="D294" s="90"/>
      <c r="E294" s="90"/>
      <c r="F294" s="90"/>
      <c r="G294" s="90"/>
      <c r="H294" s="90"/>
    </row>
    <row r="295">
      <c r="A295" s="90"/>
      <c r="B295" s="90"/>
      <c r="C295" s="90"/>
      <c r="D295" s="90"/>
      <c r="E295" s="90"/>
      <c r="F295" s="90"/>
      <c r="G295" s="90"/>
      <c r="H295" s="90"/>
    </row>
    <row r="296">
      <c r="A296" s="90"/>
      <c r="B296" s="90"/>
      <c r="C296" s="90"/>
      <c r="D296" s="90"/>
      <c r="E296" s="90"/>
      <c r="F296" s="90"/>
      <c r="G296" s="90"/>
      <c r="H296" s="90"/>
    </row>
    <row r="297">
      <c r="A297" s="90"/>
      <c r="B297" s="90"/>
      <c r="C297" s="90"/>
      <c r="D297" s="90"/>
      <c r="E297" s="90"/>
      <c r="F297" s="90"/>
      <c r="G297" s="90"/>
      <c r="H297" s="90"/>
    </row>
    <row r="298">
      <c r="A298" s="90"/>
      <c r="B298" s="90"/>
      <c r="C298" s="90"/>
      <c r="D298" s="90"/>
      <c r="E298" s="90"/>
      <c r="F298" s="90"/>
      <c r="G298" s="90"/>
      <c r="H298" s="90"/>
    </row>
    <row r="299">
      <c r="A299" s="90"/>
      <c r="B299" s="90"/>
      <c r="C299" s="90"/>
      <c r="D299" s="90"/>
      <c r="E299" s="90"/>
      <c r="F299" s="90"/>
      <c r="G299" s="90"/>
      <c r="H299" s="90"/>
    </row>
    <row r="300">
      <c r="A300" s="90"/>
      <c r="B300" s="90"/>
      <c r="C300" s="90"/>
      <c r="D300" s="90"/>
      <c r="E300" s="90"/>
      <c r="F300" s="90"/>
      <c r="G300" s="90"/>
      <c r="H300" s="90"/>
    </row>
    <row r="301">
      <c r="A301" s="90"/>
      <c r="B301" s="90"/>
      <c r="C301" s="90"/>
      <c r="D301" s="90"/>
      <c r="E301" s="90"/>
      <c r="F301" s="90"/>
      <c r="G301" s="90"/>
      <c r="H301" s="90"/>
    </row>
    <row r="302">
      <c r="A302" s="90"/>
      <c r="B302" s="90"/>
      <c r="C302" s="90"/>
      <c r="D302" s="90"/>
      <c r="E302" s="90"/>
      <c r="F302" s="90"/>
      <c r="G302" s="90"/>
      <c r="H302" s="90"/>
    </row>
    <row r="303">
      <c r="A303" s="90"/>
      <c r="B303" s="90"/>
      <c r="C303" s="90"/>
      <c r="D303" s="90"/>
      <c r="E303" s="90"/>
      <c r="F303" s="90"/>
      <c r="G303" s="90"/>
      <c r="H303" s="90"/>
    </row>
    <row r="304">
      <c r="A304" s="90"/>
      <c r="B304" s="90"/>
      <c r="C304" s="90"/>
      <c r="D304" s="90"/>
      <c r="E304" s="90"/>
      <c r="F304" s="90"/>
      <c r="G304" s="90"/>
      <c r="H304" s="90"/>
    </row>
    <row r="305">
      <c r="A305" s="90"/>
      <c r="B305" s="90"/>
      <c r="C305" s="90"/>
      <c r="D305" s="90"/>
      <c r="E305" s="90"/>
      <c r="F305" s="90"/>
      <c r="G305" s="90"/>
      <c r="H305" s="90"/>
    </row>
    <row r="306">
      <c r="A306" s="90"/>
      <c r="B306" s="90"/>
      <c r="C306" s="90"/>
      <c r="D306" s="90"/>
      <c r="E306" s="90"/>
      <c r="F306" s="90"/>
      <c r="G306" s="90"/>
      <c r="H306" s="90"/>
    </row>
    <row r="307">
      <c r="A307" s="90"/>
      <c r="B307" s="90"/>
      <c r="C307" s="90"/>
      <c r="D307" s="90"/>
      <c r="E307" s="90"/>
      <c r="F307" s="90"/>
      <c r="G307" s="90"/>
      <c r="H307" s="90"/>
    </row>
    <row r="308">
      <c r="A308" s="90"/>
      <c r="B308" s="90"/>
      <c r="C308" s="90"/>
      <c r="D308" s="90"/>
      <c r="E308" s="90"/>
      <c r="F308" s="90"/>
      <c r="G308" s="90"/>
      <c r="H308" s="90"/>
    </row>
    <row r="309">
      <c r="A309" s="90"/>
      <c r="B309" s="90"/>
      <c r="C309" s="90"/>
      <c r="D309" s="90"/>
      <c r="E309" s="90"/>
      <c r="F309" s="90"/>
      <c r="G309" s="90"/>
      <c r="H309" s="90"/>
    </row>
    <row r="310">
      <c r="A310" s="90"/>
      <c r="B310" s="90"/>
      <c r="C310" s="90"/>
      <c r="D310" s="90"/>
      <c r="E310" s="90"/>
      <c r="F310" s="90"/>
      <c r="G310" s="90"/>
      <c r="H310" s="90"/>
    </row>
    <row r="311">
      <c r="A311" s="90"/>
      <c r="B311" s="90"/>
      <c r="C311" s="90"/>
      <c r="D311" s="90"/>
      <c r="E311" s="90"/>
      <c r="F311" s="90"/>
      <c r="G311" s="90"/>
      <c r="H311" s="90"/>
    </row>
    <row r="312">
      <c r="A312" s="90"/>
      <c r="B312" s="90"/>
      <c r="C312" s="90"/>
      <c r="D312" s="90"/>
      <c r="E312" s="90"/>
      <c r="F312" s="90"/>
      <c r="G312" s="90"/>
      <c r="H312" s="90"/>
    </row>
    <row r="313">
      <c r="A313" s="90"/>
      <c r="B313" s="90"/>
      <c r="C313" s="90"/>
      <c r="D313" s="90"/>
      <c r="E313" s="90"/>
      <c r="F313" s="90"/>
      <c r="G313" s="90"/>
      <c r="H313" s="90"/>
    </row>
    <row r="314">
      <c r="A314" s="90"/>
      <c r="B314" s="90"/>
      <c r="C314" s="90"/>
      <c r="D314" s="90"/>
      <c r="E314" s="90"/>
      <c r="F314" s="90"/>
      <c r="G314" s="90"/>
      <c r="H314" s="90"/>
    </row>
    <row r="315">
      <c r="A315" s="90"/>
      <c r="B315" s="90"/>
      <c r="C315" s="90"/>
      <c r="D315" s="90"/>
      <c r="E315" s="90"/>
      <c r="F315" s="90"/>
      <c r="G315" s="90"/>
      <c r="H315" s="90"/>
    </row>
    <row r="316">
      <c r="A316" s="90"/>
      <c r="B316" s="90"/>
      <c r="C316" s="90"/>
      <c r="D316" s="90"/>
      <c r="E316" s="90"/>
      <c r="F316" s="90"/>
      <c r="G316" s="90"/>
      <c r="H316" s="90"/>
    </row>
    <row r="317">
      <c r="A317" s="90"/>
      <c r="B317" s="90"/>
      <c r="C317" s="90"/>
      <c r="D317" s="90"/>
      <c r="E317" s="90"/>
      <c r="F317" s="90"/>
      <c r="G317" s="90"/>
      <c r="H317" s="90"/>
    </row>
    <row r="318">
      <c r="A318" s="90"/>
      <c r="B318" s="90"/>
      <c r="C318" s="90"/>
      <c r="D318" s="90"/>
      <c r="E318" s="90"/>
      <c r="F318" s="90"/>
      <c r="G318" s="90"/>
      <c r="H318" s="90"/>
    </row>
    <row r="319">
      <c r="A319" s="90"/>
      <c r="B319" s="90"/>
      <c r="C319" s="90"/>
      <c r="D319" s="90"/>
      <c r="E319" s="90"/>
      <c r="F319" s="90"/>
      <c r="G319" s="90"/>
      <c r="H319" s="90"/>
    </row>
    <row r="320">
      <c r="A320" s="90"/>
      <c r="B320" s="90"/>
      <c r="C320" s="90"/>
      <c r="D320" s="90"/>
      <c r="E320" s="90"/>
      <c r="F320" s="90"/>
      <c r="G320" s="90"/>
      <c r="H320" s="90"/>
    </row>
    <row r="321">
      <c r="A321" s="90"/>
      <c r="B321" s="90"/>
      <c r="C321" s="90"/>
      <c r="D321" s="90"/>
      <c r="E321" s="90"/>
      <c r="F321" s="90"/>
      <c r="G321" s="90"/>
      <c r="H321" s="90"/>
    </row>
    <row r="322">
      <c r="A322" s="90"/>
      <c r="B322" s="90"/>
      <c r="C322" s="90"/>
      <c r="D322" s="90"/>
      <c r="E322" s="90"/>
      <c r="F322" s="90"/>
      <c r="G322" s="90"/>
      <c r="H322" s="90"/>
    </row>
    <row r="323">
      <c r="A323" s="90"/>
      <c r="B323" s="90"/>
      <c r="C323" s="90"/>
      <c r="D323" s="90"/>
      <c r="E323" s="90"/>
      <c r="F323" s="90"/>
      <c r="G323" s="90"/>
      <c r="H323" s="90"/>
    </row>
    <row r="324">
      <c r="A324" s="90"/>
      <c r="B324" s="90"/>
      <c r="C324" s="90"/>
      <c r="D324" s="90"/>
      <c r="E324" s="90"/>
      <c r="F324" s="90"/>
      <c r="G324" s="90"/>
      <c r="H324" s="90"/>
    </row>
    <row r="325">
      <c r="A325" s="90"/>
      <c r="B325" s="90"/>
      <c r="C325" s="90"/>
      <c r="D325" s="90"/>
      <c r="E325" s="90"/>
      <c r="F325" s="90"/>
      <c r="G325" s="90"/>
      <c r="H325" s="90"/>
    </row>
    <row r="326">
      <c r="A326" s="90"/>
      <c r="B326" s="90"/>
      <c r="C326" s="90"/>
      <c r="D326" s="90"/>
      <c r="E326" s="90"/>
      <c r="F326" s="90"/>
      <c r="G326" s="90"/>
      <c r="H326" s="90"/>
    </row>
    <row r="327">
      <c r="A327" s="90"/>
      <c r="B327" s="90"/>
      <c r="C327" s="90"/>
      <c r="D327" s="90"/>
      <c r="E327" s="90"/>
      <c r="F327" s="90"/>
      <c r="G327" s="90"/>
      <c r="H327" s="90"/>
    </row>
    <row r="328">
      <c r="A328" s="90"/>
      <c r="B328" s="90"/>
      <c r="C328" s="90"/>
      <c r="D328" s="90"/>
      <c r="E328" s="90"/>
      <c r="F328" s="90"/>
      <c r="G328" s="90"/>
      <c r="H328" s="90"/>
    </row>
    <row r="329">
      <c r="A329" s="90"/>
      <c r="B329" s="90"/>
      <c r="C329" s="90"/>
      <c r="D329" s="90"/>
      <c r="E329" s="90"/>
      <c r="F329" s="90"/>
      <c r="G329" s="90"/>
      <c r="H329" s="90"/>
    </row>
    <row r="330">
      <c r="A330" s="90"/>
      <c r="B330" s="90"/>
      <c r="C330" s="90"/>
      <c r="D330" s="90"/>
      <c r="E330" s="90"/>
      <c r="F330" s="90"/>
      <c r="G330" s="90"/>
      <c r="H330" s="90"/>
    </row>
    <row r="331">
      <c r="A331" s="90"/>
      <c r="B331" s="90"/>
      <c r="C331" s="90"/>
      <c r="D331" s="90"/>
      <c r="E331" s="90"/>
      <c r="F331" s="90"/>
      <c r="G331" s="90"/>
      <c r="H331" s="90"/>
    </row>
    <row r="332">
      <c r="A332" s="90"/>
      <c r="B332" s="90"/>
      <c r="C332" s="90"/>
      <c r="D332" s="90"/>
      <c r="E332" s="90"/>
      <c r="F332" s="90"/>
      <c r="G332" s="90"/>
      <c r="H332" s="90"/>
    </row>
    <row r="333">
      <c r="A333" s="90"/>
      <c r="B333" s="90"/>
      <c r="C333" s="90"/>
      <c r="D333" s="90"/>
      <c r="E333" s="90"/>
      <c r="F333" s="90"/>
      <c r="G333" s="90"/>
      <c r="H333" s="90"/>
    </row>
    <row r="334">
      <c r="A334" s="90"/>
      <c r="B334" s="90"/>
      <c r="C334" s="90"/>
      <c r="D334" s="90"/>
      <c r="E334" s="90"/>
      <c r="F334" s="90"/>
      <c r="G334" s="90"/>
      <c r="H334" s="90"/>
    </row>
    <row r="335">
      <c r="A335" s="90"/>
      <c r="B335" s="90"/>
      <c r="C335" s="90"/>
      <c r="D335" s="90"/>
      <c r="E335" s="90"/>
      <c r="F335" s="90"/>
      <c r="G335" s="90"/>
      <c r="H335" s="90"/>
    </row>
    <row r="336">
      <c r="A336" s="90"/>
      <c r="B336" s="90"/>
      <c r="C336" s="90"/>
      <c r="D336" s="90"/>
      <c r="E336" s="90"/>
      <c r="F336" s="90"/>
      <c r="G336" s="90"/>
      <c r="H336" s="90"/>
    </row>
    <row r="337">
      <c r="A337" s="90"/>
      <c r="B337" s="90"/>
      <c r="C337" s="90"/>
      <c r="D337" s="90"/>
      <c r="E337" s="90"/>
      <c r="F337" s="90"/>
      <c r="G337" s="90"/>
      <c r="H337" s="90"/>
    </row>
    <row r="338">
      <c r="A338" s="90"/>
      <c r="B338" s="90"/>
      <c r="C338" s="90"/>
      <c r="D338" s="90"/>
      <c r="E338" s="90"/>
      <c r="F338" s="90"/>
      <c r="G338" s="90"/>
      <c r="H338" s="90"/>
    </row>
    <row r="339">
      <c r="A339" s="90"/>
      <c r="B339" s="90"/>
      <c r="C339" s="90"/>
      <c r="D339" s="90"/>
      <c r="E339" s="90"/>
      <c r="F339" s="90"/>
      <c r="G339" s="90"/>
      <c r="H339" s="90"/>
    </row>
    <row r="340">
      <c r="A340" s="90"/>
      <c r="B340" s="90"/>
      <c r="C340" s="90"/>
      <c r="D340" s="90"/>
      <c r="E340" s="90"/>
      <c r="F340" s="90"/>
      <c r="G340" s="90"/>
      <c r="H340" s="90"/>
    </row>
    <row r="341">
      <c r="A341" s="90"/>
      <c r="B341" s="90"/>
      <c r="C341" s="90"/>
      <c r="D341" s="90"/>
      <c r="E341" s="90"/>
      <c r="F341" s="90"/>
      <c r="G341" s="90"/>
      <c r="H341" s="90"/>
    </row>
    <row r="342">
      <c r="A342" s="90"/>
      <c r="B342" s="90"/>
      <c r="C342" s="90"/>
      <c r="D342" s="90"/>
      <c r="E342" s="90"/>
      <c r="F342" s="90"/>
      <c r="G342" s="90"/>
      <c r="H342" s="90"/>
    </row>
    <row r="343">
      <c r="A343" s="90"/>
      <c r="B343" s="90"/>
      <c r="C343" s="90"/>
      <c r="D343" s="90"/>
      <c r="E343" s="90"/>
      <c r="F343" s="90"/>
      <c r="G343" s="90"/>
      <c r="H343" s="90"/>
    </row>
    <row r="344">
      <c r="A344" s="90"/>
      <c r="B344" s="90"/>
      <c r="C344" s="90"/>
      <c r="D344" s="90"/>
      <c r="E344" s="90"/>
      <c r="F344" s="90"/>
      <c r="G344" s="90"/>
      <c r="H344" s="90"/>
    </row>
    <row r="345">
      <c r="A345" s="90"/>
      <c r="B345" s="90"/>
      <c r="C345" s="90"/>
      <c r="D345" s="90"/>
      <c r="E345" s="90"/>
      <c r="F345" s="90"/>
      <c r="G345" s="90"/>
      <c r="H345" s="90"/>
    </row>
    <row r="346">
      <c r="A346" s="90"/>
      <c r="B346" s="90"/>
      <c r="C346" s="90"/>
      <c r="D346" s="90"/>
      <c r="E346" s="90"/>
      <c r="F346" s="90"/>
      <c r="G346" s="90"/>
      <c r="H346" s="90"/>
    </row>
    <row r="347">
      <c r="A347" s="90"/>
      <c r="B347" s="90"/>
      <c r="C347" s="90"/>
      <c r="D347" s="90"/>
      <c r="E347" s="90"/>
      <c r="F347" s="90"/>
      <c r="G347" s="90"/>
      <c r="H347" s="90"/>
    </row>
    <row r="348">
      <c r="A348" s="90"/>
      <c r="B348" s="90"/>
      <c r="C348" s="90"/>
      <c r="D348" s="90"/>
      <c r="E348" s="90"/>
      <c r="F348" s="90"/>
      <c r="G348" s="90"/>
      <c r="H348" s="90"/>
    </row>
    <row r="349">
      <c r="A349" s="90"/>
      <c r="B349" s="90"/>
      <c r="C349" s="90"/>
      <c r="D349" s="90"/>
      <c r="E349" s="90"/>
      <c r="F349" s="90"/>
      <c r="G349" s="90"/>
      <c r="H349" s="90"/>
    </row>
    <row r="350">
      <c r="A350" s="90"/>
      <c r="B350" s="90"/>
      <c r="C350" s="90"/>
      <c r="D350" s="90"/>
      <c r="E350" s="90"/>
      <c r="F350" s="90"/>
      <c r="G350" s="90"/>
      <c r="H350" s="90"/>
    </row>
    <row r="351">
      <c r="A351" s="90"/>
      <c r="B351" s="90"/>
      <c r="C351" s="90"/>
      <c r="D351" s="90"/>
      <c r="E351" s="90"/>
      <c r="F351" s="90"/>
      <c r="G351" s="90"/>
      <c r="H351" s="90"/>
    </row>
    <row r="352">
      <c r="A352" s="90"/>
      <c r="B352" s="90"/>
      <c r="C352" s="90"/>
      <c r="D352" s="90"/>
      <c r="E352" s="90"/>
      <c r="F352" s="90"/>
      <c r="G352" s="90"/>
      <c r="H352" s="90"/>
    </row>
    <row r="353">
      <c r="A353" s="90"/>
      <c r="B353" s="90"/>
      <c r="C353" s="90"/>
      <c r="D353" s="90"/>
      <c r="E353" s="90"/>
      <c r="F353" s="90"/>
      <c r="G353" s="90"/>
      <c r="H353" s="90"/>
    </row>
    <row r="354">
      <c r="A354" s="90"/>
      <c r="B354" s="90"/>
      <c r="C354" s="90"/>
      <c r="D354" s="90"/>
      <c r="E354" s="90"/>
      <c r="F354" s="90"/>
      <c r="G354" s="90"/>
      <c r="H354" s="90"/>
    </row>
    <row r="355">
      <c r="A355" s="90"/>
      <c r="B355" s="90"/>
      <c r="C355" s="90"/>
      <c r="D355" s="90"/>
      <c r="E355" s="90"/>
      <c r="F355" s="90"/>
      <c r="G355" s="90"/>
      <c r="H355" s="90"/>
    </row>
    <row r="356">
      <c r="A356" s="90"/>
      <c r="B356" s="90"/>
      <c r="C356" s="90"/>
      <c r="D356" s="90"/>
      <c r="E356" s="90"/>
      <c r="F356" s="90"/>
      <c r="G356" s="90"/>
      <c r="H356" s="90"/>
    </row>
    <row r="357">
      <c r="A357" s="90"/>
      <c r="B357" s="90"/>
      <c r="C357" s="90"/>
      <c r="D357" s="90"/>
      <c r="E357" s="90"/>
      <c r="F357" s="90"/>
      <c r="G357" s="90"/>
      <c r="H357" s="90"/>
    </row>
    <row r="358">
      <c r="A358" s="90"/>
      <c r="B358" s="90"/>
      <c r="C358" s="90"/>
      <c r="D358" s="90"/>
      <c r="E358" s="90"/>
      <c r="F358" s="90"/>
      <c r="G358" s="90"/>
      <c r="H358" s="90"/>
    </row>
    <row r="359">
      <c r="A359" s="90"/>
      <c r="B359" s="90"/>
      <c r="C359" s="90"/>
      <c r="D359" s="90"/>
      <c r="E359" s="90"/>
      <c r="F359" s="90"/>
      <c r="G359" s="90"/>
      <c r="H359" s="90"/>
    </row>
    <row r="360">
      <c r="A360" s="90"/>
      <c r="B360" s="90"/>
      <c r="C360" s="90"/>
      <c r="D360" s="90"/>
      <c r="E360" s="90"/>
      <c r="F360" s="90"/>
      <c r="G360" s="90"/>
      <c r="H360" s="90"/>
    </row>
    <row r="361">
      <c r="A361" s="90"/>
      <c r="B361" s="90"/>
      <c r="C361" s="90"/>
      <c r="D361" s="90"/>
      <c r="E361" s="90"/>
      <c r="F361" s="90"/>
      <c r="G361" s="90"/>
      <c r="H361" s="90"/>
    </row>
    <row r="362">
      <c r="A362" s="90"/>
      <c r="B362" s="90"/>
      <c r="C362" s="90"/>
      <c r="D362" s="90"/>
      <c r="E362" s="90"/>
      <c r="F362" s="90"/>
      <c r="G362" s="90"/>
      <c r="H362" s="90"/>
    </row>
    <row r="363">
      <c r="A363" s="90"/>
      <c r="B363" s="90"/>
      <c r="C363" s="90"/>
      <c r="D363" s="90"/>
      <c r="E363" s="90"/>
      <c r="F363" s="90"/>
      <c r="G363" s="90"/>
      <c r="H363" s="90"/>
    </row>
    <row r="364">
      <c r="A364" s="90"/>
      <c r="B364" s="90"/>
      <c r="C364" s="90"/>
      <c r="D364" s="90"/>
      <c r="E364" s="90"/>
      <c r="F364" s="90"/>
      <c r="G364" s="90"/>
      <c r="H364" s="90"/>
    </row>
    <row r="365">
      <c r="A365" s="90"/>
      <c r="B365" s="90"/>
      <c r="C365" s="90"/>
      <c r="D365" s="90"/>
      <c r="E365" s="90"/>
      <c r="F365" s="90"/>
      <c r="G365" s="90"/>
      <c r="H365" s="90"/>
    </row>
    <row r="366">
      <c r="A366" s="90"/>
      <c r="B366" s="90"/>
      <c r="C366" s="90"/>
      <c r="D366" s="90"/>
      <c r="E366" s="90"/>
      <c r="F366" s="90"/>
      <c r="G366" s="90"/>
      <c r="H366" s="90"/>
    </row>
    <row r="367">
      <c r="A367" s="90"/>
      <c r="B367" s="90"/>
      <c r="C367" s="90"/>
      <c r="D367" s="90"/>
      <c r="E367" s="90"/>
      <c r="F367" s="90"/>
      <c r="G367" s="90"/>
      <c r="H367" s="90"/>
    </row>
    <row r="368">
      <c r="A368" s="90"/>
      <c r="B368" s="90"/>
      <c r="C368" s="90"/>
      <c r="D368" s="90"/>
      <c r="E368" s="90"/>
      <c r="F368" s="90"/>
      <c r="G368" s="90"/>
      <c r="H368" s="90"/>
    </row>
    <row r="369">
      <c r="A369" s="90"/>
      <c r="B369" s="90"/>
      <c r="C369" s="90"/>
      <c r="D369" s="90"/>
      <c r="E369" s="90"/>
      <c r="F369" s="90"/>
      <c r="G369" s="90"/>
      <c r="H369" s="90"/>
    </row>
    <row r="370">
      <c r="A370" s="90"/>
      <c r="B370" s="90"/>
      <c r="C370" s="90"/>
      <c r="D370" s="90"/>
      <c r="E370" s="90"/>
      <c r="F370" s="90"/>
      <c r="G370" s="90"/>
      <c r="H370" s="90"/>
    </row>
    <row r="371">
      <c r="A371" s="90"/>
      <c r="B371" s="90"/>
      <c r="C371" s="90"/>
      <c r="D371" s="90"/>
      <c r="E371" s="90"/>
      <c r="F371" s="90"/>
      <c r="G371" s="90"/>
      <c r="H371" s="90"/>
    </row>
    <row r="372">
      <c r="A372" s="90"/>
      <c r="B372" s="90"/>
      <c r="C372" s="90"/>
      <c r="D372" s="90"/>
      <c r="E372" s="90"/>
      <c r="F372" s="90"/>
      <c r="G372" s="90"/>
      <c r="H372" s="90"/>
    </row>
    <row r="373">
      <c r="A373" s="90"/>
      <c r="B373" s="90"/>
      <c r="C373" s="90"/>
      <c r="D373" s="90"/>
      <c r="E373" s="90"/>
      <c r="F373" s="90"/>
      <c r="G373" s="90"/>
      <c r="H373" s="90"/>
    </row>
    <row r="374">
      <c r="A374" s="90"/>
      <c r="B374" s="90"/>
      <c r="C374" s="90"/>
      <c r="D374" s="90"/>
      <c r="E374" s="90"/>
      <c r="F374" s="90"/>
      <c r="G374" s="90"/>
      <c r="H374" s="90"/>
    </row>
    <row r="375">
      <c r="A375" s="90"/>
      <c r="B375" s="90"/>
      <c r="C375" s="90"/>
      <c r="D375" s="90"/>
      <c r="E375" s="90"/>
      <c r="F375" s="90"/>
      <c r="G375" s="90"/>
      <c r="H375" s="90"/>
    </row>
    <row r="376">
      <c r="A376" s="90"/>
      <c r="B376" s="90"/>
      <c r="C376" s="90"/>
      <c r="D376" s="90"/>
      <c r="E376" s="90"/>
      <c r="F376" s="90"/>
      <c r="G376" s="90"/>
      <c r="H376" s="90"/>
    </row>
    <row r="377">
      <c r="A377" s="90"/>
      <c r="B377" s="90"/>
      <c r="C377" s="90"/>
      <c r="D377" s="90"/>
      <c r="E377" s="90"/>
      <c r="F377" s="90"/>
      <c r="G377" s="90"/>
      <c r="H377" s="90"/>
    </row>
    <row r="378">
      <c r="A378" s="90"/>
      <c r="B378" s="90"/>
      <c r="C378" s="90"/>
      <c r="D378" s="90"/>
      <c r="E378" s="90"/>
      <c r="F378" s="90"/>
      <c r="G378" s="90"/>
      <c r="H378" s="90"/>
    </row>
    <row r="379">
      <c r="A379" s="90"/>
      <c r="B379" s="90"/>
      <c r="C379" s="90"/>
      <c r="D379" s="90"/>
      <c r="E379" s="90"/>
      <c r="F379" s="90"/>
      <c r="G379" s="90"/>
      <c r="H379" s="90"/>
    </row>
    <row r="380">
      <c r="A380" s="90"/>
      <c r="B380" s="90"/>
      <c r="C380" s="90"/>
      <c r="D380" s="90"/>
      <c r="E380" s="90"/>
      <c r="F380" s="90"/>
      <c r="G380" s="90"/>
      <c r="H380" s="90"/>
    </row>
    <row r="381">
      <c r="A381" s="90"/>
      <c r="B381" s="90"/>
      <c r="C381" s="90"/>
      <c r="D381" s="90"/>
      <c r="E381" s="90"/>
      <c r="F381" s="90"/>
      <c r="G381" s="90"/>
      <c r="H381" s="90"/>
    </row>
    <row r="382">
      <c r="A382" s="90"/>
      <c r="B382" s="90"/>
      <c r="C382" s="90"/>
      <c r="D382" s="90"/>
      <c r="E382" s="90"/>
      <c r="F382" s="90"/>
      <c r="G382" s="90"/>
      <c r="H382" s="90"/>
    </row>
    <row r="383">
      <c r="A383" s="90"/>
      <c r="B383" s="90"/>
      <c r="C383" s="90"/>
      <c r="D383" s="90"/>
      <c r="E383" s="90"/>
      <c r="F383" s="90"/>
      <c r="G383" s="90"/>
      <c r="H383" s="90"/>
    </row>
    <row r="384">
      <c r="A384" s="90"/>
      <c r="B384" s="90"/>
      <c r="C384" s="90"/>
      <c r="D384" s="90"/>
      <c r="E384" s="90"/>
      <c r="F384" s="90"/>
      <c r="G384" s="90"/>
      <c r="H384" s="90"/>
    </row>
    <row r="385">
      <c r="A385" s="90"/>
      <c r="B385" s="90"/>
      <c r="C385" s="90"/>
      <c r="D385" s="90"/>
      <c r="E385" s="90"/>
      <c r="F385" s="90"/>
      <c r="G385" s="90"/>
      <c r="H385" s="90"/>
    </row>
    <row r="386">
      <c r="A386" s="90"/>
      <c r="B386" s="90"/>
      <c r="C386" s="90"/>
      <c r="D386" s="90"/>
      <c r="E386" s="90"/>
      <c r="F386" s="90"/>
      <c r="G386" s="90"/>
      <c r="H386" s="90"/>
    </row>
    <row r="387">
      <c r="A387" s="90"/>
      <c r="B387" s="90"/>
      <c r="C387" s="90"/>
      <c r="D387" s="90"/>
      <c r="E387" s="90"/>
      <c r="F387" s="90"/>
      <c r="G387" s="90"/>
      <c r="H387" s="90"/>
    </row>
    <row r="388">
      <c r="A388" s="90"/>
      <c r="B388" s="90"/>
      <c r="C388" s="90"/>
      <c r="D388" s="90"/>
      <c r="E388" s="90"/>
      <c r="F388" s="90"/>
      <c r="G388" s="90"/>
      <c r="H388" s="90"/>
    </row>
    <row r="389">
      <c r="A389" s="90"/>
      <c r="B389" s="90"/>
      <c r="C389" s="90"/>
      <c r="D389" s="90"/>
      <c r="E389" s="90"/>
      <c r="F389" s="90"/>
      <c r="G389" s="90"/>
      <c r="H389" s="90"/>
    </row>
    <row r="390">
      <c r="A390" s="90"/>
      <c r="B390" s="90"/>
      <c r="C390" s="90"/>
      <c r="D390" s="90"/>
      <c r="E390" s="90"/>
      <c r="F390" s="90"/>
      <c r="G390" s="90"/>
      <c r="H390" s="90"/>
    </row>
    <row r="391">
      <c r="A391" s="90"/>
      <c r="B391" s="90"/>
      <c r="C391" s="90"/>
      <c r="D391" s="90"/>
      <c r="E391" s="90"/>
      <c r="F391" s="90"/>
      <c r="G391" s="90"/>
      <c r="H391" s="90"/>
    </row>
    <row r="392">
      <c r="A392" s="90"/>
      <c r="B392" s="90"/>
      <c r="C392" s="90"/>
      <c r="D392" s="90"/>
      <c r="E392" s="90"/>
      <c r="F392" s="90"/>
      <c r="G392" s="90"/>
      <c r="H392" s="90"/>
    </row>
    <row r="393">
      <c r="A393" s="90"/>
      <c r="B393" s="90"/>
      <c r="C393" s="90"/>
      <c r="D393" s="90"/>
      <c r="E393" s="90"/>
      <c r="F393" s="90"/>
      <c r="G393" s="90"/>
      <c r="H393" s="90"/>
    </row>
    <row r="394">
      <c r="A394" s="90"/>
      <c r="B394" s="90"/>
      <c r="C394" s="90"/>
      <c r="D394" s="90"/>
      <c r="E394" s="90"/>
      <c r="F394" s="90"/>
      <c r="G394" s="90"/>
      <c r="H394" s="90"/>
    </row>
    <row r="395">
      <c r="A395" s="90"/>
      <c r="B395" s="90"/>
      <c r="C395" s="90"/>
      <c r="D395" s="90"/>
      <c r="E395" s="90"/>
      <c r="F395" s="90"/>
      <c r="G395" s="90"/>
      <c r="H395" s="90"/>
    </row>
    <row r="396">
      <c r="A396" s="90"/>
      <c r="B396" s="90"/>
      <c r="C396" s="90"/>
      <c r="D396" s="90"/>
      <c r="E396" s="90"/>
      <c r="F396" s="90"/>
      <c r="G396" s="90"/>
      <c r="H396" s="90"/>
    </row>
    <row r="397">
      <c r="A397" s="90"/>
      <c r="B397" s="90"/>
      <c r="C397" s="90"/>
      <c r="D397" s="90"/>
      <c r="E397" s="90"/>
      <c r="F397" s="90"/>
      <c r="G397" s="90"/>
      <c r="H397" s="90"/>
    </row>
    <row r="398">
      <c r="A398" s="90"/>
      <c r="B398" s="90"/>
      <c r="C398" s="90"/>
      <c r="D398" s="90"/>
      <c r="E398" s="90"/>
      <c r="F398" s="90"/>
      <c r="G398" s="90"/>
      <c r="H398" s="90"/>
    </row>
    <row r="399">
      <c r="A399" s="90"/>
      <c r="B399" s="90"/>
      <c r="C399" s="90"/>
      <c r="D399" s="90"/>
      <c r="E399" s="90"/>
      <c r="F399" s="90"/>
      <c r="G399" s="90"/>
      <c r="H399" s="90"/>
    </row>
    <row r="400">
      <c r="A400" s="90"/>
      <c r="B400" s="90"/>
      <c r="C400" s="90"/>
      <c r="D400" s="90"/>
      <c r="E400" s="90"/>
      <c r="F400" s="90"/>
      <c r="G400" s="90"/>
      <c r="H400" s="90"/>
    </row>
    <row r="401">
      <c r="A401" s="90"/>
      <c r="B401" s="90"/>
      <c r="C401" s="90"/>
      <c r="D401" s="90"/>
      <c r="E401" s="90"/>
      <c r="F401" s="90"/>
      <c r="G401" s="90"/>
      <c r="H401" s="90"/>
    </row>
    <row r="402">
      <c r="A402" s="90"/>
      <c r="B402" s="90"/>
      <c r="C402" s="90"/>
      <c r="D402" s="90"/>
      <c r="E402" s="90"/>
      <c r="F402" s="90"/>
      <c r="G402" s="90"/>
      <c r="H402" s="90"/>
    </row>
    <row r="403">
      <c r="A403" s="90"/>
      <c r="B403" s="90"/>
      <c r="C403" s="90"/>
      <c r="D403" s="90"/>
      <c r="E403" s="90"/>
      <c r="F403" s="90"/>
      <c r="G403" s="90"/>
      <c r="H403" s="90"/>
    </row>
    <row r="404">
      <c r="A404" s="90"/>
      <c r="B404" s="90"/>
      <c r="C404" s="90"/>
      <c r="D404" s="90"/>
      <c r="E404" s="90"/>
      <c r="F404" s="90"/>
      <c r="G404" s="90"/>
      <c r="H404" s="90"/>
    </row>
    <row r="405">
      <c r="A405" s="90"/>
      <c r="B405" s="90"/>
      <c r="C405" s="90"/>
      <c r="D405" s="90"/>
      <c r="E405" s="90"/>
      <c r="F405" s="90"/>
      <c r="G405" s="90"/>
      <c r="H405" s="90"/>
    </row>
    <row r="406">
      <c r="A406" s="90"/>
      <c r="B406" s="90"/>
      <c r="C406" s="90"/>
      <c r="D406" s="90"/>
      <c r="E406" s="90"/>
      <c r="F406" s="90"/>
      <c r="G406" s="90"/>
      <c r="H406" s="90"/>
    </row>
    <row r="407">
      <c r="A407" s="90"/>
      <c r="B407" s="90"/>
      <c r="C407" s="90"/>
      <c r="D407" s="90"/>
      <c r="E407" s="90"/>
      <c r="F407" s="90"/>
      <c r="G407" s="90"/>
      <c r="H407" s="90"/>
    </row>
    <row r="408">
      <c r="A408" s="90"/>
      <c r="B408" s="90"/>
      <c r="C408" s="90"/>
      <c r="D408" s="90"/>
      <c r="E408" s="90"/>
      <c r="F408" s="90"/>
      <c r="G408" s="90"/>
      <c r="H408" s="90"/>
    </row>
    <row r="409">
      <c r="A409" s="90"/>
      <c r="B409" s="90"/>
      <c r="C409" s="90"/>
      <c r="D409" s="90"/>
      <c r="E409" s="90"/>
      <c r="F409" s="90"/>
      <c r="G409" s="90"/>
      <c r="H409" s="90"/>
    </row>
    <row r="410">
      <c r="A410" s="90"/>
      <c r="B410" s="90"/>
      <c r="C410" s="90"/>
      <c r="D410" s="90"/>
      <c r="E410" s="90"/>
      <c r="F410" s="90"/>
      <c r="G410" s="90"/>
      <c r="H410" s="90"/>
    </row>
    <row r="411">
      <c r="A411" s="90"/>
      <c r="B411" s="90"/>
      <c r="C411" s="90"/>
      <c r="D411" s="90"/>
      <c r="E411" s="90"/>
      <c r="F411" s="90"/>
      <c r="G411" s="90"/>
      <c r="H411" s="90"/>
    </row>
    <row r="412">
      <c r="A412" s="90"/>
      <c r="B412" s="90"/>
      <c r="C412" s="90"/>
      <c r="D412" s="90"/>
      <c r="E412" s="90"/>
      <c r="F412" s="90"/>
      <c r="G412" s="90"/>
      <c r="H412" s="90"/>
    </row>
    <row r="413">
      <c r="A413" s="90"/>
      <c r="B413" s="90"/>
      <c r="C413" s="90"/>
      <c r="D413" s="90"/>
      <c r="E413" s="90"/>
      <c r="F413" s="90"/>
      <c r="G413" s="90"/>
      <c r="H413" s="90"/>
    </row>
    <row r="414">
      <c r="A414" s="90"/>
      <c r="B414" s="90"/>
      <c r="C414" s="90"/>
      <c r="D414" s="90"/>
      <c r="E414" s="90"/>
      <c r="F414" s="90"/>
      <c r="G414" s="90"/>
      <c r="H414" s="90"/>
    </row>
    <row r="415">
      <c r="A415" s="90"/>
      <c r="B415" s="90"/>
      <c r="C415" s="90"/>
      <c r="D415" s="90"/>
      <c r="E415" s="90"/>
      <c r="F415" s="90"/>
      <c r="G415" s="90"/>
      <c r="H415" s="90"/>
    </row>
    <row r="416">
      <c r="A416" s="90"/>
      <c r="B416" s="90"/>
      <c r="C416" s="90"/>
      <c r="D416" s="90"/>
      <c r="E416" s="90"/>
      <c r="F416" s="90"/>
      <c r="G416" s="90"/>
      <c r="H416" s="90"/>
    </row>
    <row r="417">
      <c r="A417" s="90"/>
      <c r="B417" s="90"/>
      <c r="C417" s="90"/>
      <c r="D417" s="90"/>
      <c r="E417" s="90"/>
      <c r="F417" s="90"/>
      <c r="G417" s="90"/>
      <c r="H417" s="90"/>
    </row>
    <row r="418">
      <c r="A418" s="90"/>
      <c r="B418" s="90"/>
      <c r="C418" s="90"/>
      <c r="D418" s="90"/>
      <c r="E418" s="90"/>
      <c r="F418" s="90"/>
      <c r="G418" s="90"/>
      <c r="H418" s="90"/>
    </row>
    <row r="419">
      <c r="A419" s="90"/>
      <c r="B419" s="90"/>
      <c r="C419" s="90"/>
      <c r="D419" s="90"/>
      <c r="E419" s="90"/>
      <c r="F419" s="90"/>
      <c r="G419" s="90"/>
      <c r="H419" s="90"/>
    </row>
    <row r="420">
      <c r="A420" s="90"/>
      <c r="B420" s="90"/>
      <c r="C420" s="90"/>
      <c r="D420" s="90"/>
      <c r="E420" s="90"/>
      <c r="F420" s="90"/>
      <c r="G420" s="90"/>
      <c r="H420" s="90"/>
    </row>
    <row r="421">
      <c r="A421" s="90"/>
      <c r="B421" s="90"/>
      <c r="C421" s="90"/>
      <c r="D421" s="90"/>
      <c r="E421" s="90"/>
      <c r="F421" s="90"/>
      <c r="G421" s="90"/>
      <c r="H421" s="90"/>
    </row>
    <row r="422">
      <c r="A422" s="90"/>
      <c r="B422" s="90"/>
      <c r="C422" s="90"/>
      <c r="D422" s="90"/>
      <c r="E422" s="90"/>
      <c r="F422" s="90"/>
      <c r="G422" s="90"/>
      <c r="H422" s="90"/>
    </row>
    <row r="423">
      <c r="A423" s="90"/>
      <c r="B423" s="90"/>
      <c r="C423" s="90"/>
      <c r="D423" s="90"/>
      <c r="E423" s="90"/>
      <c r="F423" s="90"/>
      <c r="G423" s="90"/>
      <c r="H423" s="90"/>
    </row>
    <row r="424">
      <c r="A424" s="90"/>
      <c r="B424" s="90"/>
      <c r="C424" s="90"/>
      <c r="D424" s="90"/>
      <c r="E424" s="90"/>
      <c r="F424" s="90"/>
      <c r="G424" s="90"/>
      <c r="H424" s="90"/>
    </row>
    <row r="425">
      <c r="A425" s="90"/>
      <c r="B425" s="90"/>
      <c r="C425" s="90"/>
      <c r="D425" s="90"/>
      <c r="E425" s="90"/>
      <c r="F425" s="90"/>
      <c r="G425" s="90"/>
      <c r="H425" s="90"/>
    </row>
    <row r="426">
      <c r="A426" s="90"/>
      <c r="B426" s="90"/>
      <c r="C426" s="90"/>
      <c r="D426" s="90"/>
      <c r="E426" s="90"/>
      <c r="F426" s="90"/>
      <c r="G426" s="90"/>
      <c r="H426" s="90"/>
    </row>
    <row r="427">
      <c r="A427" s="90"/>
      <c r="B427" s="90"/>
      <c r="C427" s="90"/>
      <c r="D427" s="90"/>
      <c r="E427" s="90"/>
      <c r="F427" s="90"/>
      <c r="G427" s="90"/>
      <c r="H427" s="90"/>
    </row>
    <row r="428">
      <c r="A428" s="90"/>
      <c r="B428" s="90"/>
      <c r="C428" s="90"/>
      <c r="D428" s="90"/>
      <c r="E428" s="90"/>
      <c r="F428" s="90"/>
      <c r="G428" s="90"/>
      <c r="H428" s="90"/>
    </row>
    <row r="429">
      <c r="A429" s="90"/>
      <c r="B429" s="90"/>
      <c r="C429" s="90"/>
      <c r="D429" s="90"/>
      <c r="E429" s="90"/>
      <c r="F429" s="90"/>
      <c r="G429" s="90"/>
      <c r="H429" s="90"/>
    </row>
    <row r="430">
      <c r="A430" s="90"/>
      <c r="B430" s="90"/>
      <c r="C430" s="90"/>
      <c r="D430" s="90"/>
      <c r="E430" s="90"/>
      <c r="F430" s="90"/>
      <c r="G430" s="90"/>
      <c r="H430" s="90"/>
    </row>
    <row r="431">
      <c r="A431" s="90"/>
      <c r="B431" s="90"/>
      <c r="C431" s="90"/>
      <c r="D431" s="90"/>
      <c r="E431" s="90"/>
      <c r="F431" s="90"/>
      <c r="G431" s="90"/>
      <c r="H431" s="90"/>
    </row>
    <row r="432">
      <c r="A432" s="90"/>
      <c r="B432" s="90"/>
      <c r="C432" s="90"/>
      <c r="D432" s="90"/>
      <c r="E432" s="90"/>
      <c r="F432" s="90"/>
      <c r="G432" s="90"/>
      <c r="H432" s="90"/>
    </row>
    <row r="433">
      <c r="A433" s="90"/>
      <c r="B433" s="90"/>
      <c r="C433" s="90"/>
      <c r="D433" s="90"/>
      <c r="E433" s="90"/>
      <c r="F433" s="90"/>
      <c r="G433" s="90"/>
      <c r="H433" s="90"/>
    </row>
    <row r="434">
      <c r="A434" s="90"/>
      <c r="B434" s="90"/>
      <c r="C434" s="90"/>
      <c r="D434" s="90"/>
      <c r="E434" s="90"/>
      <c r="F434" s="90"/>
      <c r="G434" s="90"/>
      <c r="H434" s="90"/>
    </row>
    <row r="435">
      <c r="A435" s="90"/>
      <c r="B435" s="90"/>
      <c r="C435" s="90"/>
      <c r="D435" s="90"/>
      <c r="E435" s="90"/>
      <c r="F435" s="90"/>
      <c r="G435" s="90"/>
      <c r="H435" s="90"/>
    </row>
    <row r="436">
      <c r="A436" s="90"/>
      <c r="B436" s="90"/>
      <c r="C436" s="90"/>
      <c r="D436" s="90"/>
      <c r="E436" s="90"/>
      <c r="F436" s="90"/>
      <c r="G436" s="90"/>
      <c r="H436" s="90"/>
    </row>
    <row r="437">
      <c r="A437" s="90"/>
      <c r="B437" s="90"/>
      <c r="C437" s="90"/>
      <c r="D437" s="90"/>
      <c r="E437" s="90"/>
      <c r="F437" s="90"/>
      <c r="G437" s="90"/>
      <c r="H437" s="90"/>
    </row>
    <row r="438">
      <c r="A438" s="90"/>
      <c r="B438" s="90"/>
      <c r="C438" s="90"/>
      <c r="D438" s="90"/>
      <c r="E438" s="90"/>
      <c r="F438" s="90"/>
      <c r="G438" s="90"/>
      <c r="H438" s="90"/>
    </row>
    <row r="439">
      <c r="A439" s="90"/>
      <c r="B439" s="90"/>
      <c r="C439" s="90"/>
      <c r="D439" s="90"/>
      <c r="E439" s="90"/>
      <c r="F439" s="90"/>
      <c r="G439" s="90"/>
      <c r="H439" s="90"/>
    </row>
    <row r="440">
      <c r="A440" s="90"/>
      <c r="B440" s="90"/>
      <c r="C440" s="90"/>
      <c r="D440" s="90"/>
      <c r="E440" s="90"/>
      <c r="F440" s="90"/>
      <c r="G440" s="90"/>
      <c r="H440" s="90"/>
    </row>
    <row r="441">
      <c r="A441" s="90"/>
      <c r="B441" s="90"/>
      <c r="C441" s="90"/>
      <c r="D441" s="90"/>
      <c r="E441" s="90"/>
      <c r="F441" s="90"/>
      <c r="G441" s="90"/>
      <c r="H441" s="90"/>
    </row>
    <row r="442">
      <c r="A442" s="90"/>
      <c r="B442" s="90"/>
      <c r="C442" s="90"/>
      <c r="D442" s="90"/>
      <c r="E442" s="90"/>
      <c r="F442" s="90"/>
      <c r="G442" s="90"/>
      <c r="H442" s="90"/>
    </row>
    <row r="443">
      <c r="A443" s="90"/>
      <c r="B443" s="90"/>
      <c r="C443" s="90"/>
      <c r="D443" s="90"/>
      <c r="E443" s="90"/>
      <c r="F443" s="90"/>
      <c r="G443" s="90"/>
      <c r="H443" s="90"/>
    </row>
    <row r="444">
      <c r="A444" s="90"/>
      <c r="B444" s="90"/>
      <c r="C444" s="90"/>
      <c r="D444" s="90"/>
      <c r="E444" s="90"/>
      <c r="F444" s="90"/>
      <c r="G444" s="90"/>
      <c r="H444" s="90"/>
    </row>
    <row r="445">
      <c r="A445" s="90"/>
      <c r="B445" s="90"/>
      <c r="C445" s="90"/>
      <c r="D445" s="90"/>
      <c r="E445" s="90"/>
      <c r="F445" s="90"/>
      <c r="G445" s="90"/>
      <c r="H445" s="90"/>
    </row>
    <row r="446">
      <c r="A446" s="90"/>
      <c r="B446" s="90"/>
      <c r="C446" s="90"/>
      <c r="D446" s="90"/>
      <c r="E446" s="90"/>
      <c r="F446" s="90"/>
      <c r="G446" s="90"/>
      <c r="H446" s="90"/>
    </row>
    <row r="447">
      <c r="A447" s="90"/>
      <c r="B447" s="90"/>
      <c r="C447" s="90"/>
      <c r="D447" s="90"/>
      <c r="E447" s="90"/>
      <c r="F447" s="90"/>
      <c r="G447" s="90"/>
      <c r="H447" s="90"/>
    </row>
    <row r="448">
      <c r="A448" s="90"/>
      <c r="B448" s="90"/>
      <c r="C448" s="90"/>
      <c r="D448" s="90"/>
      <c r="E448" s="90"/>
      <c r="F448" s="90"/>
      <c r="G448" s="90"/>
      <c r="H448" s="90"/>
    </row>
    <row r="449">
      <c r="A449" s="90"/>
      <c r="B449" s="90"/>
      <c r="C449" s="90"/>
      <c r="D449" s="90"/>
      <c r="E449" s="90"/>
      <c r="F449" s="90"/>
      <c r="G449" s="90"/>
      <c r="H449" s="90"/>
    </row>
    <row r="450">
      <c r="A450" s="90"/>
      <c r="B450" s="90"/>
      <c r="C450" s="90"/>
      <c r="D450" s="90"/>
      <c r="E450" s="90"/>
      <c r="F450" s="90"/>
      <c r="G450" s="90"/>
      <c r="H450" s="90"/>
    </row>
    <row r="451">
      <c r="A451" s="90"/>
      <c r="B451" s="90"/>
      <c r="C451" s="90"/>
      <c r="D451" s="90"/>
      <c r="E451" s="90"/>
      <c r="F451" s="90"/>
      <c r="G451" s="90"/>
      <c r="H451" s="90"/>
    </row>
    <row r="452">
      <c r="A452" s="90"/>
      <c r="B452" s="90"/>
      <c r="C452" s="90"/>
      <c r="D452" s="90"/>
      <c r="E452" s="90"/>
      <c r="F452" s="90"/>
      <c r="G452" s="90"/>
      <c r="H452" s="90"/>
    </row>
    <row r="453">
      <c r="A453" s="90"/>
      <c r="B453" s="90"/>
      <c r="C453" s="90"/>
      <c r="D453" s="90"/>
      <c r="E453" s="90"/>
      <c r="F453" s="90"/>
      <c r="G453" s="90"/>
      <c r="H453" s="90"/>
    </row>
    <row r="454">
      <c r="A454" s="90"/>
      <c r="B454" s="90"/>
      <c r="C454" s="90"/>
      <c r="D454" s="90"/>
      <c r="E454" s="90"/>
      <c r="F454" s="90"/>
      <c r="G454" s="90"/>
      <c r="H454" s="90"/>
    </row>
    <row r="455">
      <c r="A455" s="90"/>
      <c r="B455" s="90"/>
      <c r="C455" s="90"/>
      <c r="D455" s="90"/>
      <c r="E455" s="90"/>
      <c r="F455" s="90"/>
      <c r="G455" s="90"/>
      <c r="H455" s="90"/>
    </row>
    <row r="456">
      <c r="A456" s="90"/>
      <c r="B456" s="90"/>
      <c r="C456" s="90"/>
      <c r="D456" s="90"/>
      <c r="E456" s="90"/>
      <c r="F456" s="90"/>
      <c r="G456" s="90"/>
      <c r="H456" s="90"/>
    </row>
    <row r="457">
      <c r="A457" s="90"/>
      <c r="B457" s="90"/>
      <c r="C457" s="90"/>
      <c r="D457" s="90"/>
      <c r="E457" s="90"/>
      <c r="F457" s="90"/>
      <c r="G457" s="90"/>
      <c r="H457" s="90"/>
    </row>
    <row r="458">
      <c r="A458" s="90"/>
      <c r="B458" s="90"/>
      <c r="C458" s="90"/>
      <c r="D458" s="90"/>
      <c r="E458" s="90"/>
      <c r="F458" s="90"/>
      <c r="G458" s="90"/>
      <c r="H458" s="90"/>
    </row>
    <row r="459">
      <c r="A459" s="90"/>
      <c r="B459" s="90"/>
      <c r="C459" s="90"/>
      <c r="D459" s="90"/>
      <c r="E459" s="90"/>
      <c r="F459" s="90"/>
      <c r="G459" s="90"/>
      <c r="H459" s="90"/>
    </row>
    <row r="460">
      <c r="A460" s="90"/>
      <c r="B460" s="90"/>
      <c r="C460" s="90"/>
      <c r="D460" s="90"/>
      <c r="E460" s="90"/>
      <c r="F460" s="90"/>
      <c r="G460" s="90"/>
      <c r="H460" s="90"/>
    </row>
    <row r="461">
      <c r="A461" s="90"/>
      <c r="B461" s="90"/>
      <c r="C461" s="90"/>
      <c r="D461" s="90"/>
      <c r="E461" s="90"/>
      <c r="F461" s="90"/>
      <c r="G461" s="90"/>
      <c r="H461" s="90"/>
    </row>
    <row r="462">
      <c r="A462" s="90"/>
      <c r="B462" s="90"/>
      <c r="C462" s="90"/>
      <c r="D462" s="90"/>
      <c r="E462" s="90"/>
      <c r="F462" s="90"/>
      <c r="G462" s="90"/>
      <c r="H462" s="90"/>
    </row>
    <row r="463">
      <c r="A463" s="90"/>
      <c r="B463" s="90"/>
      <c r="C463" s="90"/>
      <c r="D463" s="90"/>
      <c r="E463" s="90"/>
      <c r="F463" s="90"/>
      <c r="G463" s="90"/>
      <c r="H463" s="90"/>
    </row>
    <row r="464">
      <c r="A464" s="90"/>
      <c r="B464" s="90"/>
      <c r="C464" s="90"/>
      <c r="D464" s="90"/>
      <c r="E464" s="90"/>
      <c r="F464" s="90"/>
      <c r="G464" s="90"/>
      <c r="H464" s="90"/>
    </row>
    <row r="465">
      <c r="A465" s="90"/>
      <c r="B465" s="90"/>
      <c r="C465" s="90"/>
      <c r="D465" s="90"/>
      <c r="E465" s="90"/>
      <c r="F465" s="90"/>
      <c r="G465" s="90"/>
      <c r="H465" s="90"/>
    </row>
    <row r="466">
      <c r="A466" s="90"/>
      <c r="B466" s="90"/>
      <c r="C466" s="90"/>
      <c r="D466" s="90"/>
      <c r="E466" s="90"/>
      <c r="F466" s="90"/>
      <c r="G466" s="90"/>
      <c r="H466" s="90"/>
    </row>
    <row r="467">
      <c r="A467" s="90"/>
      <c r="B467" s="90"/>
      <c r="C467" s="90"/>
      <c r="D467" s="90"/>
      <c r="E467" s="90"/>
      <c r="F467" s="90"/>
      <c r="G467" s="90"/>
      <c r="H467" s="90"/>
    </row>
    <row r="468">
      <c r="A468" s="90"/>
      <c r="B468" s="90"/>
      <c r="C468" s="90"/>
      <c r="D468" s="90"/>
      <c r="E468" s="90"/>
      <c r="F468" s="90"/>
      <c r="G468" s="90"/>
      <c r="H468" s="90"/>
    </row>
    <row r="469">
      <c r="A469" s="90"/>
      <c r="B469" s="90"/>
      <c r="C469" s="90"/>
      <c r="D469" s="90"/>
      <c r="E469" s="90"/>
      <c r="F469" s="90"/>
      <c r="G469" s="90"/>
      <c r="H469" s="90"/>
    </row>
    <row r="470">
      <c r="A470" s="90"/>
      <c r="B470" s="90"/>
      <c r="C470" s="90"/>
      <c r="D470" s="90"/>
      <c r="E470" s="90"/>
      <c r="F470" s="90"/>
      <c r="G470" s="90"/>
      <c r="H470" s="90"/>
    </row>
    <row r="471">
      <c r="A471" s="90"/>
      <c r="B471" s="90"/>
      <c r="C471" s="90"/>
      <c r="D471" s="90"/>
      <c r="E471" s="90"/>
      <c r="F471" s="90"/>
      <c r="G471" s="90"/>
      <c r="H471" s="90"/>
    </row>
    <row r="472">
      <c r="A472" s="90"/>
      <c r="B472" s="90"/>
      <c r="C472" s="90"/>
      <c r="D472" s="90"/>
      <c r="E472" s="90"/>
      <c r="F472" s="90"/>
      <c r="G472" s="90"/>
      <c r="H472" s="90"/>
    </row>
    <row r="473">
      <c r="A473" s="90"/>
      <c r="B473" s="90"/>
      <c r="C473" s="90"/>
      <c r="D473" s="90"/>
      <c r="E473" s="90"/>
      <c r="F473" s="90"/>
      <c r="G473" s="90"/>
      <c r="H473" s="90"/>
    </row>
    <row r="474">
      <c r="A474" s="90"/>
      <c r="B474" s="90"/>
      <c r="C474" s="90"/>
      <c r="D474" s="90"/>
      <c r="E474" s="90"/>
      <c r="F474" s="90"/>
      <c r="G474" s="90"/>
      <c r="H474" s="90"/>
    </row>
    <row r="475">
      <c r="A475" s="90"/>
      <c r="B475" s="90"/>
      <c r="C475" s="90"/>
      <c r="D475" s="90"/>
      <c r="E475" s="90"/>
      <c r="F475" s="90"/>
      <c r="G475" s="90"/>
      <c r="H475" s="90"/>
    </row>
    <row r="476">
      <c r="A476" s="90"/>
      <c r="B476" s="90"/>
      <c r="C476" s="90"/>
      <c r="D476" s="90"/>
      <c r="E476" s="90"/>
      <c r="F476" s="90"/>
      <c r="G476" s="90"/>
      <c r="H476" s="90"/>
    </row>
    <row r="477">
      <c r="A477" s="90"/>
      <c r="B477" s="90"/>
      <c r="C477" s="90"/>
      <c r="D477" s="90"/>
      <c r="E477" s="90"/>
      <c r="F477" s="90"/>
      <c r="G477" s="90"/>
      <c r="H477" s="90"/>
    </row>
    <row r="478">
      <c r="A478" s="90"/>
      <c r="B478" s="90"/>
      <c r="C478" s="90"/>
      <c r="D478" s="90"/>
      <c r="E478" s="90"/>
      <c r="F478" s="90"/>
      <c r="G478" s="90"/>
      <c r="H478" s="90"/>
    </row>
    <row r="479">
      <c r="A479" s="90"/>
      <c r="B479" s="90"/>
      <c r="C479" s="90"/>
      <c r="D479" s="90"/>
      <c r="E479" s="90"/>
      <c r="F479" s="90"/>
      <c r="G479" s="90"/>
      <c r="H479" s="90"/>
    </row>
    <row r="480">
      <c r="A480" s="90"/>
      <c r="B480" s="90"/>
      <c r="C480" s="90"/>
      <c r="D480" s="90"/>
      <c r="E480" s="90"/>
      <c r="F480" s="90"/>
      <c r="G480" s="90"/>
      <c r="H480" s="90"/>
    </row>
    <row r="481">
      <c r="A481" s="90"/>
      <c r="B481" s="90"/>
      <c r="C481" s="90"/>
      <c r="D481" s="90"/>
      <c r="E481" s="90"/>
      <c r="F481" s="90"/>
      <c r="G481" s="90"/>
      <c r="H481" s="90"/>
    </row>
    <row r="482">
      <c r="A482" s="90"/>
      <c r="B482" s="90"/>
      <c r="C482" s="90"/>
      <c r="D482" s="90"/>
      <c r="E482" s="90"/>
      <c r="F482" s="90"/>
      <c r="G482" s="90"/>
      <c r="H482" s="90"/>
    </row>
    <row r="483">
      <c r="A483" s="90"/>
      <c r="B483" s="90"/>
      <c r="C483" s="90"/>
      <c r="D483" s="90"/>
      <c r="E483" s="90"/>
      <c r="F483" s="90"/>
      <c r="G483" s="90"/>
      <c r="H483" s="90"/>
    </row>
    <row r="484">
      <c r="A484" s="90"/>
      <c r="B484" s="90"/>
      <c r="C484" s="90"/>
      <c r="D484" s="90"/>
      <c r="E484" s="90"/>
      <c r="F484" s="90"/>
      <c r="G484" s="90"/>
      <c r="H484" s="90"/>
    </row>
    <row r="485">
      <c r="A485" s="90"/>
      <c r="B485" s="90"/>
      <c r="C485" s="90"/>
      <c r="D485" s="90"/>
      <c r="E485" s="90"/>
      <c r="F485" s="90"/>
      <c r="G485" s="90"/>
      <c r="H485" s="90"/>
    </row>
    <row r="486">
      <c r="A486" s="90"/>
      <c r="B486" s="90"/>
      <c r="C486" s="90"/>
      <c r="D486" s="90"/>
      <c r="E486" s="90"/>
      <c r="F486" s="90"/>
      <c r="G486" s="90"/>
      <c r="H486" s="90"/>
    </row>
    <row r="487">
      <c r="A487" s="90"/>
      <c r="B487" s="90"/>
      <c r="C487" s="90"/>
      <c r="D487" s="90"/>
      <c r="E487" s="90"/>
      <c r="F487" s="90"/>
      <c r="G487" s="90"/>
      <c r="H487" s="90"/>
    </row>
    <row r="488">
      <c r="A488" s="90"/>
      <c r="B488" s="90"/>
      <c r="C488" s="90"/>
      <c r="D488" s="90"/>
      <c r="E488" s="90"/>
      <c r="F488" s="90"/>
      <c r="G488" s="90"/>
      <c r="H488" s="90"/>
    </row>
    <row r="489">
      <c r="A489" s="90"/>
      <c r="B489" s="90"/>
      <c r="C489" s="90"/>
      <c r="D489" s="90"/>
      <c r="E489" s="90"/>
      <c r="F489" s="90"/>
      <c r="G489" s="90"/>
      <c r="H489" s="90"/>
    </row>
    <row r="490">
      <c r="A490" s="90"/>
      <c r="B490" s="90"/>
      <c r="C490" s="90"/>
      <c r="D490" s="90"/>
      <c r="E490" s="90"/>
      <c r="F490" s="90"/>
      <c r="G490" s="90"/>
      <c r="H490" s="90"/>
    </row>
    <row r="491">
      <c r="A491" s="90"/>
      <c r="B491" s="90"/>
      <c r="C491" s="90"/>
      <c r="D491" s="90"/>
      <c r="E491" s="90"/>
      <c r="F491" s="90"/>
      <c r="G491" s="90"/>
      <c r="H491" s="90"/>
    </row>
    <row r="492">
      <c r="A492" s="90"/>
      <c r="B492" s="90"/>
      <c r="C492" s="90"/>
      <c r="D492" s="90"/>
      <c r="E492" s="90"/>
      <c r="F492" s="90"/>
      <c r="G492" s="90"/>
      <c r="H492" s="90"/>
    </row>
    <row r="493">
      <c r="A493" s="90"/>
      <c r="B493" s="90"/>
      <c r="C493" s="90"/>
      <c r="D493" s="90"/>
      <c r="E493" s="90"/>
      <c r="F493" s="90"/>
      <c r="G493" s="90"/>
      <c r="H493" s="90"/>
    </row>
    <row r="494">
      <c r="A494" s="90"/>
      <c r="B494" s="90"/>
      <c r="C494" s="90"/>
      <c r="D494" s="90"/>
      <c r="E494" s="90"/>
      <c r="F494" s="90"/>
      <c r="G494" s="90"/>
      <c r="H494" s="90"/>
    </row>
    <row r="495">
      <c r="A495" s="90"/>
      <c r="B495" s="90"/>
      <c r="C495" s="90"/>
      <c r="D495" s="90"/>
      <c r="E495" s="90"/>
      <c r="F495" s="90"/>
      <c r="G495" s="90"/>
      <c r="H495" s="90"/>
    </row>
    <row r="496">
      <c r="A496" s="90"/>
      <c r="B496" s="90"/>
      <c r="C496" s="90"/>
      <c r="D496" s="90"/>
      <c r="E496" s="90"/>
      <c r="F496" s="90"/>
      <c r="G496" s="90"/>
      <c r="H496" s="90"/>
    </row>
    <row r="497">
      <c r="A497" s="90"/>
      <c r="B497" s="90"/>
      <c r="C497" s="90"/>
      <c r="D497" s="90"/>
      <c r="E497" s="90"/>
      <c r="F497" s="90"/>
      <c r="G497" s="90"/>
      <c r="H497" s="90"/>
    </row>
    <row r="498">
      <c r="A498" s="90"/>
      <c r="B498" s="90"/>
      <c r="C498" s="90"/>
      <c r="D498" s="90"/>
      <c r="E498" s="90"/>
      <c r="F498" s="90"/>
      <c r="G498" s="90"/>
      <c r="H498" s="90"/>
    </row>
    <row r="499">
      <c r="A499" s="90"/>
      <c r="B499" s="90"/>
      <c r="C499" s="90"/>
      <c r="D499" s="90"/>
      <c r="E499" s="90"/>
      <c r="F499" s="90"/>
      <c r="G499" s="90"/>
      <c r="H499" s="90"/>
    </row>
    <row r="500">
      <c r="A500" s="90"/>
      <c r="B500" s="90"/>
      <c r="C500" s="90"/>
      <c r="D500" s="90"/>
      <c r="E500" s="90"/>
      <c r="F500" s="90"/>
      <c r="G500" s="90"/>
      <c r="H500" s="90"/>
    </row>
    <row r="501">
      <c r="A501" s="90"/>
      <c r="B501" s="90"/>
      <c r="C501" s="90"/>
      <c r="D501" s="90"/>
      <c r="E501" s="90"/>
      <c r="F501" s="90"/>
      <c r="G501" s="90"/>
      <c r="H501" s="90"/>
    </row>
    <row r="502">
      <c r="A502" s="90"/>
      <c r="B502" s="90"/>
      <c r="C502" s="90"/>
      <c r="D502" s="90"/>
      <c r="E502" s="90"/>
      <c r="F502" s="90"/>
      <c r="G502" s="90"/>
      <c r="H502" s="90"/>
    </row>
    <row r="503">
      <c r="A503" s="90"/>
      <c r="B503" s="90"/>
      <c r="C503" s="90"/>
      <c r="D503" s="90"/>
      <c r="E503" s="90"/>
      <c r="F503" s="90"/>
      <c r="G503" s="90"/>
      <c r="H503" s="90"/>
    </row>
    <row r="504">
      <c r="A504" s="90"/>
      <c r="B504" s="90"/>
      <c r="C504" s="90"/>
      <c r="D504" s="90"/>
      <c r="E504" s="90"/>
      <c r="F504" s="90"/>
      <c r="G504" s="90"/>
      <c r="H504" s="90"/>
    </row>
    <row r="505">
      <c r="A505" s="90"/>
      <c r="B505" s="90"/>
      <c r="C505" s="90"/>
      <c r="D505" s="90"/>
      <c r="E505" s="90"/>
      <c r="F505" s="90"/>
      <c r="G505" s="90"/>
      <c r="H505" s="90"/>
    </row>
    <row r="506">
      <c r="A506" s="90"/>
      <c r="B506" s="90"/>
      <c r="C506" s="90"/>
      <c r="D506" s="90"/>
      <c r="E506" s="90"/>
      <c r="F506" s="90"/>
      <c r="G506" s="90"/>
      <c r="H506" s="90"/>
    </row>
    <row r="507">
      <c r="A507" s="90"/>
      <c r="B507" s="90"/>
      <c r="C507" s="90"/>
      <c r="D507" s="90"/>
      <c r="E507" s="90"/>
      <c r="F507" s="90"/>
      <c r="G507" s="90"/>
      <c r="H507" s="90"/>
    </row>
    <row r="508">
      <c r="A508" s="90"/>
      <c r="B508" s="90"/>
      <c r="C508" s="90"/>
      <c r="D508" s="90"/>
      <c r="E508" s="90"/>
      <c r="F508" s="90"/>
      <c r="G508" s="90"/>
      <c r="H508" s="90"/>
    </row>
    <row r="509">
      <c r="A509" s="90"/>
      <c r="B509" s="90"/>
      <c r="C509" s="90"/>
      <c r="D509" s="90"/>
      <c r="E509" s="90"/>
      <c r="F509" s="90"/>
      <c r="G509" s="90"/>
      <c r="H509" s="90"/>
    </row>
    <row r="510">
      <c r="A510" s="90"/>
      <c r="B510" s="90"/>
      <c r="C510" s="90"/>
      <c r="D510" s="90"/>
      <c r="E510" s="90"/>
      <c r="F510" s="90"/>
      <c r="G510" s="90"/>
      <c r="H510" s="90"/>
    </row>
    <row r="511">
      <c r="A511" s="90"/>
      <c r="B511" s="90"/>
      <c r="C511" s="90"/>
      <c r="D511" s="90"/>
      <c r="E511" s="90"/>
      <c r="F511" s="90"/>
      <c r="G511" s="90"/>
      <c r="H511" s="90"/>
    </row>
    <row r="512">
      <c r="A512" s="90"/>
      <c r="B512" s="90"/>
      <c r="C512" s="90"/>
      <c r="D512" s="90"/>
      <c r="E512" s="90"/>
      <c r="F512" s="90"/>
      <c r="G512" s="90"/>
      <c r="H512" s="90"/>
    </row>
    <row r="513">
      <c r="A513" s="90"/>
      <c r="B513" s="90"/>
      <c r="C513" s="90"/>
      <c r="D513" s="90"/>
      <c r="E513" s="90"/>
      <c r="F513" s="90"/>
      <c r="G513" s="90"/>
      <c r="H513" s="90"/>
    </row>
    <row r="514">
      <c r="A514" s="90"/>
      <c r="B514" s="90"/>
      <c r="C514" s="90"/>
      <c r="D514" s="90"/>
      <c r="E514" s="90"/>
      <c r="F514" s="90"/>
      <c r="G514" s="90"/>
      <c r="H514" s="90"/>
    </row>
    <row r="515">
      <c r="A515" s="90"/>
      <c r="B515" s="90"/>
      <c r="C515" s="90"/>
      <c r="D515" s="90"/>
      <c r="E515" s="90"/>
      <c r="F515" s="90"/>
      <c r="G515" s="90"/>
      <c r="H515" s="90"/>
    </row>
    <row r="516">
      <c r="A516" s="90"/>
      <c r="B516" s="90"/>
      <c r="C516" s="90"/>
      <c r="D516" s="90"/>
      <c r="E516" s="90"/>
      <c r="F516" s="90"/>
      <c r="G516" s="90"/>
      <c r="H516" s="90"/>
    </row>
    <row r="517">
      <c r="A517" s="90"/>
      <c r="B517" s="90"/>
      <c r="C517" s="90"/>
      <c r="D517" s="90"/>
      <c r="E517" s="90"/>
      <c r="F517" s="90"/>
      <c r="G517" s="90"/>
      <c r="H517" s="90"/>
    </row>
    <row r="518">
      <c r="A518" s="90"/>
      <c r="B518" s="90"/>
      <c r="C518" s="90"/>
      <c r="D518" s="90"/>
      <c r="E518" s="90"/>
      <c r="F518" s="90"/>
      <c r="G518" s="90"/>
      <c r="H518" s="90"/>
    </row>
    <row r="519">
      <c r="A519" s="90"/>
      <c r="B519" s="90"/>
      <c r="C519" s="90"/>
      <c r="D519" s="90"/>
      <c r="E519" s="90"/>
      <c r="F519" s="90"/>
      <c r="G519" s="90"/>
      <c r="H519" s="90"/>
    </row>
    <row r="520">
      <c r="A520" s="90"/>
      <c r="B520" s="90"/>
      <c r="C520" s="90"/>
      <c r="D520" s="90"/>
      <c r="E520" s="90"/>
      <c r="F520" s="90"/>
      <c r="G520" s="90"/>
      <c r="H520" s="90"/>
    </row>
    <row r="521">
      <c r="A521" s="90"/>
      <c r="B521" s="90"/>
      <c r="C521" s="90"/>
      <c r="D521" s="90"/>
      <c r="E521" s="90"/>
      <c r="F521" s="90"/>
      <c r="G521" s="90"/>
      <c r="H521" s="90"/>
    </row>
    <row r="522">
      <c r="A522" s="90"/>
      <c r="B522" s="90"/>
      <c r="C522" s="90"/>
      <c r="D522" s="90"/>
      <c r="E522" s="90"/>
      <c r="F522" s="90"/>
      <c r="G522" s="90"/>
      <c r="H522" s="90"/>
    </row>
    <row r="523">
      <c r="A523" s="90"/>
      <c r="B523" s="90"/>
      <c r="C523" s="90"/>
      <c r="D523" s="90"/>
      <c r="E523" s="90"/>
      <c r="F523" s="90"/>
      <c r="G523" s="90"/>
      <c r="H523" s="90"/>
    </row>
    <row r="524">
      <c r="A524" s="90"/>
      <c r="B524" s="90"/>
      <c r="C524" s="90"/>
      <c r="D524" s="90"/>
      <c r="E524" s="90"/>
      <c r="F524" s="90"/>
      <c r="G524" s="90"/>
      <c r="H524" s="90"/>
    </row>
    <row r="525">
      <c r="A525" s="90"/>
      <c r="B525" s="90"/>
      <c r="C525" s="90"/>
      <c r="D525" s="90"/>
      <c r="E525" s="90"/>
      <c r="F525" s="90"/>
      <c r="G525" s="90"/>
      <c r="H525" s="90"/>
    </row>
    <row r="526">
      <c r="A526" s="90"/>
      <c r="B526" s="90"/>
      <c r="C526" s="90"/>
      <c r="D526" s="90"/>
      <c r="E526" s="90"/>
      <c r="F526" s="90"/>
      <c r="G526" s="90"/>
      <c r="H526" s="90"/>
    </row>
    <row r="527">
      <c r="A527" s="90"/>
      <c r="B527" s="90"/>
      <c r="C527" s="90"/>
      <c r="D527" s="90"/>
      <c r="E527" s="90"/>
      <c r="F527" s="90"/>
      <c r="G527" s="90"/>
      <c r="H527" s="90"/>
    </row>
    <row r="528">
      <c r="A528" s="90"/>
      <c r="B528" s="90"/>
      <c r="C528" s="90"/>
      <c r="D528" s="90"/>
      <c r="E528" s="90"/>
      <c r="F528" s="90"/>
      <c r="G528" s="90"/>
      <c r="H528" s="90"/>
    </row>
    <row r="529">
      <c r="A529" s="90"/>
      <c r="B529" s="90"/>
      <c r="C529" s="90"/>
      <c r="D529" s="90"/>
      <c r="E529" s="90"/>
      <c r="F529" s="90"/>
      <c r="G529" s="90"/>
      <c r="H529" s="90"/>
    </row>
    <row r="530">
      <c r="A530" s="90"/>
      <c r="B530" s="90"/>
      <c r="C530" s="90"/>
      <c r="D530" s="90"/>
      <c r="E530" s="90"/>
      <c r="F530" s="90"/>
      <c r="G530" s="90"/>
      <c r="H530" s="90"/>
    </row>
    <row r="531">
      <c r="A531" s="90"/>
      <c r="B531" s="90"/>
      <c r="C531" s="90"/>
      <c r="D531" s="90"/>
      <c r="E531" s="90"/>
      <c r="F531" s="90"/>
      <c r="G531" s="90"/>
      <c r="H531" s="90"/>
    </row>
    <row r="532">
      <c r="A532" s="90"/>
      <c r="B532" s="90"/>
      <c r="C532" s="90"/>
      <c r="D532" s="90"/>
      <c r="E532" s="90"/>
      <c r="F532" s="90"/>
      <c r="G532" s="90"/>
      <c r="H532" s="90"/>
    </row>
    <row r="533">
      <c r="A533" s="90"/>
      <c r="B533" s="90"/>
      <c r="C533" s="90"/>
      <c r="D533" s="90"/>
      <c r="E533" s="90"/>
      <c r="F533" s="90"/>
      <c r="G533" s="90"/>
      <c r="H533" s="90"/>
    </row>
    <row r="534">
      <c r="A534" s="90"/>
      <c r="B534" s="90"/>
      <c r="C534" s="90"/>
      <c r="D534" s="90"/>
      <c r="E534" s="90"/>
      <c r="F534" s="90"/>
      <c r="G534" s="90"/>
      <c r="H534" s="90"/>
    </row>
    <row r="535">
      <c r="A535" s="90"/>
      <c r="B535" s="90"/>
      <c r="C535" s="90"/>
      <c r="D535" s="90"/>
      <c r="E535" s="90"/>
      <c r="F535" s="90"/>
      <c r="G535" s="90"/>
      <c r="H535" s="90"/>
    </row>
    <row r="536">
      <c r="A536" s="90"/>
      <c r="B536" s="90"/>
      <c r="C536" s="90"/>
      <c r="D536" s="90"/>
      <c r="E536" s="90"/>
      <c r="F536" s="90"/>
      <c r="G536" s="90"/>
      <c r="H536" s="90"/>
    </row>
    <row r="537">
      <c r="A537" s="90"/>
      <c r="B537" s="90"/>
      <c r="C537" s="90"/>
      <c r="D537" s="90"/>
      <c r="E537" s="90"/>
      <c r="F537" s="90"/>
      <c r="G537" s="90"/>
      <c r="H537" s="90"/>
    </row>
    <row r="538">
      <c r="A538" s="90"/>
      <c r="B538" s="90"/>
      <c r="C538" s="90"/>
      <c r="D538" s="90"/>
      <c r="E538" s="90"/>
      <c r="F538" s="90"/>
      <c r="G538" s="90"/>
      <c r="H538" s="90"/>
    </row>
    <row r="539">
      <c r="A539" s="90"/>
      <c r="B539" s="90"/>
      <c r="C539" s="90"/>
      <c r="D539" s="90"/>
      <c r="E539" s="90"/>
      <c r="F539" s="90"/>
      <c r="G539" s="90"/>
      <c r="H539" s="90"/>
    </row>
    <row r="540">
      <c r="A540" s="90"/>
      <c r="B540" s="90"/>
      <c r="C540" s="90"/>
      <c r="D540" s="90"/>
      <c r="E540" s="90"/>
      <c r="F540" s="90"/>
      <c r="G540" s="90"/>
      <c r="H540" s="90"/>
    </row>
    <row r="541">
      <c r="A541" s="90"/>
      <c r="B541" s="90"/>
      <c r="C541" s="90"/>
      <c r="D541" s="90"/>
      <c r="E541" s="90"/>
      <c r="F541" s="90"/>
      <c r="G541" s="90"/>
      <c r="H541" s="90"/>
    </row>
    <row r="542">
      <c r="A542" s="90"/>
      <c r="B542" s="90"/>
      <c r="C542" s="90"/>
      <c r="D542" s="90"/>
      <c r="E542" s="90"/>
      <c r="F542" s="90"/>
      <c r="G542" s="90"/>
      <c r="H542" s="90"/>
    </row>
    <row r="543">
      <c r="A543" s="90"/>
      <c r="B543" s="90"/>
      <c r="C543" s="90"/>
      <c r="D543" s="90"/>
      <c r="E543" s="90"/>
      <c r="F543" s="90"/>
      <c r="G543" s="90"/>
      <c r="H543" s="90"/>
    </row>
    <row r="544">
      <c r="A544" s="90"/>
      <c r="B544" s="90"/>
      <c r="C544" s="90"/>
      <c r="D544" s="90"/>
      <c r="E544" s="90"/>
      <c r="F544" s="90"/>
      <c r="G544" s="90"/>
      <c r="H544" s="90"/>
    </row>
    <row r="545">
      <c r="A545" s="90"/>
      <c r="B545" s="90"/>
      <c r="C545" s="90"/>
      <c r="D545" s="90"/>
      <c r="E545" s="90"/>
      <c r="F545" s="90"/>
      <c r="G545" s="90"/>
      <c r="H545" s="90"/>
    </row>
    <row r="546">
      <c r="A546" s="90"/>
      <c r="B546" s="90"/>
      <c r="C546" s="90"/>
      <c r="D546" s="90"/>
      <c r="E546" s="90"/>
      <c r="F546" s="90"/>
      <c r="G546" s="90"/>
      <c r="H546" s="90"/>
    </row>
    <row r="547">
      <c r="A547" s="90"/>
      <c r="B547" s="90"/>
      <c r="C547" s="90"/>
      <c r="D547" s="90"/>
      <c r="E547" s="90"/>
      <c r="F547" s="90"/>
      <c r="G547" s="90"/>
      <c r="H547" s="90"/>
    </row>
    <row r="548">
      <c r="A548" s="90"/>
      <c r="B548" s="90"/>
      <c r="C548" s="90"/>
      <c r="D548" s="90"/>
      <c r="E548" s="90"/>
      <c r="F548" s="90"/>
      <c r="G548" s="90"/>
      <c r="H548" s="90"/>
    </row>
    <row r="549">
      <c r="A549" s="90"/>
      <c r="B549" s="90"/>
      <c r="C549" s="90"/>
      <c r="D549" s="90"/>
      <c r="E549" s="90"/>
      <c r="F549" s="90"/>
      <c r="G549" s="90"/>
      <c r="H549" s="90"/>
    </row>
    <row r="550">
      <c r="A550" s="90"/>
      <c r="B550" s="90"/>
      <c r="C550" s="90"/>
      <c r="D550" s="90"/>
      <c r="E550" s="90"/>
      <c r="F550" s="90"/>
      <c r="G550" s="90"/>
      <c r="H550" s="90"/>
    </row>
    <row r="551">
      <c r="A551" s="90"/>
      <c r="B551" s="90"/>
      <c r="C551" s="90"/>
      <c r="D551" s="90"/>
      <c r="E551" s="90"/>
      <c r="F551" s="90"/>
      <c r="G551" s="90"/>
      <c r="H551" s="90"/>
    </row>
    <row r="552">
      <c r="A552" s="90"/>
      <c r="B552" s="90"/>
      <c r="C552" s="90"/>
      <c r="D552" s="90"/>
      <c r="E552" s="90"/>
      <c r="F552" s="90"/>
      <c r="G552" s="90"/>
      <c r="H552" s="90"/>
    </row>
    <row r="553">
      <c r="A553" s="90"/>
      <c r="B553" s="90"/>
      <c r="C553" s="90"/>
      <c r="D553" s="90"/>
      <c r="E553" s="90"/>
      <c r="F553" s="90"/>
      <c r="G553" s="90"/>
      <c r="H553" s="90"/>
    </row>
    <row r="554">
      <c r="A554" s="90"/>
      <c r="B554" s="90"/>
      <c r="C554" s="90"/>
      <c r="D554" s="90"/>
      <c r="E554" s="90"/>
      <c r="F554" s="90"/>
      <c r="G554" s="90"/>
      <c r="H554" s="90"/>
    </row>
    <row r="555">
      <c r="A555" s="90"/>
      <c r="B555" s="90"/>
      <c r="C555" s="90"/>
      <c r="D555" s="90"/>
      <c r="E555" s="90"/>
      <c r="F555" s="90"/>
      <c r="G555" s="90"/>
      <c r="H555" s="90"/>
    </row>
    <row r="556">
      <c r="A556" s="90"/>
      <c r="B556" s="90"/>
      <c r="C556" s="90"/>
      <c r="D556" s="90"/>
      <c r="E556" s="90"/>
      <c r="F556" s="90"/>
      <c r="G556" s="90"/>
      <c r="H556" s="90"/>
    </row>
    <row r="557">
      <c r="A557" s="90"/>
      <c r="B557" s="90"/>
      <c r="C557" s="90"/>
      <c r="D557" s="90"/>
      <c r="E557" s="90"/>
      <c r="F557" s="90"/>
      <c r="G557" s="90"/>
      <c r="H557" s="90"/>
    </row>
    <row r="558">
      <c r="A558" s="90"/>
      <c r="B558" s="90"/>
      <c r="C558" s="90"/>
      <c r="D558" s="90"/>
      <c r="E558" s="90"/>
      <c r="F558" s="90"/>
      <c r="G558" s="90"/>
      <c r="H558" s="90"/>
    </row>
    <row r="559">
      <c r="A559" s="90"/>
      <c r="B559" s="90"/>
      <c r="C559" s="90"/>
      <c r="D559" s="90"/>
      <c r="E559" s="90"/>
      <c r="F559" s="90"/>
      <c r="G559" s="90"/>
      <c r="H559" s="90"/>
    </row>
    <row r="560">
      <c r="A560" s="90"/>
      <c r="B560" s="90"/>
      <c r="C560" s="90"/>
      <c r="D560" s="90"/>
      <c r="E560" s="90"/>
      <c r="F560" s="90"/>
      <c r="G560" s="90"/>
      <c r="H560" s="90"/>
    </row>
    <row r="561">
      <c r="A561" s="90"/>
      <c r="B561" s="90"/>
      <c r="C561" s="90"/>
      <c r="D561" s="90"/>
      <c r="E561" s="90"/>
      <c r="F561" s="90"/>
      <c r="G561" s="90"/>
      <c r="H561" s="90"/>
    </row>
    <row r="562">
      <c r="A562" s="90"/>
      <c r="B562" s="90"/>
      <c r="C562" s="90"/>
      <c r="D562" s="90"/>
      <c r="E562" s="90"/>
      <c r="F562" s="90"/>
      <c r="G562" s="90"/>
      <c r="H562" s="90"/>
    </row>
    <row r="563">
      <c r="A563" s="90"/>
      <c r="B563" s="90"/>
      <c r="C563" s="90"/>
      <c r="D563" s="90"/>
      <c r="E563" s="90"/>
      <c r="F563" s="90"/>
      <c r="G563" s="90"/>
      <c r="H563" s="90"/>
    </row>
    <row r="564">
      <c r="A564" s="90"/>
      <c r="B564" s="90"/>
      <c r="C564" s="90"/>
      <c r="D564" s="90"/>
      <c r="E564" s="90"/>
      <c r="F564" s="90"/>
      <c r="G564" s="90"/>
      <c r="H564" s="90"/>
    </row>
    <row r="565">
      <c r="A565" s="90"/>
      <c r="B565" s="90"/>
      <c r="C565" s="90"/>
      <c r="D565" s="90"/>
      <c r="E565" s="90"/>
      <c r="F565" s="90"/>
      <c r="G565" s="90"/>
      <c r="H565" s="90"/>
    </row>
    <row r="566">
      <c r="A566" s="90"/>
      <c r="B566" s="90"/>
      <c r="C566" s="90"/>
      <c r="D566" s="90"/>
      <c r="E566" s="90"/>
      <c r="F566" s="90"/>
      <c r="G566" s="90"/>
      <c r="H566" s="90"/>
    </row>
    <row r="567">
      <c r="A567" s="90"/>
      <c r="B567" s="90"/>
      <c r="C567" s="90"/>
      <c r="D567" s="90"/>
      <c r="E567" s="90"/>
      <c r="F567" s="90"/>
      <c r="G567" s="90"/>
      <c r="H567" s="90"/>
    </row>
    <row r="568">
      <c r="A568" s="90"/>
      <c r="B568" s="90"/>
      <c r="C568" s="90"/>
      <c r="D568" s="90"/>
      <c r="E568" s="90"/>
      <c r="F568" s="90"/>
      <c r="G568" s="90"/>
      <c r="H568" s="90"/>
    </row>
    <row r="569">
      <c r="A569" s="90"/>
      <c r="B569" s="90"/>
      <c r="C569" s="90"/>
      <c r="D569" s="90"/>
      <c r="E569" s="90"/>
      <c r="F569" s="90"/>
      <c r="G569" s="90"/>
      <c r="H569" s="90"/>
    </row>
    <row r="570">
      <c r="A570" s="90"/>
      <c r="B570" s="90"/>
      <c r="C570" s="90"/>
      <c r="D570" s="90"/>
      <c r="E570" s="90"/>
      <c r="F570" s="90"/>
      <c r="G570" s="90"/>
      <c r="H570" s="90"/>
    </row>
    <row r="571">
      <c r="A571" s="90"/>
      <c r="B571" s="90"/>
      <c r="C571" s="90"/>
      <c r="D571" s="90"/>
      <c r="E571" s="90"/>
      <c r="F571" s="90"/>
      <c r="G571" s="90"/>
      <c r="H571" s="90"/>
    </row>
    <row r="572">
      <c r="A572" s="90"/>
      <c r="B572" s="90"/>
      <c r="C572" s="90"/>
      <c r="D572" s="90"/>
      <c r="E572" s="90"/>
      <c r="F572" s="90"/>
      <c r="G572" s="90"/>
      <c r="H572" s="90"/>
    </row>
    <row r="573">
      <c r="A573" s="90"/>
      <c r="B573" s="90"/>
      <c r="C573" s="90"/>
      <c r="D573" s="90"/>
      <c r="E573" s="90"/>
      <c r="F573" s="90"/>
      <c r="G573" s="90"/>
      <c r="H573" s="90"/>
    </row>
    <row r="574">
      <c r="A574" s="90"/>
      <c r="B574" s="90"/>
      <c r="C574" s="90"/>
      <c r="D574" s="90"/>
      <c r="E574" s="90"/>
      <c r="F574" s="90"/>
      <c r="G574" s="90"/>
      <c r="H574" s="90"/>
    </row>
    <row r="575">
      <c r="A575" s="90"/>
      <c r="B575" s="90"/>
      <c r="C575" s="90"/>
      <c r="D575" s="90"/>
      <c r="E575" s="90"/>
      <c r="F575" s="90"/>
      <c r="G575" s="90"/>
      <c r="H575" s="90"/>
    </row>
    <row r="576">
      <c r="A576" s="90"/>
      <c r="B576" s="90"/>
      <c r="C576" s="90"/>
      <c r="D576" s="90"/>
      <c r="E576" s="90"/>
      <c r="F576" s="90"/>
      <c r="G576" s="90"/>
      <c r="H576" s="90"/>
    </row>
    <row r="577">
      <c r="A577" s="90"/>
      <c r="B577" s="90"/>
      <c r="C577" s="90"/>
      <c r="D577" s="90"/>
      <c r="E577" s="90"/>
      <c r="F577" s="90"/>
      <c r="G577" s="90"/>
      <c r="H577" s="90"/>
    </row>
    <row r="578">
      <c r="A578" s="90"/>
      <c r="B578" s="90"/>
      <c r="C578" s="90"/>
      <c r="D578" s="90"/>
      <c r="E578" s="90"/>
      <c r="F578" s="90"/>
      <c r="G578" s="90"/>
      <c r="H578" s="90"/>
    </row>
    <row r="579">
      <c r="A579" s="90"/>
      <c r="B579" s="90"/>
      <c r="C579" s="90"/>
      <c r="D579" s="90"/>
      <c r="E579" s="90"/>
      <c r="F579" s="90"/>
      <c r="G579" s="90"/>
      <c r="H579" s="90"/>
    </row>
    <row r="580">
      <c r="A580" s="90"/>
      <c r="B580" s="90"/>
      <c r="C580" s="90"/>
      <c r="D580" s="90"/>
      <c r="E580" s="90"/>
      <c r="F580" s="90"/>
      <c r="G580" s="90"/>
      <c r="H580" s="90"/>
    </row>
    <row r="581">
      <c r="A581" s="90"/>
      <c r="B581" s="90"/>
      <c r="C581" s="90"/>
      <c r="D581" s="90"/>
      <c r="E581" s="90"/>
      <c r="F581" s="90"/>
      <c r="G581" s="90"/>
      <c r="H581" s="90"/>
    </row>
    <row r="582">
      <c r="A582" s="90"/>
      <c r="B582" s="90"/>
      <c r="C582" s="90"/>
      <c r="D582" s="90"/>
      <c r="E582" s="90"/>
      <c r="F582" s="90"/>
      <c r="G582" s="90"/>
      <c r="H582" s="90"/>
    </row>
    <row r="583">
      <c r="A583" s="90"/>
      <c r="B583" s="90"/>
      <c r="C583" s="90"/>
      <c r="D583" s="90"/>
      <c r="E583" s="90"/>
      <c r="F583" s="90"/>
      <c r="G583" s="90"/>
      <c r="H583" s="90"/>
    </row>
    <row r="584">
      <c r="A584" s="90"/>
      <c r="B584" s="90"/>
      <c r="C584" s="90"/>
      <c r="D584" s="90"/>
      <c r="E584" s="90"/>
      <c r="F584" s="90"/>
      <c r="G584" s="90"/>
      <c r="H584" s="90"/>
    </row>
    <row r="585">
      <c r="A585" s="90"/>
      <c r="B585" s="90"/>
      <c r="C585" s="90"/>
      <c r="D585" s="90"/>
      <c r="E585" s="90"/>
      <c r="F585" s="90"/>
      <c r="G585" s="90"/>
      <c r="H585" s="90"/>
    </row>
    <row r="586">
      <c r="A586" s="90"/>
      <c r="B586" s="90"/>
      <c r="C586" s="90"/>
      <c r="D586" s="90"/>
      <c r="E586" s="90"/>
      <c r="F586" s="90"/>
      <c r="G586" s="90"/>
      <c r="H586" s="90"/>
    </row>
    <row r="587">
      <c r="A587" s="90"/>
      <c r="B587" s="90"/>
      <c r="C587" s="90"/>
      <c r="D587" s="90"/>
      <c r="E587" s="90"/>
      <c r="F587" s="90"/>
      <c r="G587" s="90"/>
      <c r="H587" s="90"/>
    </row>
    <row r="588">
      <c r="A588" s="90"/>
      <c r="B588" s="90"/>
      <c r="C588" s="90"/>
      <c r="D588" s="90"/>
      <c r="E588" s="90"/>
      <c r="F588" s="90"/>
      <c r="G588" s="90"/>
      <c r="H588" s="90"/>
    </row>
    <row r="589">
      <c r="A589" s="90"/>
      <c r="B589" s="90"/>
      <c r="C589" s="90"/>
      <c r="D589" s="90"/>
      <c r="E589" s="90"/>
      <c r="F589" s="90"/>
      <c r="G589" s="90"/>
      <c r="H589" s="90"/>
    </row>
    <row r="590">
      <c r="A590" s="90"/>
      <c r="B590" s="90"/>
      <c r="C590" s="90"/>
      <c r="D590" s="90"/>
      <c r="E590" s="90"/>
      <c r="F590" s="90"/>
      <c r="G590" s="90"/>
      <c r="H590" s="90"/>
    </row>
    <row r="591">
      <c r="A591" s="90"/>
      <c r="B591" s="90"/>
      <c r="C591" s="90"/>
      <c r="D591" s="90"/>
      <c r="E591" s="90"/>
      <c r="F591" s="90"/>
      <c r="G591" s="90"/>
      <c r="H591" s="90"/>
    </row>
    <row r="592">
      <c r="A592" s="90"/>
      <c r="B592" s="90"/>
      <c r="C592" s="90"/>
      <c r="D592" s="90"/>
      <c r="E592" s="90"/>
      <c r="F592" s="90"/>
      <c r="G592" s="90"/>
      <c r="H592" s="90"/>
    </row>
    <row r="593">
      <c r="A593" s="90"/>
      <c r="B593" s="90"/>
      <c r="C593" s="90"/>
      <c r="D593" s="90"/>
      <c r="E593" s="90"/>
      <c r="F593" s="90"/>
      <c r="G593" s="90"/>
      <c r="H593" s="90"/>
    </row>
    <row r="594">
      <c r="A594" s="90"/>
      <c r="B594" s="90"/>
      <c r="C594" s="90"/>
      <c r="D594" s="90"/>
      <c r="E594" s="90"/>
      <c r="F594" s="90"/>
      <c r="G594" s="90"/>
      <c r="H594" s="90"/>
    </row>
    <row r="595">
      <c r="A595" s="90"/>
      <c r="B595" s="90"/>
      <c r="C595" s="90"/>
      <c r="D595" s="90"/>
      <c r="E595" s="90"/>
      <c r="F595" s="90"/>
      <c r="G595" s="90"/>
      <c r="H595" s="90"/>
    </row>
    <row r="596">
      <c r="A596" s="90"/>
      <c r="B596" s="90"/>
      <c r="C596" s="90"/>
      <c r="D596" s="90"/>
      <c r="E596" s="90"/>
      <c r="F596" s="90"/>
      <c r="G596" s="90"/>
      <c r="H596" s="90"/>
    </row>
    <row r="597">
      <c r="A597" s="90"/>
      <c r="B597" s="90"/>
      <c r="C597" s="90"/>
      <c r="D597" s="90"/>
      <c r="E597" s="90"/>
      <c r="F597" s="90"/>
      <c r="G597" s="90"/>
      <c r="H597" s="90"/>
    </row>
    <row r="598">
      <c r="A598" s="90"/>
      <c r="B598" s="90"/>
      <c r="C598" s="90"/>
      <c r="D598" s="90"/>
      <c r="E598" s="90"/>
      <c r="F598" s="90"/>
      <c r="G598" s="90"/>
      <c r="H598" s="90"/>
    </row>
    <row r="599">
      <c r="A599" s="90"/>
      <c r="B599" s="90"/>
      <c r="C599" s="90"/>
      <c r="D599" s="90"/>
      <c r="E599" s="90"/>
      <c r="F599" s="90"/>
      <c r="G599" s="90"/>
      <c r="H599" s="90"/>
    </row>
    <row r="600">
      <c r="A600" s="90"/>
      <c r="B600" s="90"/>
      <c r="C600" s="90"/>
      <c r="D600" s="90"/>
      <c r="E600" s="90"/>
      <c r="F600" s="90"/>
      <c r="G600" s="90"/>
      <c r="H600" s="90"/>
    </row>
    <row r="601">
      <c r="A601" s="90"/>
      <c r="B601" s="90"/>
      <c r="C601" s="90"/>
      <c r="D601" s="90"/>
      <c r="E601" s="90"/>
      <c r="F601" s="90"/>
      <c r="G601" s="90"/>
      <c r="H601" s="90"/>
    </row>
    <row r="602">
      <c r="A602" s="90"/>
      <c r="B602" s="90"/>
      <c r="C602" s="90"/>
      <c r="D602" s="90"/>
      <c r="E602" s="90"/>
      <c r="F602" s="90"/>
      <c r="G602" s="90"/>
      <c r="H602" s="90"/>
    </row>
    <row r="603">
      <c r="A603" s="90"/>
      <c r="B603" s="90"/>
      <c r="C603" s="90"/>
      <c r="D603" s="90"/>
      <c r="E603" s="90"/>
      <c r="F603" s="90"/>
      <c r="G603" s="90"/>
      <c r="H603" s="90"/>
    </row>
    <row r="604">
      <c r="A604" s="90"/>
      <c r="B604" s="90"/>
      <c r="C604" s="90"/>
      <c r="D604" s="90"/>
      <c r="E604" s="90"/>
      <c r="F604" s="90"/>
      <c r="G604" s="90"/>
      <c r="H604" s="90"/>
    </row>
    <row r="605">
      <c r="A605" s="90"/>
      <c r="B605" s="90"/>
      <c r="C605" s="90"/>
      <c r="D605" s="90"/>
      <c r="E605" s="90"/>
      <c r="F605" s="90"/>
      <c r="G605" s="90"/>
      <c r="H605" s="90"/>
    </row>
    <row r="606">
      <c r="A606" s="90"/>
      <c r="B606" s="90"/>
      <c r="C606" s="90"/>
      <c r="D606" s="90"/>
      <c r="E606" s="90"/>
      <c r="F606" s="90"/>
      <c r="G606" s="90"/>
      <c r="H606" s="90"/>
    </row>
    <row r="607">
      <c r="A607" s="90"/>
      <c r="B607" s="90"/>
      <c r="C607" s="90"/>
      <c r="D607" s="90"/>
      <c r="E607" s="90"/>
      <c r="F607" s="90"/>
      <c r="G607" s="90"/>
      <c r="H607" s="90"/>
    </row>
    <row r="608">
      <c r="A608" s="90"/>
      <c r="B608" s="90"/>
      <c r="C608" s="90"/>
      <c r="D608" s="90"/>
      <c r="E608" s="90"/>
      <c r="F608" s="90"/>
      <c r="G608" s="90"/>
      <c r="H608" s="90"/>
    </row>
    <row r="609">
      <c r="A609" s="90"/>
      <c r="B609" s="90"/>
      <c r="C609" s="90"/>
      <c r="D609" s="90"/>
      <c r="E609" s="90"/>
      <c r="F609" s="90"/>
      <c r="G609" s="90"/>
      <c r="H609" s="90"/>
    </row>
    <row r="610">
      <c r="A610" s="90"/>
      <c r="B610" s="90"/>
      <c r="C610" s="90"/>
      <c r="D610" s="90"/>
      <c r="E610" s="90"/>
      <c r="F610" s="90"/>
      <c r="G610" s="90"/>
      <c r="H610" s="90"/>
    </row>
    <row r="611">
      <c r="A611" s="90"/>
      <c r="B611" s="90"/>
      <c r="C611" s="90"/>
      <c r="D611" s="90"/>
      <c r="E611" s="90"/>
      <c r="F611" s="90"/>
      <c r="G611" s="90"/>
      <c r="H611" s="90"/>
    </row>
    <row r="612">
      <c r="A612" s="90"/>
      <c r="B612" s="90"/>
      <c r="C612" s="90"/>
      <c r="D612" s="90"/>
      <c r="E612" s="90"/>
      <c r="F612" s="90"/>
      <c r="G612" s="90"/>
      <c r="H612" s="90"/>
    </row>
    <row r="613">
      <c r="A613" s="90"/>
      <c r="B613" s="90"/>
      <c r="C613" s="90"/>
      <c r="D613" s="90"/>
      <c r="E613" s="90"/>
      <c r="F613" s="90"/>
      <c r="G613" s="90"/>
      <c r="H613" s="90"/>
    </row>
    <row r="614">
      <c r="A614" s="90"/>
      <c r="B614" s="90"/>
      <c r="C614" s="90"/>
      <c r="D614" s="90"/>
      <c r="E614" s="90"/>
      <c r="F614" s="90"/>
      <c r="G614" s="90"/>
      <c r="H614" s="90"/>
    </row>
    <row r="615">
      <c r="A615" s="90"/>
      <c r="B615" s="90"/>
      <c r="C615" s="90"/>
      <c r="D615" s="90"/>
      <c r="E615" s="90"/>
      <c r="F615" s="90"/>
      <c r="G615" s="90"/>
      <c r="H615" s="90"/>
    </row>
    <row r="616">
      <c r="A616" s="90"/>
      <c r="B616" s="90"/>
      <c r="C616" s="90"/>
      <c r="D616" s="90"/>
      <c r="E616" s="90"/>
      <c r="F616" s="90"/>
      <c r="G616" s="90"/>
      <c r="H616" s="90"/>
    </row>
    <row r="617">
      <c r="A617" s="90"/>
      <c r="B617" s="90"/>
      <c r="C617" s="90"/>
      <c r="D617" s="90"/>
      <c r="E617" s="90"/>
      <c r="F617" s="90"/>
      <c r="G617" s="90"/>
      <c r="H617" s="90"/>
    </row>
    <row r="618">
      <c r="A618" s="90"/>
      <c r="B618" s="90"/>
      <c r="C618" s="90"/>
      <c r="D618" s="90"/>
      <c r="E618" s="90"/>
      <c r="F618" s="90"/>
      <c r="G618" s="90"/>
      <c r="H618" s="90"/>
    </row>
    <row r="619">
      <c r="A619" s="90"/>
      <c r="B619" s="90"/>
      <c r="C619" s="90"/>
      <c r="D619" s="90"/>
      <c r="E619" s="90"/>
      <c r="F619" s="90"/>
      <c r="G619" s="90"/>
      <c r="H619" s="90"/>
    </row>
    <row r="620">
      <c r="A620" s="90"/>
      <c r="B620" s="90"/>
      <c r="C620" s="90"/>
      <c r="D620" s="90"/>
      <c r="E620" s="90"/>
      <c r="F620" s="90"/>
      <c r="G620" s="90"/>
      <c r="H620" s="90"/>
    </row>
    <row r="621">
      <c r="A621" s="90"/>
      <c r="B621" s="90"/>
      <c r="C621" s="90"/>
      <c r="D621" s="90"/>
      <c r="E621" s="90"/>
      <c r="F621" s="90"/>
      <c r="G621" s="90"/>
      <c r="H621" s="90"/>
    </row>
    <row r="622">
      <c r="A622" s="90"/>
      <c r="B622" s="90"/>
      <c r="C622" s="90"/>
      <c r="D622" s="90"/>
      <c r="E622" s="90"/>
      <c r="F622" s="90"/>
      <c r="G622" s="90"/>
      <c r="H622" s="90"/>
    </row>
    <row r="623">
      <c r="A623" s="90"/>
      <c r="B623" s="90"/>
      <c r="C623" s="90"/>
      <c r="D623" s="90"/>
      <c r="E623" s="90"/>
      <c r="F623" s="90"/>
      <c r="G623" s="90"/>
      <c r="H623" s="90"/>
    </row>
    <row r="624">
      <c r="A624" s="90"/>
      <c r="B624" s="90"/>
      <c r="C624" s="90"/>
      <c r="D624" s="90"/>
      <c r="E624" s="90"/>
      <c r="F624" s="90"/>
      <c r="G624" s="90"/>
      <c r="H624" s="90"/>
    </row>
    <row r="625">
      <c r="A625" s="90"/>
      <c r="B625" s="90"/>
      <c r="C625" s="90"/>
      <c r="D625" s="90"/>
      <c r="E625" s="90"/>
      <c r="F625" s="90"/>
      <c r="G625" s="90"/>
      <c r="H625" s="90"/>
    </row>
    <row r="626">
      <c r="A626" s="90"/>
      <c r="B626" s="90"/>
      <c r="C626" s="90"/>
      <c r="D626" s="90"/>
      <c r="E626" s="90"/>
      <c r="F626" s="90"/>
      <c r="G626" s="90"/>
      <c r="H626" s="90"/>
    </row>
    <row r="627">
      <c r="A627" s="90"/>
      <c r="B627" s="90"/>
      <c r="C627" s="90"/>
      <c r="D627" s="90"/>
      <c r="E627" s="90"/>
      <c r="F627" s="90"/>
      <c r="G627" s="90"/>
      <c r="H627" s="90"/>
    </row>
    <row r="628">
      <c r="A628" s="90"/>
      <c r="B628" s="90"/>
      <c r="C628" s="90"/>
      <c r="D628" s="90"/>
      <c r="E628" s="90"/>
      <c r="F628" s="90"/>
      <c r="G628" s="90"/>
      <c r="H628" s="90"/>
    </row>
    <row r="629">
      <c r="A629" s="90"/>
      <c r="B629" s="90"/>
      <c r="C629" s="90"/>
      <c r="D629" s="90"/>
      <c r="E629" s="90"/>
      <c r="F629" s="90"/>
      <c r="G629" s="90"/>
      <c r="H629" s="90"/>
    </row>
    <row r="630">
      <c r="A630" s="90"/>
      <c r="B630" s="90"/>
      <c r="C630" s="90"/>
      <c r="D630" s="90"/>
      <c r="E630" s="90"/>
      <c r="F630" s="90"/>
      <c r="G630" s="90"/>
      <c r="H630" s="90"/>
    </row>
    <row r="631">
      <c r="A631" s="90"/>
      <c r="B631" s="90"/>
      <c r="C631" s="90"/>
      <c r="D631" s="90"/>
      <c r="E631" s="90"/>
      <c r="F631" s="90"/>
      <c r="G631" s="90"/>
      <c r="H631" s="90"/>
    </row>
    <row r="632">
      <c r="A632" s="90"/>
      <c r="B632" s="90"/>
      <c r="C632" s="90"/>
      <c r="D632" s="90"/>
      <c r="E632" s="90"/>
      <c r="F632" s="90"/>
      <c r="G632" s="90"/>
      <c r="H632" s="90"/>
    </row>
    <row r="633">
      <c r="A633" s="90"/>
      <c r="B633" s="90"/>
      <c r="C633" s="90"/>
      <c r="D633" s="90"/>
      <c r="E633" s="90"/>
      <c r="F633" s="90"/>
      <c r="G633" s="90"/>
      <c r="H633" s="90"/>
    </row>
    <row r="634">
      <c r="A634" s="90"/>
      <c r="B634" s="90"/>
      <c r="C634" s="90"/>
      <c r="D634" s="90"/>
      <c r="E634" s="90"/>
      <c r="F634" s="90"/>
      <c r="G634" s="90"/>
      <c r="H634" s="90"/>
    </row>
    <row r="635">
      <c r="A635" s="90"/>
      <c r="B635" s="90"/>
      <c r="C635" s="90"/>
      <c r="D635" s="90"/>
      <c r="E635" s="90"/>
      <c r="F635" s="90"/>
      <c r="G635" s="90"/>
      <c r="H635" s="90"/>
    </row>
    <row r="636">
      <c r="A636" s="90"/>
      <c r="B636" s="90"/>
      <c r="C636" s="90"/>
      <c r="D636" s="90"/>
      <c r="E636" s="90"/>
      <c r="F636" s="90"/>
      <c r="G636" s="90"/>
      <c r="H636" s="90"/>
    </row>
    <row r="637">
      <c r="A637" s="90"/>
      <c r="B637" s="90"/>
      <c r="C637" s="90"/>
      <c r="D637" s="90"/>
      <c r="E637" s="90"/>
      <c r="F637" s="90"/>
      <c r="G637" s="90"/>
      <c r="H637" s="90"/>
    </row>
    <row r="638">
      <c r="A638" s="90"/>
      <c r="B638" s="90"/>
      <c r="C638" s="90"/>
      <c r="D638" s="90"/>
      <c r="E638" s="90"/>
      <c r="F638" s="90"/>
      <c r="G638" s="90"/>
      <c r="H638" s="90"/>
    </row>
    <row r="639">
      <c r="A639" s="90"/>
      <c r="B639" s="90"/>
      <c r="C639" s="90"/>
      <c r="D639" s="90"/>
      <c r="E639" s="90"/>
      <c r="F639" s="90"/>
      <c r="G639" s="90"/>
      <c r="H639" s="90"/>
    </row>
    <row r="640">
      <c r="A640" s="90"/>
      <c r="B640" s="90"/>
      <c r="C640" s="90"/>
      <c r="D640" s="90"/>
      <c r="E640" s="90"/>
      <c r="F640" s="90"/>
      <c r="G640" s="90"/>
      <c r="H640" s="90"/>
    </row>
    <row r="641">
      <c r="A641" s="90"/>
      <c r="B641" s="90"/>
      <c r="C641" s="90"/>
      <c r="D641" s="90"/>
      <c r="E641" s="90"/>
      <c r="F641" s="90"/>
      <c r="G641" s="90"/>
      <c r="H641" s="90"/>
    </row>
    <row r="642">
      <c r="A642" s="90"/>
      <c r="B642" s="90"/>
      <c r="C642" s="90"/>
      <c r="D642" s="90"/>
      <c r="E642" s="90"/>
      <c r="F642" s="90"/>
      <c r="G642" s="90"/>
      <c r="H642" s="90"/>
    </row>
    <row r="643">
      <c r="A643" s="90"/>
      <c r="B643" s="90"/>
      <c r="C643" s="90"/>
      <c r="D643" s="90"/>
      <c r="E643" s="90"/>
      <c r="F643" s="90"/>
      <c r="G643" s="90"/>
      <c r="H643" s="90"/>
    </row>
    <row r="644">
      <c r="A644" s="90"/>
      <c r="B644" s="90"/>
      <c r="C644" s="90"/>
      <c r="D644" s="90"/>
      <c r="E644" s="90"/>
      <c r="F644" s="90"/>
      <c r="G644" s="90"/>
      <c r="H644" s="90"/>
    </row>
    <row r="645">
      <c r="A645" s="90"/>
      <c r="B645" s="90"/>
      <c r="C645" s="90"/>
      <c r="D645" s="90"/>
      <c r="E645" s="90"/>
      <c r="F645" s="90"/>
      <c r="G645" s="90"/>
      <c r="H645" s="90"/>
    </row>
    <row r="646">
      <c r="A646" s="90"/>
      <c r="B646" s="90"/>
      <c r="C646" s="90"/>
      <c r="D646" s="90"/>
      <c r="E646" s="90"/>
      <c r="F646" s="90"/>
      <c r="G646" s="90"/>
      <c r="H646" s="90"/>
    </row>
    <row r="647">
      <c r="A647" s="90"/>
      <c r="B647" s="90"/>
      <c r="C647" s="90"/>
      <c r="D647" s="90"/>
      <c r="E647" s="90"/>
      <c r="F647" s="90"/>
      <c r="G647" s="90"/>
      <c r="H647" s="90"/>
    </row>
    <row r="648">
      <c r="A648" s="90"/>
      <c r="B648" s="90"/>
      <c r="C648" s="90"/>
      <c r="D648" s="90"/>
      <c r="E648" s="90"/>
      <c r="F648" s="90"/>
      <c r="G648" s="90"/>
      <c r="H648" s="90"/>
    </row>
    <row r="649">
      <c r="A649" s="90"/>
      <c r="B649" s="90"/>
      <c r="C649" s="90"/>
      <c r="D649" s="90"/>
      <c r="E649" s="90"/>
      <c r="F649" s="90"/>
      <c r="G649" s="90"/>
      <c r="H649" s="90"/>
    </row>
    <row r="650">
      <c r="A650" s="90"/>
      <c r="B650" s="90"/>
      <c r="C650" s="90"/>
      <c r="D650" s="90"/>
      <c r="E650" s="90"/>
      <c r="F650" s="90"/>
      <c r="G650" s="90"/>
      <c r="H650" s="90"/>
    </row>
    <row r="651">
      <c r="A651" s="90"/>
      <c r="B651" s="90"/>
      <c r="C651" s="90"/>
      <c r="D651" s="90"/>
      <c r="E651" s="90"/>
      <c r="F651" s="90"/>
      <c r="G651" s="90"/>
      <c r="H651" s="90"/>
    </row>
    <row r="652">
      <c r="A652" s="90"/>
      <c r="B652" s="90"/>
      <c r="C652" s="90"/>
      <c r="D652" s="90"/>
      <c r="E652" s="90"/>
      <c r="F652" s="90"/>
      <c r="G652" s="90"/>
      <c r="H652" s="90"/>
    </row>
    <row r="653">
      <c r="A653" s="90"/>
      <c r="B653" s="90"/>
      <c r="C653" s="90"/>
      <c r="D653" s="90"/>
      <c r="E653" s="90"/>
      <c r="F653" s="90"/>
      <c r="G653" s="90"/>
      <c r="H653" s="90"/>
    </row>
    <row r="654">
      <c r="A654" s="90"/>
      <c r="B654" s="90"/>
      <c r="C654" s="90"/>
      <c r="D654" s="90"/>
      <c r="E654" s="90"/>
      <c r="F654" s="90"/>
      <c r="G654" s="90"/>
      <c r="H654" s="90"/>
    </row>
    <row r="655">
      <c r="A655" s="90"/>
      <c r="B655" s="90"/>
      <c r="C655" s="90"/>
      <c r="D655" s="90"/>
      <c r="E655" s="90"/>
      <c r="F655" s="90"/>
      <c r="G655" s="90"/>
      <c r="H655" s="90"/>
    </row>
    <row r="656">
      <c r="A656" s="90"/>
      <c r="B656" s="90"/>
      <c r="C656" s="90"/>
      <c r="D656" s="90"/>
      <c r="E656" s="90"/>
      <c r="F656" s="90"/>
      <c r="G656" s="90"/>
      <c r="H656" s="90"/>
    </row>
    <row r="657">
      <c r="A657" s="90"/>
      <c r="B657" s="90"/>
      <c r="C657" s="90"/>
      <c r="D657" s="90"/>
      <c r="E657" s="90"/>
      <c r="F657" s="90"/>
      <c r="G657" s="90"/>
      <c r="H657" s="90"/>
    </row>
    <row r="658">
      <c r="A658" s="90"/>
      <c r="B658" s="90"/>
      <c r="C658" s="90"/>
      <c r="D658" s="90"/>
      <c r="E658" s="90"/>
      <c r="F658" s="90"/>
      <c r="G658" s="90"/>
      <c r="H658" s="90"/>
    </row>
    <row r="659">
      <c r="A659" s="90"/>
      <c r="B659" s="90"/>
      <c r="C659" s="90"/>
      <c r="D659" s="90"/>
      <c r="E659" s="90"/>
      <c r="F659" s="90"/>
      <c r="G659" s="90"/>
      <c r="H659" s="90"/>
    </row>
    <row r="660">
      <c r="A660" s="90"/>
      <c r="B660" s="90"/>
      <c r="C660" s="90"/>
      <c r="D660" s="90"/>
      <c r="E660" s="90"/>
      <c r="F660" s="90"/>
      <c r="G660" s="90"/>
      <c r="H660" s="90"/>
    </row>
    <row r="661">
      <c r="A661" s="90"/>
      <c r="B661" s="90"/>
      <c r="C661" s="90"/>
      <c r="D661" s="90"/>
      <c r="E661" s="90"/>
      <c r="F661" s="90"/>
      <c r="G661" s="90"/>
      <c r="H661" s="90"/>
    </row>
    <row r="662">
      <c r="A662" s="90"/>
      <c r="B662" s="90"/>
      <c r="C662" s="90"/>
      <c r="D662" s="90"/>
      <c r="E662" s="90"/>
      <c r="F662" s="90"/>
      <c r="G662" s="90"/>
      <c r="H662" s="90"/>
    </row>
    <row r="663">
      <c r="A663" s="90"/>
      <c r="B663" s="90"/>
      <c r="C663" s="90"/>
      <c r="D663" s="90"/>
      <c r="E663" s="90"/>
      <c r="F663" s="90"/>
      <c r="G663" s="90"/>
      <c r="H663" s="90"/>
    </row>
    <row r="664">
      <c r="A664" s="90"/>
      <c r="B664" s="90"/>
      <c r="C664" s="90"/>
      <c r="D664" s="90"/>
      <c r="E664" s="90"/>
      <c r="F664" s="90"/>
      <c r="G664" s="90"/>
      <c r="H664" s="90"/>
    </row>
    <row r="665">
      <c r="A665" s="90"/>
      <c r="B665" s="90"/>
      <c r="C665" s="90"/>
      <c r="D665" s="90"/>
      <c r="E665" s="90"/>
      <c r="F665" s="90"/>
      <c r="G665" s="90"/>
      <c r="H665" s="90"/>
    </row>
    <row r="666">
      <c r="A666" s="90"/>
      <c r="B666" s="90"/>
      <c r="C666" s="90"/>
      <c r="D666" s="90"/>
      <c r="E666" s="90"/>
      <c r="F666" s="90"/>
      <c r="G666" s="90"/>
      <c r="H666" s="90"/>
    </row>
    <row r="667">
      <c r="A667" s="90"/>
      <c r="B667" s="90"/>
      <c r="C667" s="90"/>
      <c r="D667" s="90"/>
      <c r="E667" s="90"/>
      <c r="F667" s="90"/>
      <c r="G667" s="90"/>
      <c r="H667" s="90"/>
    </row>
    <row r="668">
      <c r="A668" s="90"/>
      <c r="B668" s="90"/>
      <c r="C668" s="90"/>
      <c r="D668" s="90"/>
      <c r="E668" s="90"/>
      <c r="F668" s="90"/>
      <c r="G668" s="90"/>
      <c r="H668" s="90"/>
    </row>
    <row r="669">
      <c r="A669" s="90"/>
      <c r="B669" s="90"/>
      <c r="C669" s="90"/>
      <c r="D669" s="90"/>
      <c r="E669" s="90"/>
      <c r="F669" s="90"/>
      <c r="G669" s="90"/>
      <c r="H669" s="90"/>
    </row>
    <row r="670">
      <c r="A670" s="90"/>
      <c r="B670" s="90"/>
      <c r="C670" s="90"/>
      <c r="D670" s="90"/>
      <c r="E670" s="90"/>
      <c r="F670" s="90"/>
      <c r="G670" s="90"/>
      <c r="H670" s="90"/>
    </row>
    <row r="671">
      <c r="A671" s="90"/>
      <c r="B671" s="90"/>
      <c r="C671" s="90"/>
      <c r="D671" s="90"/>
      <c r="E671" s="90"/>
      <c r="F671" s="90"/>
      <c r="G671" s="90"/>
      <c r="H671" s="90"/>
    </row>
    <row r="672">
      <c r="A672" s="90"/>
      <c r="B672" s="90"/>
      <c r="C672" s="90"/>
      <c r="D672" s="90"/>
      <c r="E672" s="90"/>
      <c r="F672" s="90"/>
      <c r="G672" s="90"/>
      <c r="H672" s="90"/>
    </row>
    <row r="673">
      <c r="A673" s="90"/>
      <c r="B673" s="90"/>
      <c r="C673" s="90"/>
      <c r="D673" s="90"/>
      <c r="E673" s="90"/>
      <c r="F673" s="90"/>
      <c r="G673" s="90"/>
      <c r="H673" s="90"/>
    </row>
    <row r="674">
      <c r="A674" s="90"/>
      <c r="B674" s="90"/>
      <c r="C674" s="90"/>
      <c r="D674" s="90"/>
      <c r="E674" s="90"/>
      <c r="F674" s="90"/>
      <c r="G674" s="90"/>
      <c r="H674" s="90"/>
    </row>
    <row r="675">
      <c r="A675" s="90"/>
      <c r="B675" s="90"/>
      <c r="C675" s="90"/>
      <c r="D675" s="90"/>
      <c r="E675" s="90"/>
      <c r="F675" s="90"/>
      <c r="G675" s="90"/>
      <c r="H675" s="90"/>
    </row>
    <row r="676">
      <c r="A676" s="90"/>
      <c r="B676" s="90"/>
      <c r="C676" s="90"/>
      <c r="D676" s="90"/>
      <c r="E676" s="90"/>
      <c r="F676" s="90"/>
      <c r="G676" s="90"/>
      <c r="H676" s="90"/>
    </row>
    <row r="677">
      <c r="A677" s="90"/>
      <c r="B677" s="90"/>
      <c r="C677" s="90"/>
      <c r="D677" s="90"/>
      <c r="E677" s="90"/>
      <c r="F677" s="90"/>
      <c r="G677" s="90"/>
      <c r="H677" s="90"/>
    </row>
    <row r="678">
      <c r="A678" s="90"/>
      <c r="B678" s="90"/>
      <c r="C678" s="90"/>
      <c r="D678" s="90"/>
      <c r="E678" s="90"/>
      <c r="F678" s="90"/>
      <c r="G678" s="90"/>
      <c r="H678" s="90"/>
    </row>
    <row r="679">
      <c r="A679" s="90"/>
      <c r="B679" s="90"/>
      <c r="C679" s="90"/>
      <c r="D679" s="90"/>
      <c r="E679" s="90"/>
      <c r="F679" s="90"/>
      <c r="G679" s="90"/>
      <c r="H679" s="90"/>
    </row>
    <row r="680">
      <c r="A680" s="90"/>
      <c r="B680" s="90"/>
      <c r="C680" s="90"/>
      <c r="D680" s="90"/>
      <c r="E680" s="90"/>
      <c r="F680" s="90"/>
      <c r="G680" s="90"/>
      <c r="H680" s="90"/>
    </row>
    <row r="681">
      <c r="A681" s="90"/>
      <c r="B681" s="90"/>
      <c r="C681" s="90"/>
      <c r="D681" s="90"/>
      <c r="E681" s="90"/>
      <c r="F681" s="90"/>
      <c r="G681" s="90"/>
      <c r="H681" s="90"/>
    </row>
    <row r="682">
      <c r="A682" s="90"/>
      <c r="B682" s="90"/>
      <c r="C682" s="90"/>
      <c r="D682" s="90"/>
      <c r="E682" s="90"/>
      <c r="F682" s="90"/>
      <c r="G682" s="90"/>
      <c r="H682" s="90"/>
    </row>
    <row r="683">
      <c r="A683" s="90"/>
      <c r="B683" s="90"/>
      <c r="C683" s="90"/>
      <c r="D683" s="90"/>
      <c r="E683" s="90"/>
      <c r="F683" s="90"/>
      <c r="G683" s="90"/>
      <c r="H683" s="90"/>
    </row>
    <row r="684">
      <c r="A684" s="90"/>
      <c r="B684" s="90"/>
      <c r="C684" s="90"/>
      <c r="D684" s="90"/>
      <c r="E684" s="90"/>
      <c r="F684" s="90"/>
      <c r="G684" s="90"/>
      <c r="H684" s="90"/>
    </row>
    <row r="685">
      <c r="A685" s="90"/>
      <c r="B685" s="90"/>
      <c r="C685" s="90"/>
      <c r="D685" s="90"/>
      <c r="E685" s="90"/>
      <c r="F685" s="90"/>
      <c r="G685" s="90"/>
      <c r="H685" s="90"/>
    </row>
    <row r="686">
      <c r="A686" s="90"/>
      <c r="B686" s="90"/>
      <c r="C686" s="90"/>
      <c r="D686" s="90"/>
      <c r="E686" s="90"/>
      <c r="F686" s="90"/>
      <c r="G686" s="90"/>
      <c r="H686" s="90"/>
    </row>
    <row r="687">
      <c r="A687" s="90"/>
      <c r="B687" s="90"/>
      <c r="C687" s="90"/>
      <c r="D687" s="90"/>
      <c r="E687" s="90"/>
      <c r="F687" s="90"/>
      <c r="G687" s="90"/>
      <c r="H687" s="90"/>
    </row>
    <row r="688">
      <c r="A688" s="90"/>
      <c r="B688" s="90"/>
      <c r="C688" s="90"/>
      <c r="D688" s="90"/>
      <c r="E688" s="90"/>
      <c r="F688" s="90"/>
      <c r="G688" s="90"/>
      <c r="H688" s="90"/>
    </row>
    <row r="689">
      <c r="A689" s="90"/>
      <c r="B689" s="90"/>
      <c r="C689" s="90"/>
      <c r="D689" s="90"/>
      <c r="E689" s="90"/>
      <c r="F689" s="90"/>
      <c r="G689" s="90"/>
      <c r="H689" s="90"/>
    </row>
    <row r="690">
      <c r="A690" s="90"/>
      <c r="B690" s="90"/>
      <c r="C690" s="90"/>
      <c r="D690" s="90"/>
      <c r="E690" s="90"/>
      <c r="F690" s="90"/>
      <c r="G690" s="90"/>
      <c r="H690" s="90"/>
    </row>
    <row r="691">
      <c r="A691" s="90"/>
      <c r="B691" s="90"/>
      <c r="C691" s="90"/>
      <c r="D691" s="90"/>
      <c r="E691" s="90"/>
      <c r="F691" s="90"/>
      <c r="G691" s="90"/>
      <c r="H691" s="90"/>
    </row>
    <row r="692">
      <c r="A692" s="90"/>
      <c r="B692" s="90"/>
      <c r="C692" s="90"/>
      <c r="D692" s="90"/>
      <c r="E692" s="90"/>
      <c r="F692" s="90"/>
      <c r="G692" s="90"/>
      <c r="H692" s="90"/>
    </row>
    <row r="693">
      <c r="A693" s="90"/>
      <c r="B693" s="90"/>
      <c r="C693" s="90"/>
      <c r="D693" s="90"/>
      <c r="E693" s="90"/>
      <c r="F693" s="90"/>
      <c r="G693" s="90"/>
      <c r="H693" s="90"/>
    </row>
    <row r="694">
      <c r="A694" s="90"/>
      <c r="B694" s="90"/>
      <c r="C694" s="90"/>
      <c r="D694" s="90"/>
      <c r="E694" s="90"/>
      <c r="F694" s="90"/>
      <c r="G694" s="90"/>
      <c r="H694" s="90"/>
    </row>
    <row r="695">
      <c r="A695" s="90"/>
      <c r="B695" s="90"/>
      <c r="C695" s="90"/>
      <c r="D695" s="90"/>
      <c r="E695" s="90"/>
      <c r="F695" s="90"/>
      <c r="G695" s="90"/>
      <c r="H695" s="90"/>
    </row>
    <row r="696">
      <c r="A696" s="90"/>
      <c r="B696" s="90"/>
      <c r="C696" s="90"/>
      <c r="D696" s="90"/>
      <c r="E696" s="90"/>
      <c r="F696" s="90"/>
      <c r="G696" s="90"/>
      <c r="H696" s="90"/>
    </row>
    <row r="697">
      <c r="A697" s="90"/>
      <c r="B697" s="90"/>
      <c r="C697" s="90"/>
      <c r="D697" s="90"/>
      <c r="E697" s="90"/>
      <c r="F697" s="90"/>
      <c r="G697" s="90"/>
      <c r="H697" s="90"/>
    </row>
    <row r="698">
      <c r="A698" s="90"/>
      <c r="B698" s="90"/>
      <c r="C698" s="90"/>
      <c r="D698" s="90"/>
      <c r="E698" s="90"/>
      <c r="F698" s="90"/>
      <c r="G698" s="90"/>
      <c r="H698" s="90"/>
    </row>
    <row r="699">
      <c r="A699" s="90"/>
      <c r="B699" s="90"/>
      <c r="C699" s="90"/>
      <c r="D699" s="90"/>
      <c r="E699" s="90"/>
      <c r="F699" s="90"/>
      <c r="G699" s="90"/>
      <c r="H699" s="90"/>
    </row>
    <row r="700">
      <c r="A700" s="90"/>
      <c r="B700" s="90"/>
      <c r="C700" s="90"/>
      <c r="D700" s="90"/>
      <c r="E700" s="90"/>
      <c r="F700" s="90"/>
      <c r="G700" s="90"/>
      <c r="H700" s="90"/>
    </row>
    <row r="701">
      <c r="A701" s="90"/>
      <c r="B701" s="90"/>
      <c r="C701" s="90"/>
      <c r="D701" s="90"/>
      <c r="E701" s="90"/>
      <c r="F701" s="90"/>
      <c r="G701" s="90"/>
      <c r="H701" s="90"/>
    </row>
    <row r="702">
      <c r="A702" s="90"/>
      <c r="B702" s="90"/>
      <c r="C702" s="90"/>
      <c r="D702" s="90"/>
      <c r="E702" s="90"/>
      <c r="F702" s="90"/>
      <c r="G702" s="90"/>
      <c r="H702" s="90"/>
    </row>
    <row r="703">
      <c r="A703" s="90"/>
      <c r="B703" s="90"/>
      <c r="C703" s="90"/>
      <c r="D703" s="90"/>
      <c r="E703" s="90"/>
      <c r="F703" s="90"/>
      <c r="G703" s="90"/>
      <c r="H703" s="90"/>
    </row>
    <row r="704">
      <c r="A704" s="90"/>
      <c r="B704" s="90"/>
      <c r="C704" s="90"/>
      <c r="D704" s="90"/>
      <c r="E704" s="90"/>
      <c r="F704" s="90"/>
      <c r="G704" s="90"/>
      <c r="H704" s="90"/>
    </row>
    <row r="705">
      <c r="A705" s="90"/>
      <c r="B705" s="90"/>
      <c r="C705" s="90"/>
      <c r="D705" s="90"/>
      <c r="E705" s="90"/>
      <c r="F705" s="90"/>
      <c r="G705" s="90"/>
      <c r="H705" s="90"/>
    </row>
    <row r="706">
      <c r="A706" s="90"/>
      <c r="B706" s="90"/>
      <c r="C706" s="90"/>
      <c r="D706" s="90"/>
      <c r="E706" s="90"/>
      <c r="F706" s="90"/>
      <c r="G706" s="90"/>
      <c r="H706" s="90"/>
    </row>
    <row r="707">
      <c r="A707" s="90"/>
      <c r="B707" s="90"/>
      <c r="C707" s="90"/>
      <c r="D707" s="90"/>
      <c r="E707" s="90"/>
      <c r="F707" s="90"/>
      <c r="G707" s="90"/>
      <c r="H707" s="90"/>
    </row>
    <row r="708">
      <c r="A708" s="90"/>
      <c r="B708" s="90"/>
      <c r="C708" s="90"/>
      <c r="D708" s="90"/>
      <c r="E708" s="90"/>
      <c r="F708" s="90"/>
      <c r="G708" s="90"/>
      <c r="H708" s="90"/>
    </row>
    <row r="709">
      <c r="A709" s="90"/>
      <c r="B709" s="90"/>
      <c r="C709" s="90"/>
      <c r="D709" s="90"/>
      <c r="E709" s="90"/>
      <c r="F709" s="90"/>
      <c r="G709" s="90"/>
      <c r="H709" s="90"/>
    </row>
    <row r="710">
      <c r="A710" s="90"/>
      <c r="B710" s="90"/>
      <c r="C710" s="90"/>
      <c r="D710" s="90"/>
      <c r="E710" s="90"/>
      <c r="F710" s="90"/>
      <c r="G710" s="90"/>
      <c r="H710" s="90"/>
    </row>
    <row r="711">
      <c r="A711" s="90"/>
      <c r="B711" s="90"/>
      <c r="C711" s="90"/>
      <c r="D711" s="90"/>
      <c r="E711" s="90"/>
      <c r="F711" s="90"/>
      <c r="G711" s="90"/>
      <c r="H711" s="90"/>
    </row>
    <row r="712">
      <c r="A712" s="90"/>
      <c r="B712" s="90"/>
      <c r="C712" s="90"/>
      <c r="D712" s="90"/>
      <c r="E712" s="90"/>
      <c r="F712" s="90"/>
      <c r="G712" s="90"/>
      <c r="H712" s="90"/>
    </row>
    <row r="713">
      <c r="A713" s="90"/>
      <c r="B713" s="90"/>
      <c r="C713" s="90"/>
      <c r="D713" s="90"/>
      <c r="E713" s="90"/>
      <c r="F713" s="90"/>
      <c r="G713" s="90"/>
      <c r="H713" s="90"/>
    </row>
    <row r="714">
      <c r="A714" s="90"/>
      <c r="B714" s="90"/>
      <c r="C714" s="90"/>
      <c r="D714" s="90"/>
      <c r="E714" s="90"/>
      <c r="F714" s="90"/>
      <c r="G714" s="90"/>
      <c r="H714" s="90"/>
    </row>
    <row r="715">
      <c r="A715" s="90"/>
      <c r="B715" s="90"/>
      <c r="C715" s="90"/>
      <c r="D715" s="90"/>
      <c r="E715" s="90"/>
      <c r="F715" s="90"/>
      <c r="G715" s="90"/>
      <c r="H715" s="90"/>
    </row>
    <row r="716">
      <c r="A716" s="90"/>
      <c r="B716" s="90"/>
      <c r="C716" s="90"/>
      <c r="D716" s="90"/>
      <c r="E716" s="90"/>
      <c r="F716" s="90"/>
      <c r="G716" s="90"/>
      <c r="H716" s="90"/>
    </row>
    <row r="717">
      <c r="A717" s="90"/>
      <c r="B717" s="90"/>
      <c r="C717" s="90"/>
      <c r="D717" s="90"/>
      <c r="E717" s="90"/>
      <c r="F717" s="90"/>
      <c r="G717" s="90"/>
      <c r="H717" s="90"/>
    </row>
    <row r="718">
      <c r="A718" s="90"/>
      <c r="B718" s="90"/>
      <c r="C718" s="90"/>
      <c r="D718" s="90"/>
      <c r="E718" s="90"/>
      <c r="F718" s="90"/>
      <c r="G718" s="90"/>
      <c r="H718" s="90"/>
    </row>
    <row r="719">
      <c r="A719" s="90"/>
      <c r="B719" s="90"/>
      <c r="C719" s="90"/>
      <c r="D719" s="90"/>
      <c r="E719" s="90"/>
      <c r="F719" s="90"/>
      <c r="G719" s="90"/>
      <c r="H719" s="90"/>
    </row>
    <row r="720">
      <c r="A720" s="90"/>
      <c r="B720" s="90"/>
      <c r="C720" s="90"/>
      <c r="D720" s="90"/>
      <c r="E720" s="90"/>
      <c r="F720" s="90"/>
      <c r="G720" s="90"/>
      <c r="H720" s="90"/>
    </row>
    <row r="721">
      <c r="A721" s="90"/>
      <c r="B721" s="90"/>
      <c r="C721" s="90"/>
      <c r="D721" s="90"/>
      <c r="E721" s="90"/>
      <c r="F721" s="90"/>
      <c r="G721" s="90"/>
      <c r="H721" s="90"/>
    </row>
    <row r="722">
      <c r="A722" s="90"/>
      <c r="B722" s="90"/>
      <c r="C722" s="90"/>
      <c r="D722" s="90"/>
      <c r="E722" s="90"/>
      <c r="F722" s="90"/>
      <c r="G722" s="90"/>
      <c r="H722" s="90"/>
    </row>
    <row r="723">
      <c r="A723" s="90"/>
      <c r="B723" s="90"/>
      <c r="C723" s="90"/>
      <c r="D723" s="90"/>
      <c r="E723" s="90"/>
      <c r="F723" s="90"/>
      <c r="G723" s="90"/>
      <c r="H723" s="90"/>
    </row>
    <row r="724">
      <c r="A724" s="90"/>
      <c r="B724" s="90"/>
      <c r="C724" s="90"/>
      <c r="D724" s="90"/>
      <c r="E724" s="90"/>
      <c r="F724" s="90"/>
      <c r="G724" s="90"/>
      <c r="H724" s="90"/>
    </row>
    <row r="725">
      <c r="A725" s="90"/>
      <c r="B725" s="90"/>
      <c r="C725" s="90"/>
      <c r="D725" s="90"/>
      <c r="E725" s="90"/>
      <c r="F725" s="90"/>
      <c r="G725" s="90"/>
      <c r="H725" s="90"/>
    </row>
    <row r="726">
      <c r="A726" s="90"/>
      <c r="B726" s="90"/>
      <c r="C726" s="90"/>
      <c r="D726" s="90"/>
      <c r="E726" s="90"/>
      <c r="F726" s="90"/>
      <c r="G726" s="90"/>
      <c r="H726" s="90"/>
    </row>
    <row r="727">
      <c r="A727" s="90"/>
      <c r="B727" s="90"/>
      <c r="C727" s="90"/>
      <c r="D727" s="90"/>
      <c r="E727" s="90"/>
      <c r="F727" s="90"/>
      <c r="G727" s="90"/>
      <c r="H727" s="90"/>
    </row>
    <row r="728">
      <c r="A728" s="90"/>
      <c r="B728" s="90"/>
      <c r="C728" s="90"/>
      <c r="D728" s="90"/>
      <c r="E728" s="90"/>
      <c r="F728" s="90"/>
      <c r="G728" s="90"/>
      <c r="H728" s="90"/>
    </row>
    <row r="729">
      <c r="A729" s="90"/>
      <c r="B729" s="90"/>
      <c r="C729" s="90"/>
      <c r="D729" s="90"/>
      <c r="E729" s="90"/>
      <c r="F729" s="90"/>
      <c r="G729" s="90"/>
      <c r="H729" s="90"/>
    </row>
    <row r="730">
      <c r="A730" s="90"/>
      <c r="B730" s="90"/>
      <c r="C730" s="90"/>
      <c r="D730" s="90"/>
      <c r="E730" s="90"/>
      <c r="F730" s="90"/>
      <c r="G730" s="90"/>
      <c r="H730" s="90"/>
    </row>
    <row r="731">
      <c r="A731" s="90"/>
      <c r="B731" s="90"/>
      <c r="C731" s="90"/>
      <c r="D731" s="90"/>
      <c r="E731" s="90"/>
      <c r="F731" s="90"/>
      <c r="G731" s="90"/>
      <c r="H731" s="90"/>
    </row>
    <row r="732">
      <c r="A732" s="90"/>
      <c r="B732" s="90"/>
      <c r="C732" s="90"/>
      <c r="D732" s="90"/>
      <c r="E732" s="90"/>
      <c r="F732" s="90"/>
      <c r="G732" s="90"/>
      <c r="H732" s="90"/>
    </row>
    <row r="733">
      <c r="A733" s="90"/>
      <c r="B733" s="90"/>
      <c r="C733" s="90"/>
      <c r="D733" s="90"/>
      <c r="E733" s="90"/>
      <c r="F733" s="90"/>
      <c r="G733" s="90"/>
      <c r="H733" s="90"/>
    </row>
    <row r="734">
      <c r="A734" s="90"/>
      <c r="B734" s="90"/>
      <c r="C734" s="90"/>
      <c r="D734" s="90"/>
      <c r="E734" s="90"/>
      <c r="F734" s="90"/>
      <c r="G734" s="90"/>
      <c r="H734" s="90"/>
    </row>
    <row r="735">
      <c r="A735" s="90"/>
      <c r="B735" s="90"/>
      <c r="C735" s="90"/>
      <c r="D735" s="90"/>
      <c r="E735" s="90"/>
      <c r="F735" s="90"/>
      <c r="G735" s="90"/>
      <c r="H735" s="90"/>
    </row>
    <row r="736">
      <c r="A736" s="90"/>
      <c r="B736" s="90"/>
      <c r="C736" s="90"/>
      <c r="D736" s="90"/>
      <c r="E736" s="90"/>
      <c r="F736" s="90"/>
      <c r="G736" s="90"/>
      <c r="H736" s="90"/>
    </row>
    <row r="737">
      <c r="A737" s="90"/>
      <c r="B737" s="90"/>
      <c r="C737" s="90"/>
      <c r="D737" s="90"/>
      <c r="E737" s="90"/>
      <c r="F737" s="90"/>
      <c r="G737" s="90"/>
      <c r="H737" s="90"/>
    </row>
    <row r="738">
      <c r="A738" s="90"/>
      <c r="B738" s="90"/>
      <c r="C738" s="90"/>
      <c r="D738" s="90"/>
      <c r="E738" s="90"/>
      <c r="F738" s="90"/>
      <c r="G738" s="90"/>
      <c r="H738" s="90"/>
    </row>
    <row r="739">
      <c r="A739" s="90"/>
      <c r="B739" s="90"/>
      <c r="C739" s="90"/>
      <c r="D739" s="90"/>
      <c r="E739" s="90"/>
      <c r="F739" s="90"/>
      <c r="G739" s="90"/>
      <c r="H739" s="90"/>
    </row>
    <row r="740">
      <c r="A740" s="90"/>
      <c r="B740" s="90"/>
      <c r="C740" s="90"/>
      <c r="D740" s="90"/>
      <c r="E740" s="90"/>
      <c r="F740" s="90"/>
      <c r="G740" s="90"/>
      <c r="H740" s="90"/>
    </row>
    <row r="741">
      <c r="A741" s="90"/>
      <c r="B741" s="90"/>
      <c r="C741" s="90"/>
      <c r="D741" s="90"/>
      <c r="E741" s="90"/>
      <c r="F741" s="90"/>
      <c r="G741" s="90"/>
      <c r="H741" s="90"/>
    </row>
    <row r="742">
      <c r="A742" s="90"/>
      <c r="B742" s="90"/>
      <c r="C742" s="90"/>
      <c r="D742" s="90"/>
      <c r="E742" s="90"/>
      <c r="F742" s="90"/>
      <c r="G742" s="90"/>
      <c r="H742" s="90"/>
    </row>
    <row r="743">
      <c r="A743" s="90"/>
      <c r="B743" s="90"/>
      <c r="C743" s="90"/>
      <c r="D743" s="90"/>
      <c r="E743" s="90"/>
      <c r="F743" s="90"/>
      <c r="G743" s="90"/>
      <c r="H743" s="90"/>
    </row>
    <row r="744">
      <c r="A744" s="90"/>
      <c r="B744" s="90"/>
      <c r="C744" s="90"/>
      <c r="D744" s="90"/>
      <c r="E744" s="90"/>
      <c r="F744" s="90"/>
      <c r="G744" s="90"/>
      <c r="H744" s="90"/>
    </row>
    <row r="745">
      <c r="A745" s="90"/>
      <c r="B745" s="90"/>
      <c r="C745" s="90"/>
      <c r="D745" s="90"/>
      <c r="E745" s="90"/>
      <c r="F745" s="90"/>
      <c r="G745" s="90"/>
      <c r="H745" s="90"/>
    </row>
    <row r="746">
      <c r="A746" s="90"/>
      <c r="B746" s="90"/>
      <c r="C746" s="90"/>
      <c r="D746" s="90"/>
      <c r="E746" s="90"/>
      <c r="F746" s="90"/>
      <c r="G746" s="90"/>
      <c r="H746" s="90"/>
    </row>
    <row r="747">
      <c r="A747" s="90"/>
      <c r="B747" s="90"/>
      <c r="C747" s="90"/>
      <c r="D747" s="90"/>
      <c r="E747" s="90"/>
      <c r="F747" s="90"/>
      <c r="G747" s="90"/>
      <c r="H747" s="90"/>
    </row>
    <row r="748">
      <c r="A748" s="90"/>
      <c r="B748" s="90"/>
      <c r="C748" s="90"/>
      <c r="D748" s="90"/>
      <c r="E748" s="90"/>
      <c r="F748" s="90"/>
      <c r="G748" s="90"/>
      <c r="H748" s="90"/>
    </row>
    <row r="749">
      <c r="A749" s="90"/>
      <c r="B749" s="90"/>
      <c r="C749" s="90"/>
      <c r="D749" s="90"/>
      <c r="E749" s="90"/>
      <c r="F749" s="90"/>
      <c r="G749" s="90"/>
      <c r="H749" s="90"/>
    </row>
    <row r="750">
      <c r="A750" s="90"/>
      <c r="B750" s="90"/>
      <c r="C750" s="90"/>
      <c r="D750" s="90"/>
      <c r="E750" s="90"/>
      <c r="F750" s="90"/>
      <c r="G750" s="90"/>
      <c r="H750" s="90"/>
    </row>
    <row r="751">
      <c r="A751" s="90"/>
      <c r="B751" s="90"/>
      <c r="C751" s="90"/>
      <c r="D751" s="90"/>
      <c r="E751" s="90"/>
      <c r="F751" s="90"/>
      <c r="G751" s="90"/>
      <c r="H751" s="90"/>
    </row>
    <row r="752">
      <c r="A752" s="90"/>
      <c r="B752" s="90"/>
      <c r="C752" s="90"/>
      <c r="D752" s="90"/>
      <c r="E752" s="90"/>
      <c r="F752" s="90"/>
      <c r="G752" s="90"/>
      <c r="H752" s="90"/>
    </row>
    <row r="753">
      <c r="A753" s="90"/>
      <c r="B753" s="90"/>
      <c r="C753" s="90"/>
      <c r="D753" s="90"/>
      <c r="E753" s="90"/>
      <c r="F753" s="90"/>
      <c r="G753" s="90"/>
      <c r="H753" s="90"/>
    </row>
    <row r="754">
      <c r="A754" s="90"/>
      <c r="B754" s="90"/>
      <c r="C754" s="90"/>
      <c r="D754" s="90"/>
      <c r="E754" s="90"/>
      <c r="F754" s="90"/>
      <c r="G754" s="90"/>
      <c r="H754" s="90"/>
    </row>
    <row r="755">
      <c r="A755" s="90"/>
      <c r="B755" s="90"/>
      <c r="C755" s="90"/>
      <c r="D755" s="90"/>
      <c r="E755" s="90"/>
      <c r="F755" s="90"/>
      <c r="G755" s="90"/>
      <c r="H755" s="90"/>
    </row>
    <row r="756">
      <c r="A756" s="90"/>
      <c r="B756" s="90"/>
      <c r="C756" s="90"/>
      <c r="D756" s="90"/>
      <c r="E756" s="90"/>
      <c r="F756" s="90"/>
      <c r="G756" s="90"/>
      <c r="H756" s="90"/>
    </row>
    <row r="757">
      <c r="A757" s="90"/>
      <c r="B757" s="90"/>
      <c r="C757" s="90"/>
      <c r="D757" s="90"/>
      <c r="E757" s="90"/>
      <c r="F757" s="90"/>
      <c r="G757" s="90"/>
      <c r="H757" s="90"/>
    </row>
    <row r="758">
      <c r="A758" s="90"/>
      <c r="B758" s="90"/>
      <c r="C758" s="90"/>
      <c r="D758" s="90"/>
      <c r="E758" s="90"/>
      <c r="F758" s="90"/>
      <c r="G758" s="90"/>
      <c r="H758" s="90"/>
    </row>
    <row r="759">
      <c r="A759" s="90"/>
      <c r="B759" s="90"/>
      <c r="C759" s="90"/>
      <c r="D759" s="90"/>
      <c r="E759" s="90"/>
      <c r="F759" s="90"/>
      <c r="G759" s="90"/>
      <c r="H759" s="90"/>
    </row>
    <row r="760">
      <c r="A760" s="90"/>
      <c r="B760" s="90"/>
      <c r="C760" s="90"/>
      <c r="D760" s="90"/>
      <c r="E760" s="90"/>
      <c r="F760" s="90"/>
      <c r="G760" s="90"/>
      <c r="H760" s="90"/>
    </row>
    <row r="761">
      <c r="A761" s="90"/>
      <c r="B761" s="90"/>
      <c r="C761" s="90"/>
      <c r="D761" s="90"/>
      <c r="E761" s="90"/>
      <c r="F761" s="90"/>
      <c r="G761" s="90"/>
      <c r="H761" s="90"/>
    </row>
    <row r="762">
      <c r="A762" s="90"/>
      <c r="B762" s="90"/>
      <c r="C762" s="90"/>
      <c r="D762" s="90"/>
      <c r="E762" s="90"/>
      <c r="F762" s="90"/>
      <c r="G762" s="90"/>
      <c r="H762" s="90"/>
    </row>
    <row r="763">
      <c r="A763" s="90"/>
      <c r="B763" s="90"/>
      <c r="C763" s="90"/>
      <c r="D763" s="90"/>
      <c r="E763" s="90"/>
      <c r="F763" s="90"/>
      <c r="G763" s="90"/>
      <c r="H763" s="90"/>
    </row>
    <row r="764">
      <c r="A764" s="90"/>
      <c r="B764" s="90"/>
      <c r="C764" s="90"/>
      <c r="D764" s="90"/>
      <c r="E764" s="90"/>
      <c r="F764" s="90"/>
      <c r="G764" s="90"/>
      <c r="H764" s="90"/>
    </row>
    <row r="765">
      <c r="A765" s="90"/>
      <c r="B765" s="90"/>
      <c r="C765" s="90"/>
      <c r="D765" s="90"/>
      <c r="E765" s="90"/>
      <c r="F765" s="90"/>
      <c r="G765" s="90"/>
      <c r="H765" s="90"/>
    </row>
    <row r="766">
      <c r="A766" s="90"/>
      <c r="B766" s="90"/>
      <c r="C766" s="90"/>
      <c r="D766" s="90"/>
      <c r="E766" s="90"/>
      <c r="F766" s="90"/>
      <c r="G766" s="90"/>
      <c r="H766" s="90"/>
    </row>
    <row r="767">
      <c r="A767" s="90"/>
      <c r="B767" s="90"/>
      <c r="C767" s="90"/>
      <c r="D767" s="90"/>
      <c r="E767" s="90"/>
      <c r="F767" s="90"/>
      <c r="G767" s="90"/>
      <c r="H767" s="90"/>
    </row>
    <row r="768">
      <c r="A768" s="90"/>
      <c r="B768" s="90"/>
      <c r="C768" s="90"/>
      <c r="D768" s="90"/>
      <c r="E768" s="90"/>
      <c r="F768" s="90"/>
      <c r="G768" s="90"/>
      <c r="H768" s="90"/>
    </row>
    <row r="769">
      <c r="A769" s="90"/>
      <c r="B769" s="90"/>
      <c r="C769" s="90"/>
      <c r="D769" s="90"/>
      <c r="E769" s="90"/>
      <c r="F769" s="90"/>
      <c r="G769" s="90"/>
      <c r="H769" s="90"/>
    </row>
    <row r="770">
      <c r="A770" s="90"/>
      <c r="B770" s="90"/>
      <c r="C770" s="90"/>
      <c r="D770" s="90"/>
      <c r="E770" s="90"/>
      <c r="F770" s="90"/>
      <c r="G770" s="90"/>
      <c r="H770" s="90"/>
    </row>
    <row r="771">
      <c r="A771" s="90"/>
      <c r="B771" s="90"/>
      <c r="C771" s="90"/>
      <c r="D771" s="90"/>
      <c r="E771" s="90"/>
      <c r="F771" s="90"/>
      <c r="G771" s="90"/>
      <c r="H771" s="90"/>
    </row>
    <row r="772">
      <c r="A772" s="90"/>
      <c r="B772" s="90"/>
      <c r="C772" s="90"/>
      <c r="D772" s="90"/>
      <c r="E772" s="90"/>
      <c r="F772" s="90"/>
      <c r="G772" s="90"/>
      <c r="H772" s="90"/>
    </row>
    <row r="773">
      <c r="A773" s="90"/>
      <c r="B773" s="90"/>
      <c r="C773" s="90"/>
      <c r="D773" s="90"/>
      <c r="E773" s="90"/>
      <c r="F773" s="90"/>
      <c r="G773" s="90"/>
      <c r="H773" s="90"/>
    </row>
    <row r="774">
      <c r="A774" s="90"/>
      <c r="B774" s="90"/>
      <c r="C774" s="90"/>
      <c r="D774" s="90"/>
      <c r="E774" s="90"/>
      <c r="F774" s="90"/>
      <c r="G774" s="90"/>
      <c r="H774" s="90"/>
    </row>
    <row r="775">
      <c r="A775" s="90"/>
      <c r="B775" s="90"/>
      <c r="C775" s="90"/>
      <c r="D775" s="90"/>
      <c r="E775" s="90"/>
      <c r="F775" s="90"/>
      <c r="G775" s="90"/>
      <c r="H775" s="90"/>
    </row>
    <row r="776">
      <c r="A776" s="90"/>
      <c r="B776" s="90"/>
      <c r="C776" s="90"/>
      <c r="D776" s="90"/>
      <c r="E776" s="90"/>
      <c r="F776" s="90"/>
      <c r="G776" s="90"/>
      <c r="H776" s="90"/>
    </row>
    <row r="777">
      <c r="A777" s="90"/>
      <c r="B777" s="90"/>
      <c r="C777" s="90"/>
      <c r="D777" s="90"/>
      <c r="E777" s="90"/>
      <c r="F777" s="90"/>
      <c r="G777" s="90"/>
      <c r="H777" s="90"/>
    </row>
    <row r="778">
      <c r="A778" s="90"/>
      <c r="B778" s="90"/>
      <c r="C778" s="90"/>
      <c r="D778" s="90"/>
      <c r="E778" s="90"/>
      <c r="F778" s="90"/>
      <c r="G778" s="90"/>
      <c r="H778" s="90"/>
    </row>
    <row r="779">
      <c r="A779" s="90"/>
      <c r="B779" s="90"/>
      <c r="C779" s="90"/>
      <c r="D779" s="90"/>
      <c r="E779" s="90"/>
      <c r="F779" s="90"/>
      <c r="G779" s="90"/>
      <c r="H779" s="90"/>
    </row>
    <row r="780">
      <c r="A780" s="90"/>
      <c r="B780" s="90"/>
      <c r="C780" s="90"/>
      <c r="D780" s="90"/>
      <c r="E780" s="90"/>
      <c r="F780" s="90"/>
      <c r="G780" s="90"/>
      <c r="H780" s="90"/>
    </row>
    <row r="781">
      <c r="A781" s="90"/>
      <c r="B781" s="90"/>
      <c r="C781" s="90"/>
      <c r="D781" s="90"/>
      <c r="E781" s="90"/>
      <c r="F781" s="90"/>
      <c r="G781" s="90"/>
      <c r="H781" s="90"/>
    </row>
    <row r="782">
      <c r="A782" s="90"/>
      <c r="B782" s="90"/>
      <c r="C782" s="90"/>
      <c r="D782" s="90"/>
      <c r="E782" s="90"/>
      <c r="F782" s="90"/>
      <c r="G782" s="90"/>
      <c r="H782" s="90"/>
    </row>
    <row r="783">
      <c r="A783" s="90"/>
      <c r="B783" s="90"/>
      <c r="C783" s="90"/>
      <c r="D783" s="90"/>
      <c r="E783" s="90"/>
      <c r="F783" s="90"/>
      <c r="G783" s="90"/>
      <c r="H783" s="90"/>
    </row>
    <row r="784">
      <c r="A784" s="90"/>
      <c r="B784" s="90"/>
      <c r="C784" s="90"/>
      <c r="D784" s="90"/>
      <c r="E784" s="90"/>
      <c r="F784" s="90"/>
      <c r="G784" s="90"/>
      <c r="H784" s="90"/>
    </row>
    <row r="785">
      <c r="A785" s="90"/>
      <c r="B785" s="90"/>
      <c r="C785" s="90"/>
      <c r="D785" s="90"/>
      <c r="E785" s="90"/>
      <c r="F785" s="90"/>
      <c r="G785" s="90"/>
      <c r="H785" s="90"/>
    </row>
    <row r="786">
      <c r="A786" s="90"/>
      <c r="B786" s="90"/>
      <c r="C786" s="90"/>
      <c r="D786" s="90"/>
      <c r="E786" s="90"/>
      <c r="F786" s="90"/>
      <c r="G786" s="90"/>
      <c r="H786" s="90"/>
    </row>
    <row r="787">
      <c r="A787" s="90"/>
      <c r="B787" s="90"/>
      <c r="C787" s="90"/>
      <c r="D787" s="90"/>
      <c r="E787" s="90"/>
      <c r="F787" s="90"/>
      <c r="G787" s="90"/>
      <c r="H787" s="90"/>
    </row>
    <row r="788">
      <c r="A788" s="90"/>
      <c r="B788" s="90"/>
      <c r="C788" s="90"/>
      <c r="D788" s="90"/>
      <c r="E788" s="90"/>
      <c r="F788" s="90"/>
      <c r="G788" s="90"/>
      <c r="H788" s="90"/>
    </row>
    <row r="789">
      <c r="A789" s="90"/>
      <c r="B789" s="90"/>
      <c r="C789" s="90"/>
      <c r="D789" s="90"/>
      <c r="E789" s="90"/>
      <c r="F789" s="90"/>
      <c r="G789" s="90"/>
      <c r="H789" s="90"/>
    </row>
    <row r="790">
      <c r="A790" s="90"/>
      <c r="B790" s="90"/>
      <c r="C790" s="90"/>
      <c r="D790" s="90"/>
      <c r="E790" s="90"/>
      <c r="F790" s="90"/>
      <c r="G790" s="90"/>
      <c r="H790" s="90"/>
    </row>
    <row r="791">
      <c r="A791" s="90"/>
      <c r="B791" s="90"/>
      <c r="C791" s="90"/>
      <c r="D791" s="90"/>
      <c r="E791" s="90"/>
      <c r="F791" s="90"/>
      <c r="G791" s="90"/>
      <c r="H791" s="90"/>
    </row>
    <row r="792">
      <c r="A792" s="90"/>
      <c r="B792" s="90"/>
      <c r="C792" s="90"/>
      <c r="D792" s="90"/>
      <c r="E792" s="90"/>
      <c r="F792" s="90"/>
      <c r="G792" s="90"/>
      <c r="H792" s="90"/>
    </row>
    <row r="793">
      <c r="A793" s="90"/>
      <c r="B793" s="90"/>
      <c r="C793" s="90"/>
      <c r="D793" s="90"/>
      <c r="E793" s="90"/>
      <c r="F793" s="90"/>
      <c r="G793" s="90"/>
      <c r="H793" s="90"/>
    </row>
    <row r="794">
      <c r="A794" s="90"/>
      <c r="B794" s="90"/>
      <c r="C794" s="90"/>
      <c r="D794" s="90"/>
      <c r="E794" s="90"/>
      <c r="F794" s="90"/>
      <c r="G794" s="90"/>
      <c r="H794" s="90"/>
    </row>
    <row r="795">
      <c r="A795" s="90"/>
      <c r="B795" s="90"/>
      <c r="C795" s="90"/>
      <c r="D795" s="90"/>
      <c r="E795" s="90"/>
      <c r="F795" s="90"/>
      <c r="G795" s="90"/>
      <c r="H795" s="90"/>
    </row>
    <row r="796">
      <c r="A796" s="90"/>
      <c r="B796" s="90"/>
      <c r="C796" s="90"/>
      <c r="D796" s="90"/>
      <c r="E796" s="90"/>
      <c r="F796" s="90"/>
      <c r="G796" s="90"/>
      <c r="H796" s="90"/>
    </row>
    <row r="797">
      <c r="A797" s="90"/>
      <c r="B797" s="90"/>
      <c r="C797" s="90"/>
      <c r="D797" s="90"/>
      <c r="E797" s="90"/>
      <c r="F797" s="90"/>
      <c r="G797" s="90"/>
      <c r="H797" s="90"/>
    </row>
    <row r="798">
      <c r="A798" s="90"/>
      <c r="B798" s="90"/>
      <c r="C798" s="90"/>
      <c r="D798" s="90"/>
      <c r="E798" s="90"/>
      <c r="F798" s="90"/>
      <c r="G798" s="90"/>
      <c r="H798" s="90"/>
    </row>
    <row r="799">
      <c r="A799" s="90"/>
      <c r="B799" s="90"/>
      <c r="C799" s="90"/>
      <c r="D799" s="90"/>
      <c r="E799" s="90"/>
      <c r="F799" s="90"/>
      <c r="G799" s="90"/>
      <c r="H799" s="90"/>
    </row>
    <row r="800">
      <c r="A800" s="90"/>
      <c r="B800" s="90"/>
      <c r="C800" s="90"/>
      <c r="D800" s="90"/>
      <c r="E800" s="90"/>
      <c r="F800" s="90"/>
      <c r="G800" s="90"/>
      <c r="H800" s="90"/>
    </row>
    <row r="801">
      <c r="A801" s="90"/>
      <c r="B801" s="90"/>
      <c r="C801" s="90"/>
      <c r="D801" s="90"/>
      <c r="E801" s="90"/>
      <c r="F801" s="90"/>
      <c r="G801" s="90"/>
      <c r="H801" s="90"/>
    </row>
    <row r="802">
      <c r="A802" s="90"/>
      <c r="B802" s="90"/>
      <c r="C802" s="90"/>
      <c r="D802" s="90"/>
      <c r="E802" s="90"/>
      <c r="F802" s="90"/>
      <c r="G802" s="90"/>
      <c r="H802" s="90"/>
    </row>
    <row r="803">
      <c r="A803" s="90"/>
      <c r="B803" s="90"/>
      <c r="C803" s="90"/>
      <c r="D803" s="90"/>
      <c r="E803" s="90"/>
      <c r="F803" s="90"/>
      <c r="G803" s="90"/>
      <c r="H803" s="90"/>
    </row>
    <row r="804">
      <c r="A804" s="90"/>
      <c r="B804" s="90"/>
      <c r="C804" s="90"/>
      <c r="D804" s="90"/>
      <c r="E804" s="90"/>
      <c r="F804" s="90"/>
      <c r="G804" s="90"/>
      <c r="H804" s="90"/>
    </row>
    <row r="805">
      <c r="A805" s="90"/>
      <c r="B805" s="90"/>
      <c r="C805" s="90"/>
      <c r="D805" s="90"/>
      <c r="E805" s="90"/>
      <c r="F805" s="90"/>
      <c r="G805" s="90"/>
      <c r="H805" s="90"/>
    </row>
    <row r="806">
      <c r="A806" s="90"/>
      <c r="B806" s="90"/>
      <c r="C806" s="90"/>
      <c r="D806" s="90"/>
      <c r="E806" s="90"/>
      <c r="F806" s="90"/>
      <c r="G806" s="90"/>
      <c r="H806" s="90"/>
    </row>
    <row r="807">
      <c r="A807" s="90"/>
      <c r="B807" s="90"/>
      <c r="C807" s="90"/>
      <c r="D807" s="90"/>
      <c r="E807" s="90"/>
      <c r="F807" s="90"/>
      <c r="G807" s="90"/>
      <c r="H807" s="90"/>
    </row>
    <row r="808">
      <c r="A808" s="90"/>
      <c r="B808" s="90"/>
      <c r="C808" s="90"/>
      <c r="D808" s="90"/>
      <c r="E808" s="90"/>
      <c r="F808" s="90"/>
      <c r="G808" s="90"/>
      <c r="H808" s="90"/>
    </row>
    <row r="809">
      <c r="A809" s="90"/>
      <c r="B809" s="90"/>
      <c r="C809" s="90"/>
      <c r="D809" s="90"/>
      <c r="E809" s="90"/>
      <c r="F809" s="90"/>
      <c r="G809" s="90"/>
      <c r="H809" s="90"/>
    </row>
    <row r="810">
      <c r="A810" s="90"/>
      <c r="B810" s="90"/>
      <c r="C810" s="90"/>
      <c r="D810" s="90"/>
      <c r="E810" s="90"/>
      <c r="F810" s="90"/>
      <c r="G810" s="90"/>
      <c r="H810" s="90"/>
    </row>
    <row r="811">
      <c r="A811" s="90"/>
      <c r="B811" s="90"/>
      <c r="C811" s="90"/>
      <c r="D811" s="90"/>
      <c r="E811" s="90"/>
      <c r="F811" s="90"/>
      <c r="G811" s="90"/>
      <c r="H811" s="90"/>
    </row>
    <row r="812">
      <c r="A812" s="90"/>
      <c r="B812" s="90"/>
      <c r="C812" s="90"/>
      <c r="D812" s="90"/>
      <c r="E812" s="90"/>
      <c r="F812" s="90"/>
      <c r="G812" s="90"/>
      <c r="H812" s="90"/>
    </row>
    <row r="813">
      <c r="A813" s="90"/>
      <c r="B813" s="90"/>
      <c r="C813" s="90"/>
      <c r="D813" s="90"/>
      <c r="E813" s="90"/>
      <c r="F813" s="90"/>
      <c r="G813" s="90"/>
      <c r="H813" s="90"/>
    </row>
    <row r="814">
      <c r="A814" s="90"/>
      <c r="B814" s="90"/>
      <c r="C814" s="90"/>
      <c r="D814" s="90"/>
      <c r="E814" s="90"/>
      <c r="F814" s="90"/>
      <c r="G814" s="90"/>
      <c r="H814" s="90"/>
    </row>
    <row r="815">
      <c r="A815" s="90"/>
      <c r="B815" s="90"/>
      <c r="C815" s="90"/>
      <c r="D815" s="90"/>
      <c r="E815" s="90"/>
      <c r="F815" s="90"/>
      <c r="G815" s="90"/>
      <c r="H815" s="90"/>
    </row>
    <row r="816">
      <c r="A816" s="90"/>
      <c r="B816" s="90"/>
      <c r="C816" s="90"/>
      <c r="D816" s="90"/>
      <c r="E816" s="90"/>
      <c r="F816" s="90"/>
      <c r="G816" s="90"/>
      <c r="H816" s="90"/>
    </row>
    <row r="817">
      <c r="A817" s="90"/>
      <c r="B817" s="90"/>
      <c r="C817" s="90"/>
      <c r="D817" s="90"/>
      <c r="E817" s="90"/>
      <c r="F817" s="90"/>
      <c r="G817" s="90"/>
      <c r="H817" s="90"/>
    </row>
    <row r="818">
      <c r="A818" s="90"/>
      <c r="B818" s="90"/>
      <c r="C818" s="90"/>
      <c r="D818" s="90"/>
      <c r="E818" s="90"/>
      <c r="F818" s="90"/>
      <c r="G818" s="90"/>
      <c r="H818" s="90"/>
    </row>
    <row r="819">
      <c r="A819" s="90"/>
      <c r="B819" s="90"/>
      <c r="C819" s="90"/>
      <c r="D819" s="90"/>
      <c r="E819" s="90"/>
      <c r="F819" s="90"/>
      <c r="G819" s="90"/>
      <c r="H819" s="90"/>
    </row>
    <row r="820">
      <c r="A820" s="90"/>
      <c r="B820" s="90"/>
      <c r="C820" s="90"/>
      <c r="D820" s="90"/>
      <c r="E820" s="90"/>
      <c r="F820" s="90"/>
      <c r="G820" s="90"/>
      <c r="H820" s="90"/>
    </row>
    <row r="821">
      <c r="A821" s="90"/>
      <c r="B821" s="90"/>
      <c r="C821" s="90"/>
      <c r="D821" s="90"/>
      <c r="E821" s="90"/>
      <c r="F821" s="90"/>
      <c r="G821" s="90"/>
      <c r="H821" s="90"/>
    </row>
    <row r="822">
      <c r="A822" s="90"/>
      <c r="B822" s="90"/>
      <c r="C822" s="90"/>
      <c r="D822" s="90"/>
      <c r="E822" s="90"/>
      <c r="F822" s="90"/>
      <c r="G822" s="90"/>
      <c r="H822" s="90"/>
    </row>
    <row r="823">
      <c r="A823" s="90"/>
      <c r="B823" s="90"/>
      <c r="C823" s="90"/>
      <c r="D823" s="90"/>
      <c r="E823" s="90"/>
      <c r="F823" s="90"/>
      <c r="G823" s="90"/>
      <c r="H823" s="90"/>
    </row>
    <row r="824">
      <c r="A824" s="90"/>
      <c r="B824" s="90"/>
      <c r="C824" s="90"/>
      <c r="D824" s="90"/>
      <c r="E824" s="90"/>
      <c r="F824" s="90"/>
      <c r="G824" s="90"/>
      <c r="H824" s="90"/>
    </row>
    <row r="825">
      <c r="A825" s="90"/>
      <c r="B825" s="90"/>
      <c r="C825" s="90"/>
      <c r="D825" s="90"/>
      <c r="E825" s="90"/>
      <c r="F825" s="90"/>
      <c r="G825" s="90"/>
      <c r="H825" s="90"/>
    </row>
    <row r="826">
      <c r="A826" s="90"/>
      <c r="B826" s="90"/>
      <c r="C826" s="90"/>
      <c r="D826" s="90"/>
      <c r="E826" s="90"/>
      <c r="F826" s="90"/>
      <c r="G826" s="90"/>
      <c r="H826" s="90"/>
    </row>
    <row r="827">
      <c r="A827" s="90"/>
      <c r="B827" s="90"/>
      <c r="C827" s="90"/>
      <c r="D827" s="90"/>
      <c r="E827" s="90"/>
      <c r="F827" s="90"/>
      <c r="G827" s="90"/>
      <c r="H827" s="90"/>
    </row>
    <row r="828">
      <c r="A828" s="90"/>
      <c r="B828" s="90"/>
      <c r="C828" s="90"/>
      <c r="D828" s="90"/>
      <c r="E828" s="90"/>
      <c r="F828" s="90"/>
      <c r="G828" s="90"/>
      <c r="H828" s="90"/>
    </row>
    <row r="829">
      <c r="A829" s="90"/>
      <c r="B829" s="90"/>
      <c r="C829" s="90"/>
      <c r="D829" s="90"/>
      <c r="E829" s="90"/>
      <c r="F829" s="90"/>
      <c r="G829" s="90"/>
      <c r="H829" s="90"/>
    </row>
    <row r="830">
      <c r="A830" s="90"/>
      <c r="B830" s="90"/>
      <c r="C830" s="90"/>
      <c r="D830" s="90"/>
      <c r="E830" s="90"/>
      <c r="F830" s="90"/>
      <c r="G830" s="90"/>
      <c r="H830" s="90"/>
    </row>
    <row r="831">
      <c r="A831" s="90"/>
      <c r="B831" s="90"/>
      <c r="C831" s="90"/>
      <c r="D831" s="90"/>
      <c r="E831" s="90"/>
      <c r="F831" s="90"/>
      <c r="G831" s="90"/>
      <c r="H831" s="90"/>
    </row>
    <row r="832">
      <c r="A832" s="90"/>
      <c r="B832" s="90"/>
      <c r="C832" s="90"/>
      <c r="D832" s="90"/>
      <c r="E832" s="90"/>
      <c r="F832" s="90"/>
      <c r="G832" s="90"/>
      <c r="H832" s="90"/>
    </row>
    <row r="833">
      <c r="A833" s="90"/>
      <c r="B833" s="90"/>
      <c r="C833" s="90"/>
      <c r="D833" s="90"/>
      <c r="E833" s="90"/>
      <c r="F833" s="90"/>
      <c r="G833" s="90"/>
      <c r="H833" s="90"/>
    </row>
    <row r="834">
      <c r="A834" s="90"/>
      <c r="B834" s="90"/>
      <c r="C834" s="90"/>
      <c r="D834" s="90"/>
      <c r="E834" s="90"/>
      <c r="F834" s="90"/>
      <c r="G834" s="90"/>
      <c r="H834" s="90"/>
    </row>
    <row r="835">
      <c r="A835" s="90"/>
      <c r="B835" s="90"/>
      <c r="C835" s="90"/>
      <c r="D835" s="90"/>
      <c r="E835" s="90"/>
      <c r="F835" s="90"/>
      <c r="G835" s="90"/>
      <c r="H835" s="90"/>
    </row>
    <row r="836">
      <c r="A836" s="90"/>
      <c r="B836" s="90"/>
      <c r="C836" s="90"/>
      <c r="D836" s="90"/>
      <c r="E836" s="90"/>
      <c r="F836" s="90"/>
      <c r="G836" s="90"/>
      <c r="H836" s="90"/>
    </row>
    <row r="837">
      <c r="A837" s="90"/>
      <c r="B837" s="90"/>
      <c r="C837" s="90"/>
      <c r="D837" s="90"/>
      <c r="E837" s="90"/>
      <c r="F837" s="90"/>
      <c r="G837" s="90"/>
      <c r="H837" s="90"/>
    </row>
    <row r="838">
      <c r="A838" s="90"/>
      <c r="B838" s="90"/>
      <c r="C838" s="90"/>
      <c r="D838" s="90"/>
      <c r="E838" s="90"/>
      <c r="F838" s="90"/>
      <c r="G838" s="90"/>
      <c r="H838" s="90"/>
    </row>
    <row r="839">
      <c r="A839" s="90"/>
      <c r="B839" s="90"/>
      <c r="C839" s="90"/>
      <c r="D839" s="90"/>
      <c r="E839" s="90"/>
      <c r="F839" s="90"/>
      <c r="G839" s="90"/>
      <c r="H839" s="90"/>
    </row>
    <row r="840">
      <c r="A840" s="90"/>
      <c r="B840" s="90"/>
      <c r="C840" s="90"/>
      <c r="D840" s="90"/>
      <c r="E840" s="90"/>
      <c r="F840" s="90"/>
      <c r="G840" s="90"/>
      <c r="H840" s="90"/>
    </row>
    <row r="841">
      <c r="A841" s="90"/>
      <c r="B841" s="90"/>
      <c r="C841" s="90"/>
      <c r="D841" s="90"/>
      <c r="E841" s="90"/>
      <c r="F841" s="90"/>
      <c r="G841" s="90"/>
      <c r="H841" s="90"/>
    </row>
    <row r="842">
      <c r="A842" s="90"/>
      <c r="B842" s="90"/>
      <c r="C842" s="90"/>
      <c r="D842" s="90"/>
      <c r="E842" s="90"/>
      <c r="F842" s="90"/>
      <c r="G842" s="90"/>
      <c r="H842" s="90"/>
    </row>
    <row r="843">
      <c r="A843" s="90"/>
      <c r="B843" s="90"/>
      <c r="C843" s="90"/>
      <c r="D843" s="90"/>
      <c r="E843" s="90"/>
      <c r="F843" s="90"/>
      <c r="G843" s="90"/>
      <c r="H843" s="90"/>
    </row>
    <row r="844">
      <c r="A844" s="90"/>
      <c r="B844" s="90"/>
      <c r="C844" s="90"/>
      <c r="D844" s="90"/>
      <c r="E844" s="90"/>
      <c r="F844" s="90"/>
      <c r="G844" s="90"/>
      <c r="H844" s="90"/>
    </row>
    <row r="845">
      <c r="A845" s="90"/>
      <c r="B845" s="90"/>
      <c r="C845" s="90"/>
      <c r="D845" s="90"/>
      <c r="E845" s="90"/>
      <c r="F845" s="90"/>
      <c r="G845" s="90"/>
      <c r="H845" s="90"/>
    </row>
    <row r="846">
      <c r="A846" s="90"/>
      <c r="B846" s="90"/>
      <c r="C846" s="90"/>
      <c r="D846" s="90"/>
      <c r="E846" s="90"/>
      <c r="F846" s="90"/>
      <c r="G846" s="90"/>
      <c r="H846" s="90"/>
    </row>
    <row r="847">
      <c r="A847" s="90"/>
      <c r="B847" s="90"/>
      <c r="C847" s="90"/>
      <c r="D847" s="90"/>
      <c r="E847" s="90"/>
      <c r="F847" s="90"/>
      <c r="G847" s="90"/>
      <c r="H847" s="90"/>
    </row>
    <row r="848">
      <c r="A848" s="90"/>
      <c r="B848" s="90"/>
      <c r="C848" s="90"/>
      <c r="D848" s="90"/>
      <c r="E848" s="90"/>
      <c r="F848" s="90"/>
      <c r="G848" s="90"/>
      <c r="H848" s="90"/>
    </row>
    <row r="849">
      <c r="A849" s="90"/>
      <c r="B849" s="90"/>
      <c r="C849" s="90"/>
      <c r="D849" s="90"/>
      <c r="E849" s="90"/>
      <c r="F849" s="90"/>
      <c r="G849" s="90"/>
      <c r="H849" s="90"/>
    </row>
    <row r="850">
      <c r="A850" s="90"/>
      <c r="B850" s="90"/>
      <c r="C850" s="90"/>
      <c r="D850" s="90"/>
      <c r="E850" s="90"/>
      <c r="F850" s="90"/>
      <c r="G850" s="90"/>
      <c r="H850" s="90"/>
    </row>
    <row r="851">
      <c r="A851" s="90"/>
      <c r="B851" s="90"/>
      <c r="C851" s="90"/>
      <c r="D851" s="90"/>
      <c r="E851" s="90"/>
      <c r="F851" s="90"/>
      <c r="G851" s="90"/>
      <c r="H851" s="90"/>
    </row>
    <row r="852">
      <c r="A852" s="90"/>
      <c r="B852" s="90"/>
      <c r="C852" s="90"/>
      <c r="D852" s="90"/>
      <c r="E852" s="90"/>
      <c r="F852" s="90"/>
      <c r="G852" s="90"/>
      <c r="H852" s="90"/>
    </row>
    <row r="853">
      <c r="A853" s="90"/>
      <c r="B853" s="90"/>
      <c r="C853" s="90"/>
      <c r="D853" s="90"/>
      <c r="E853" s="90"/>
      <c r="F853" s="90"/>
      <c r="G853" s="90"/>
      <c r="H853" s="90"/>
    </row>
    <row r="854">
      <c r="A854" s="90"/>
      <c r="B854" s="90"/>
      <c r="C854" s="90"/>
      <c r="D854" s="90"/>
      <c r="E854" s="90"/>
      <c r="F854" s="90"/>
      <c r="G854" s="90"/>
      <c r="H854" s="90"/>
    </row>
    <row r="855">
      <c r="A855" s="90"/>
      <c r="B855" s="90"/>
      <c r="C855" s="90"/>
      <c r="D855" s="90"/>
      <c r="E855" s="90"/>
      <c r="F855" s="90"/>
      <c r="G855" s="90"/>
      <c r="H855" s="90"/>
    </row>
    <row r="856">
      <c r="A856" s="90"/>
      <c r="B856" s="90"/>
      <c r="C856" s="90"/>
      <c r="D856" s="90"/>
      <c r="E856" s="90"/>
      <c r="F856" s="90"/>
      <c r="G856" s="90"/>
      <c r="H856" s="90"/>
    </row>
    <row r="857">
      <c r="A857" s="90"/>
      <c r="B857" s="90"/>
      <c r="C857" s="90"/>
      <c r="D857" s="90"/>
      <c r="E857" s="90"/>
      <c r="F857" s="90"/>
      <c r="G857" s="90"/>
      <c r="H857" s="90"/>
    </row>
    <row r="858">
      <c r="A858" s="90"/>
      <c r="B858" s="90"/>
      <c r="C858" s="90"/>
      <c r="D858" s="90"/>
      <c r="E858" s="90"/>
      <c r="F858" s="90"/>
      <c r="G858" s="90"/>
      <c r="H858" s="90"/>
    </row>
    <row r="859">
      <c r="A859" s="90"/>
      <c r="B859" s="90"/>
      <c r="C859" s="90"/>
      <c r="D859" s="90"/>
      <c r="E859" s="90"/>
      <c r="F859" s="90"/>
      <c r="G859" s="90"/>
      <c r="H859" s="90"/>
    </row>
    <row r="860">
      <c r="A860" s="90"/>
      <c r="B860" s="90"/>
      <c r="C860" s="90"/>
      <c r="D860" s="90"/>
      <c r="E860" s="90"/>
      <c r="F860" s="90"/>
      <c r="G860" s="90"/>
      <c r="H860" s="90"/>
    </row>
    <row r="861">
      <c r="A861" s="90"/>
      <c r="B861" s="90"/>
      <c r="C861" s="90"/>
      <c r="D861" s="90"/>
      <c r="E861" s="90"/>
      <c r="F861" s="90"/>
      <c r="G861" s="90"/>
      <c r="H861" s="90"/>
    </row>
    <row r="862">
      <c r="A862" s="90"/>
      <c r="B862" s="90"/>
      <c r="C862" s="90"/>
      <c r="D862" s="90"/>
      <c r="E862" s="90"/>
      <c r="F862" s="90"/>
      <c r="G862" s="90"/>
      <c r="H862" s="90"/>
    </row>
    <row r="863">
      <c r="A863" s="90"/>
      <c r="B863" s="90"/>
      <c r="C863" s="90"/>
      <c r="D863" s="90"/>
      <c r="E863" s="90"/>
      <c r="F863" s="90"/>
      <c r="G863" s="90"/>
      <c r="H863" s="90"/>
    </row>
    <row r="864">
      <c r="A864" s="90"/>
      <c r="B864" s="90"/>
      <c r="C864" s="90"/>
      <c r="D864" s="90"/>
      <c r="E864" s="90"/>
      <c r="F864" s="90"/>
      <c r="G864" s="90"/>
      <c r="H864" s="90"/>
    </row>
    <row r="865">
      <c r="A865" s="90"/>
      <c r="B865" s="90"/>
      <c r="C865" s="90"/>
      <c r="D865" s="90"/>
      <c r="E865" s="90"/>
      <c r="F865" s="90"/>
      <c r="G865" s="90"/>
      <c r="H865" s="90"/>
    </row>
    <row r="866">
      <c r="A866" s="90"/>
      <c r="B866" s="90"/>
      <c r="C866" s="90"/>
      <c r="D866" s="90"/>
      <c r="E866" s="90"/>
      <c r="F866" s="90"/>
      <c r="G866" s="90"/>
      <c r="H866" s="90"/>
    </row>
    <row r="867">
      <c r="A867" s="90"/>
      <c r="B867" s="90"/>
      <c r="C867" s="90"/>
      <c r="D867" s="90"/>
      <c r="E867" s="90"/>
      <c r="F867" s="90"/>
      <c r="G867" s="90"/>
      <c r="H867" s="90"/>
    </row>
    <row r="868">
      <c r="A868" s="90"/>
      <c r="B868" s="90"/>
      <c r="C868" s="90"/>
      <c r="D868" s="90"/>
      <c r="E868" s="90"/>
      <c r="F868" s="90"/>
      <c r="G868" s="90"/>
      <c r="H868" s="90"/>
    </row>
    <row r="869">
      <c r="A869" s="90"/>
      <c r="B869" s="90"/>
      <c r="C869" s="90"/>
      <c r="D869" s="90"/>
      <c r="E869" s="90"/>
      <c r="F869" s="90"/>
      <c r="G869" s="90"/>
      <c r="H869" s="90"/>
    </row>
    <row r="870">
      <c r="A870" s="90"/>
      <c r="B870" s="90"/>
      <c r="C870" s="90"/>
      <c r="D870" s="90"/>
      <c r="E870" s="90"/>
      <c r="F870" s="90"/>
      <c r="G870" s="90"/>
      <c r="H870" s="90"/>
    </row>
    <row r="871">
      <c r="A871" s="90"/>
      <c r="B871" s="90"/>
      <c r="C871" s="90"/>
      <c r="D871" s="90"/>
      <c r="E871" s="90"/>
      <c r="F871" s="90"/>
      <c r="G871" s="90"/>
      <c r="H871" s="90"/>
    </row>
    <row r="872">
      <c r="A872" s="90"/>
      <c r="B872" s="90"/>
      <c r="C872" s="90"/>
      <c r="D872" s="90"/>
      <c r="E872" s="90"/>
      <c r="F872" s="90"/>
      <c r="G872" s="90"/>
      <c r="H872" s="90"/>
    </row>
    <row r="873">
      <c r="A873" s="90"/>
      <c r="B873" s="90"/>
      <c r="C873" s="90"/>
      <c r="D873" s="90"/>
      <c r="E873" s="90"/>
      <c r="F873" s="90"/>
      <c r="G873" s="90"/>
      <c r="H873" s="90"/>
    </row>
    <row r="874">
      <c r="A874" s="90"/>
      <c r="B874" s="90"/>
      <c r="C874" s="90"/>
      <c r="D874" s="90"/>
      <c r="E874" s="90"/>
      <c r="F874" s="90"/>
      <c r="G874" s="90"/>
      <c r="H874" s="90"/>
    </row>
    <row r="875">
      <c r="A875" s="90"/>
      <c r="B875" s="90"/>
      <c r="C875" s="90"/>
      <c r="D875" s="90"/>
      <c r="E875" s="90"/>
      <c r="F875" s="90"/>
      <c r="G875" s="90"/>
      <c r="H875" s="90"/>
    </row>
    <row r="876">
      <c r="A876" s="90"/>
      <c r="B876" s="90"/>
      <c r="C876" s="90"/>
      <c r="D876" s="90"/>
      <c r="E876" s="90"/>
      <c r="F876" s="90"/>
      <c r="G876" s="90"/>
      <c r="H876" s="90"/>
    </row>
    <row r="877">
      <c r="A877" s="90"/>
      <c r="B877" s="90"/>
      <c r="C877" s="90"/>
      <c r="D877" s="90"/>
      <c r="E877" s="90"/>
      <c r="F877" s="90"/>
      <c r="G877" s="90"/>
      <c r="H877" s="90"/>
    </row>
    <row r="878">
      <c r="A878" s="90"/>
      <c r="B878" s="90"/>
      <c r="C878" s="90"/>
      <c r="D878" s="90"/>
      <c r="E878" s="90"/>
      <c r="F878" s="90"/>
      <c r="G878" s="90"/>
      <c r="H878" s="90"/>
    </row>
    <row r="879">
      <c r="A879" s="90"/>
      <c r="B879" s="90"/>
      <c r="C879" s="90"/>
      <c r="D879" s="90"/>
      <c r="E879" s="90"/>
      <c r="F879" s="90"/>
      <c r="G879" s="90"/>
      <c r="H879" s="90"/>
    </row>
    <row r="880">
      <c r="A880" s="90"/>
      <c r="B880" s="90"/>
      <c r="C880" s="90"/>
      <c r="D880" s="90"/>
      <c r="E880" s="90"/>
      <c r="F880" s="90"/>
      <c r="G880" s="90"/>
      <c r="H880" s="90"/>
    </row>
    <row r="881">
      <c r="A881" s="90"/>
      <c r="B881" s="90"/>
      <c r="C881" s="90"/>
      <c r="D881" s="90"/>
      <c r="E881" s="90"/>
      <c r="F881" s="90"/>
      <c r="G881" s="90"/>
      <c r="H881" s="90"/>
    </row>
    <row r="882">
      <c r="A882" s="90"/>
      <c r="B882" s="90"/>
      <c r="C882" s="90"/>
      <c r="D882" s="90"/>
      <c r="E882" s="90"/>
      <c r="F882" s="90"/>
      <c r="G882" s="90"/>
      <c r="H882" s="90"/>
    </row>
    <row r="883">
      <c r="A883" s="90"/>
      <c r="B883" s="90"/>
      <c r="C883" s="90"/>
      <c r="D883" s="90"/>
      <c r="E883" s="90"/>
      <c r="F883" s="90"/>
      <c r="G883" s="90"/>
      <c r="H883" s="90"/>
    </row>
    <row r="884">
      <c r="A884" s="90"/>
      <c r="B884" s="90"/>
      <c r="C884" s="90"/>
      <c r="D884" s="90"/>
      <c r="E884" s="90"/>
      <c r="F884" s="90"/>
      <c r="G884" s="90"/>
      <c r="H884" s="90"/>
    </row>
    <row r="885">
      <c r="A885" s="90"/>
      <c r="B885" s="90"/>
      <c r="C885" s="90"/>
      <c r="D885" s="90"/>
      <c r="E885" s="90"/>
      <c r="F885" s="90"/>
      <c r="G885" s="90"/>
      <c r="H885" s="90"/>
    </row>
    <row r="886">
      <c r="A886" s="90"/>
      <c r="B886" s="90"/>
      <c r="C886" s="90"/>
      <c r="D886" s="90"/>
      <c r="E886" s="90"/>
      <c r="F886" s="90"/>
      <c r="G886" s="90"/>
      <c r="H886" s="90"/>
    </row>
    <row r="887">
      <c r="A887" s="90"/>
      <c r="B887" s="90"/>
      <c r="C887" s="90"/>
      <c r="D887" s="90"/>
      <c r="E887" s="90"/>
      <c r="F887" s="90"/>
      <c r="G887" s="90"/>
      <c r="H887" s="90"/>
    </row>
    <row r="888">
      <c r="A888" s="90"/>
      <c r="B888" s="90"/>
      <c r="C888" s="90"/>
      <c r="D888" s="90"/>
      <c r="E888" s="90"/>
      <c r="F888" s="90"/>
      <c r="G888" s="90"/>
      <c r="H888" s="90"/>
    </row>
    <row r="889">
      <c r="A889" s="90"/>
      <c r="B889" s="90"/>
      <c r="C889" s="90"/>
      <c r="D889" s="90"/>
      <c r="E889" s="90"/>
      <c r="F889" s="90"/>
      <c r="G889" s="90"/>
      <c r="H889" s="90"/>
    </row>
    <row r="890">
      <c r="A890" s="90"/>
      <c r="B890" s="90"/>
      <c r="C890" s="90"/>
      <c r="D890" s="90"/>
      <c r="E890" s="90"/>
      <c r="F890" s="90"/>
      <c r="G890" s="90"/>
      <c r="H890" s="90"/>
    </row>
    <row r="891">
      <c r="A891" s="90"/>
      <c r="B891" s="90"/>
      <c r="C891" s="90"/>
      <c r="D891" s="90"/>
      <c r="E891" s="90"/>
      <c r="F891" s="90"/>
      <c r="G891" s="90"/>
      <c r="H891" s="90"/>
    </row>
    <row r="892">
      <c r="A892" s="90"/>
      <c r="B892" s="90"/>
      <c r="C892" s="90"/>
      <c r="D892" s="90"/>
      <c r="E892" s="90"/>
      <c r="F892" s="90"/>
      <c r="G892" s="90"/>
      <c r="H892" s="90"/>
    </row>
    <row r="893">
      <c r="A893" s="90"/>
      <c r="B893" s="90"/>
      <c r="C893" s="90"/>
      <c r="D893" s="90"/>
      <c r="E893" s="90"/>
      <c r="F893" s="90"/>
      <c r="G893" s="90"/>
      <c r="H893" s="90"/>
    </row>
    <row r="894">
      <c r="A894" s="90"/>
      <c r="B894" s="90"/>
      <c r="C894" s="90"/>
      <c r="D894" s="90"/>
      <c r="E894" s="90"/>
      <c r="F894" s="90"/>
      <c r="G894" s="90"/>
      <c r="H894" s="90"/>
    </row>
    <row r="895">
      <c r="A895" s="90"/>
      <c r="B895" s="90"/>
      <c r="C895" s="90"/>
      <c r="D895" s="90"/>
      <c r="E895" s="90"/>
      <c r="F895" s="90"/>
      <c r="G895" s="90"/>
      <c r="H895" s="90"/>
    </row>
    <row r="896">
      <c r="A896" s="90"/>
      <c r="B896" s="90"/>
      <c r="C896" s="90"/>
      <c r="D896" s="90"/>
      <c r="E896" s="90"/>
      <c r="F896" s="90"/>
      <c r="G896" s="90"/>
      <c r="H896" s="90"/>
    </row>
    <row r="897">
      <c r="A897" s="90"/>
      <c r="B897" s="90"/>
      <c r="C897" s="90"/>
      <c r="D897" s="90"/>
      <c r="E897" s="90"/>
      <c r="F897" s="90"/>
      <c r="G897" s="90"/>
      <c r="H897" s="90"/>
    </row>
    <row r="898">
      <c r="A898" s="90"/>
      <c r="B898" s="90"/>
      <c r="C898" s="90"/>
      <c r="D898" s="90"/>
      <c r="E898" s="90"/>
      <c r="F898" s="90"/>
      <c r="G898" s="90"/>
      <c r="H898" s="90"/>
    </row>
    <row r="899">
      <c r="A899" s="90"/>
      <c r="B899" s="90"/>
      <c r="C899" s="90"/>
      <c r="D899" s="90"/>
      <c r="E899" s="90"/>
      <c r="F899" s="90"/>
      <c r="G899" s="90"/>
      <c r="H899" s="90"/>
    </row>
    <row r="900">
      <c r="A900" s="90"/>
      <c r="B900" s="90"/>
      <c r="C900" s="90"/>
      <c r="D900" s="90"/>
      <c r="E900" s="90"/>
      <c r="F900" s="90"/>
      <c r="G900" s="90"/>
      <c r="H900" s="90"/>
    </row>
    <row r="901">
      <c r="A901" s="90"/>
      <c r="B901" s="90"/>
      <c r="C901" s="90"/>
      <c r="D901" s="90"/>
      <c r="E901" s="90"/>
      <c r="F901" s="90"/>
      <c r="G901" s="90"/>
      <c r="H901" s="90"/>
    </row>
    <row r="902">
      <c r="A902" s="90"/>
      <c r="B902" s="90"/>
      <c r="C902" s="90"/>
      <c r="D902" s="90"/>
      <c r="E902" s="90"/>
      <c r="F902" s="90"/>
      <c r="G902" s="90"/>
      <c r="H902" s="90"/>
    </row>
    <row r="903">
      <c r="A903" s="90"/>
      <c r="B903" s="90"/>
      <c r="C903" s="90"/>
      <c r="D903" s="90"/>
      <c r="E903" s="90"/>
      <c r="F903" s="90"/>
      <c r="G903" s="90"/>
      <c r="H903" s="90"/>
    </row>
    <row r="904">
      <c r="A904" s="90"/>
      <c r="B904" s="90"/>
      <c r="C904" s="90"/>
      <c r="D904" s="90"/>
      <c r="E904" s="90"/>
      <c r="F904" s="90"/>
      <c r="G904" s="90"/>
      <c r="H904" s="90"/>
    </row>
    <row r="905">
      <c r="A905" s="90"/>
      <c r="B905" s="90"/>
      <c r="C905" s="90"/>
      <c r="D905" s="90"/>
      <c r="E905" s="90"/>
      <c r="F905" s="90"/>
      <c r="G905" s="90"/>
      <c r="H905" s="90"/>
    </row>
    <row r="906">
      <c r="A906" s="90"/>
      <c r="B906" s="90"/>
      <c r="C906" s="90"/>
      <c r="D906" s="90"/>
      <c r="E906" s="90"/>
      <c r="F906" s="90"/>
      <c r="G906" s="90"/>
      <c r="H906" s="90"/>
    </row>
    <row r="907">
      <c r="A907" s="90"/>
      <c r="B907" s="90"/>
      <c r="C907" s="90"/>
      <c r="D907" s="90"/>
      <c r="E907" s="90"/>
      <c r="F907" s="90"/>
      <c r="G907" s="90"/>
      <c r="H907" s="90"/>
    </row>
    <row r="908">
      <c r="A908" s="90"/>
      <c r="B908" s="90"/>
      <c r="C908" s="90"/>
      <c r="D908" s="90"/>
      <c r="E908" s="90"/>
      <c r="F908" s="90"/>
      <c r="G908" s="90"/>
      <c r="H908" s="90"/>
    </row>
    <row r="909">
      <c r="A909" s="90"/>
      <c r="B909" s="90"/>
      <c r="C909" s="90"/>
      <c r="D909" s="90"/>
      <c r="E909" s="90"/>
      <c r="F909" s="90"/>
      <c r="G909" s="90"/>
      <c r="H909" s="90"/>
    </row>
    <row r="910">
      <c r="A910" s="90"/>
      <c r="B910" s="90"/>
      <c r="C910" s="90"/>
      <c r="D910" s="90"/>
      <c r="E910" s="90"/>
      <c r="F910" s="90"/>
      <c r="G910" s="90"/>
      <c r="H910" s="90"/>
    </row>
    <row r="911">
      <c r="A911" s="90"/>
      <c r="B911" s="90"/>
      <c r="C911" s="90"/>
      <c r="D911" s="90"/>
      <c r="E911" s="90"/>
      <c r="F911" s="90"/>
      <c r="G911" s="90"/>
      <c r="H911" s="90"/>
    </row>
    <row r="912">
      <c r="A912" s="90"/>
      <c r="B912" s="90"/>
      <c r="C912" s="90"/>
      <c r="D912" s="90"/>
      <c r="E912" s="90"/>
      <c r="F912" s="90"/>
      <c r="G912" s="90"/>
      <c r="H912" s="90"/>
    </row>
    <row r="913">
      <c r="A913" s="90"/>
      <c r="B913" s="90"/>
      <c r="C913" s="90"/>
      <c r="D913" s="90"/>
      <c r="E913" s="90"/>
      <c r="F913" s="90"/>
      <c r="G913" s="90"/>
      <c r="H913" s="90"/>
    </row>
    <row r="914">
      <c r="A914" s="90"/>
      <c r="B914" s="90"/>
      <c r="C914" s="90"/>
      <c r="D914" s="90"/>
      <c r="E914" s="90"/>
      <c r="F914" s="90"/>
      <c r="G914" s="90"/>
      <c r="H914" s="90"/>
    </row>
    <row r="915">
      <c r="A915" s="90"/>
      <c r="B915" s="90"/>
      <c r="C915" s="90"/>
      <c r="D915" s="90"/>
      <c r="E915" s="90"/>
      <c r="F915" s="90"/>
      <c r="G915" s="90"/>
      <c r="H915" s="90"/>
    </row>
    <row r="916">
      <c r="A916" s="90"/>
      <c r="B916" s="90"/>
      <c r="C916" s="90"/>
      <c r="D916" s="90"/>
      <c r="E916" s="90"/>
      <c r="F916" s="90"/>
      <c r="G916" s="90"/>
      <c r="H916" s="90"/>
    </row>
    <row r="917">
      <c r="A917" s="90"/>
      <c r="B917" s="90"/>
      <c r="C917" s="90"/>
      <c r="D917" s="90"/>
      <c r="E917" s="90"/>
      <c r="F917" s="90"/>
      <c r="G917" s="90"/>
      <c r="H917" s="90"/>
    </row>
    <row r="918">
      <c r="A918" s="90"/>
      <c r="B918" s="90"/>
      <c r="C918" s="90"/>
      <c r="D918" s="90"/>
      <c r="E918" s="90"/>
      <c r="F918" s="90"/>
      <c r="G918" s="90"/>
      <c r="H918" s="90"/>
    </row>
    <row r="919">
      <c r="A919" s="90"/>
      <c r="B919" s="90"/>
      <c r="C919" s="90"/>
      <c r="D919" s="90"/>
      <c r="E919" s="90"/>
      <c r="F919" s="90"/>
      <c r="G919" s="90"/>
      <c r="H919" s="90"/>
    </row>
    <row r="920">
      <c r="A920" s="90"/>
      <c r="B920" s="90"/>
      <c r="C920" s="90"/>
      <c r="D920" s="90"/>
      <c r="E920" s="90"/>
      <c r="F920" s="90"/>
      <c r="G920" s="90"/>
      <c r="H920" s="90"/>
    </row>
    <row r="921">
      <c r="A921" s="90"/>
      <c r="B921" s="90"/>
      <c r="C921" s="90"/>
      <c r="D921" s="90"/>
      <c r="E921" s="90"/>
      <c r="F921" s="90"/>
      <c r="G921" s="90"/>
      <c r="H921" s="90"/>
    </row>
    <row r="922">
      <c r="A922" s="90"/>
      <c r="B922" s="90"/>
      <c r="C922" s="90"/>
      <c r="D922" s="90"/>
      <c r="E922" s="90"/>
      <c r="F922" s="90"/>
      <c r="G922" s="90"/>
      <c r="H922" s="90"/>
    </row>
    <row r="923">
      <c r="A923" s="90"/>
      <c r="B923" s="90"/>
      <c r="C923" s="90"/>
      <c r="D923" s="90"/>
      <c r="E923" s="90"/>
      <c r="F923" s="90"/>
      <c r="G923" s="90"/>
      <c r="H923" s="90"/>
    </row>
    <row r="924">
      <c r="A924" s="90"/>
      <c r="B924" s="90"/>
      <c r="C924" s="90"/>
      <c r="D924" s="90"/>
      <c r="E924" s="90"/>
      <c r="F924" s="90"/>
      <c r="G924" s="90"/>
      <c r="H924" s="90"/>
    </row>
    <row r="925">
      <c r="A925" s="90"/>
      <c r="B925" s="90"/>
      <c r="C925" s="90"/>
      <c r="D925" s="90"/>
      <c r="E925" s="90"/>
      <c r="F925" s="90"/>
      <c r="G925" s="90"/>
      <c r="H925" s="90"/>
    </row>
    <row r="926">
      <c r="A926" s="90"/>
      <c r="B926" s="90"/>
      <c r="C926" s="90"/>
      <c r="D926" s="90"/>
      <c r="E926" s="90"/>
      <c r="F926" s="90"/>
      <c r="G926" s="90"/>
      <c r="H926" s="90"/>
    </row>
    <row r="927">
      <c r="A927" s="90"/>
      <c r="B927" s="90"/>
      <c r="C927" s="90"/>
      <c r="D927" s="90"/>
      <c r="E927" s="90"/>
      <c r="F927" s="90"/>
      <c r="G927" s="90"/>
      <c r="H927" s="90"/>
    </row>
    <row r="928">
      <c r="A928" s="90"/>
      <c r="B928" s="90"/>
      <c r="C928" s="90"/>
      <c r="D928" s="90"/>
      <c r="E928" s="90"/>
      <c r="F928" s="90"/>
      <c r="G928" s="90"/>
      <c r="H928" s="90"/>
    </row>
    <row r="929">
      <c r="A929" s="90"/>
      <c r="B929" s="90"/>
      <c r="C929" s="90"/>
      <c r="D929" s="90"/>
      <c r="E929" s="90"/>
      <c r="F929" s="90"/>
      <c r="G929" s="90"/>
      <c r="H929" s="90"/>
    </row>
    <row r="930">
      <c r="A930" s="90"/>
      <c r="B930" s="90"/>
      <c r="C930" s="90"/>
      <c r="D930" s="90"/>
      <c r="E930" s="90"/>
      <c r="F930" s="90"/>
      <c r="G930" s="90"/>
      <c r="H930" s="90"/>
    </row>
    <row r="931">
      <c r="A931" s="90"/>
      <c r="B931" s="90"/>
      <c r="C931" s="90"/>
      <c r="D931" s="90"/>
      <c r="E931" s="90"/>
      <c r="F931" s="90"/>
      <c r="G931" s="90"/>
      <c r="H931" s="90"/>
    </row>
    <row r="932">
      <c r="A932" s="90"/>
      <c r="B932" s="90"/>
      <c r="C932" s="90"/>
      <c r="D932" s="90"/>
      <c r="E932" s="90"/>
      <c r="F932" s="90"/>
      <c r="G932" s="90"/>
      <c r="H932" s="90"/>
    </row>
    <row r="933">
      <c r="A933" s="90"/>
      <c r="B933" s="90"/>
      <c r="C933" s="90"/>
      <c r="D933" s="90"/>
      <c r="E933" s="90"/>
      <c r="F933" s="90"/>
      <c r="G933" s="90"/>
      <c r="H933" s="90"/>
    </row>
    <row r="934">
      <c r="A934" s="90"/>
      <c r="B934" s="90"/>
      <c r="C934" s="90"/>
      <c r="D934" s="90"/>
      <c r="E934" s="90"/>
      <c r="F934" s="90"/>
      <c r="G934" s="90"/>
      <c r="H934" s="90"/>
    </row>
    <row r="935">
      <c r="A935" s="90"/>
      <c r="B935" s="90"/>
      <c r="C935" s="90"/>
      <c r="D935" s="90"/>
      <c r="E935" s="90"/>
      <c r="F935" s="90"/>
      <c r="G935" s="90"/>
      <c r="H935" s="90"/>
    </row>
    <row r="936">
      <c r="A936" s="90"/>
      <c r="B936" s="90"/>
      <c r="C936" s="90"/>
      <c r="D936" s="90"/>
      <c r="E936" s="90"/>
      <c r="F936" s="90"/>
      <c r="G936" s="90"/>
      <c r="H936" s="90"/>
    </row>
    <row r="937">
      <c r="A937" s="90"/>
      <c r="B937" s="90"/>
      <c r="C937" s="90"/>
      <c r="D937" s="90"/>
      <c r="E937" s="90"/>
      <c r="F937" s="90"/>
      <c r="G937" s="90"/>
      <c r="H937" s="90"/>
    </row>
    <row r="938">
      <c r="A938" s="90"/>
      <c r="B938" s="90"/>
      <c r="C938" s="90"/>
      <c r="D938" s="90"/>
      <c r="E938" s="90"/>
      <c r="F938" s="90"/>
      <c r="G938" s="90"/>
      <c r="H938" s="90"/>
    </row>
    <row r="939">
      <c r="A939" s="90"/>
      <c r="B939" s="90"/>
      <c r="C939" s="90"/>
      <c r="D939" s="90"/>
      <c r="E939" s="90"/>
      <c r="F939" s="90"/>
      <c r="G939" s="90"/>
      <c r="H939" s="90"/>
    </row>
    <row r="940">
      <c r="A940" s="90"/>
      <c r="B940" s="90"/>
      <c r="C940" s="90"/>
      <c r="D940" s="90"/>
      <c r="E940" s="90"/>
      <c r="F940" s="90"/>
      <c r="G940" s="90"/>
      <c r="H940" s="90"/>
    </row>
    <row r="941">
      <c r="A941" s="90"/>
      <c r="B941" s="90"/>
      <c r="C941" s="90"/>
      <c r="D941" s="90"/>
      <c r="E941" s="90"/>
      <c r="F941" s="90"/>
      <c r="G941" s="90"/>
      <c r="H941" s="90"/>
    </row>
    <row r="942">
      <c r="A942" s="90"/>
      <c r="B942" s="90"/>
      <c r="C942" s="90"/>
      <c r="D942" s="90"/>
      <c r="E942" s="90"/>
      <c r="F942" s="90"/>
      <c r="G942" s="90"/>
      <c r="H942" s="90"/>
    </row>
    <row r="943">
      <c r="A943" s="90"/>
      <c r="B943" s="90"/>
      <c r="C943" s="90"/>
      <c r="D943" s="90"/>
      <c r="E943" s="90"/>
      <c r="F943" s="90"/>
      <c r="G943" s="90"/>
      <c r="H943" s="90"/>
    </row>
    <row r="944">
      <c r="A944" s="90"/>
      <c r="B944" s="90"/>
      <c r="C944" s="90"/>
      <c r="D944" s="90"/>
      <c r="E944" s="90"/>
      <c r="F944" s="90"/>
      <c r="G944" s="90"/>
      <c r="H944" s="90"/>
    </row>
    <row r="945">
      <c r="A945" s="90"/>
      <c r="B945" s="90"/>
      <c r="C945" s="90"/>
      <c r="D945" s="90"/>
      <c r="E945" s="90"/>
      <c r="F945" s="90"/>
      <c r="G945" s="90"/>
      <c r="H945" s="90"/>
    </row>
    <row r="946">
      <c r="A946" s="90"/>
      <c r="B946" s="90"/>
      <c r="C946" s="90"/>
      <c r="D946" s="90"/>
      <c r="E946" s="90"/>
      <c r="F946" s="90"/>
      <c r="G946" s="90"/>
      <c r="H946" s="90"/>
    </row>
    <row r="947">
      <c r="A947" s="90"/>
      <c r="B947" s="90"/>
      <c r="C947" s="90"/>
      <c r="D947" s="90"/>
      <c r="E947" s="90"/>
      <c r="F947" s="90"/>
      <c r="G947" s="90"/>
      <c r="H947" s="90"/>
    </row>
    <row r="948">
      <c r="A948" s="90"/>
      <c r="B948" s="90"/>
      <c r="C948" s="90"/>
      <c r="D948" s="90"/>
      <c r="E948" s="90"/>
      <c r="F948" s="90"/>
      <c r="G948" s="90"/>
      <c r="H948" s="90"/>
    </row>
    <row r="949">
      <c r="A949" s="90"/>
      <c r="B949" s="90"/>
      <c r="C949" s="90"/>
      <c r="D949" s="90"/>
      <c r="E949" s="90"/>
      <c r="F949" s="90"/>
      <c r="G949" s="90"/>
      <c r="H949" s="90"/>
    </row>
    <row r="950">
      <c r="A950" s="90"/>
      <c r="B950" s="90"/>
      <c r="C950" s="90"/>
      <c r="D950" s="90"/>
      <c r="E950" s="90"/>
      <c r="F950" s="90"/>
      <c r="G950" s="90"/>
      <c r="H950" s="90"/>
    </row>
    <row r="951">
      <c r="A951" s="90"/>
      <c r="B951" s="90"/>
      <c r="C951" s="90"/>
      <c r="D951" s="90"/>
      <c r="E951" s="90"/>
      <c r="F951" s="90"/>
      <c r="G951" s="90"/>
      <c r="H951" s="90"/>
    </row>
    <row r="952">
      <c r="A952" s="90"/>
      <c r="B952" s="90"/>
      <c r="C952" s="90"/>
      <c r="D952" s="90"/>
      <c r="E952" s="90"/>
      <c r="F952" s="90"/>
      <c r="G952" s="90"/>
      <c r="H952" s="90"/>
    </row>
    <row r="953">
      <c r="A953" s="90"/>
      <c r="B953" s="90"/>
      <c r="C953" s="90"/>
      <c r="D953" s="90"/>
      <c r="E953" s="90"/>
      <c r="F953" s="90"/>
      <c r="G953" s="90"/>
      <c r="H953" s="90"/>
    </row>
    <row r="954">
      <c r="A954" s="90"/>
      <c r="B954" s="90"/>
      <c r="C954" s="90"/>
      <c r="D954" s="90"/>
      <c r="E954" s="90"/>
      <c r="F954" s="90"/>
      <c r="G954" s="90"/>
      <c r="H954" s="90"/>
    </row>
    <row r="955">
      <c r="A955" s="90"/>
      <c r="B955" s="90"/>
      <c r="C955" s="90"/>
      <c r="D955" s="90"/>
      <c r="E955" s="90"/>
      <c r="F955" s="90"/>
      <c r="G955" s="90"/>
      <c r="H955" s="90"/>
    </row>
    <row r="956">
      <c r="A956" s="90"/>
      <c r="B956" s="90"/>
      <c r="C956" s="90"/>
      <c r="D956" s="90"/>
      <c r="E956" s="90"/>
      <c r="F956" s="90"/>
      <c r="G956" s="90"/>
      <c r="H956" s="90"/>
    </row>
    <row r="957">
      <c r="A957" s="90"/>
      <c r="B957" s="90"/>
      <c r="C957" s="90"/>
      <c r="D957" s="90"/>
      <c r="E957" s="90"/>
      <c r="F957" s="90"/>
      <c r="G957" s="90"/>
      <c r="H957" s="90"/>
    </row>
    <row r="958">
      <c r="A958" s="90"/>
      <c r="B958" s="90"/>
      <c r="C958" s="90"/>
      <c r="D958" s="90"/>
      <c r="E958" s="90"/>
      <c r="F958" s="90"/>
      <c r="G958" s="90"/>
      <c r="H958" s="90"/>
    </row>
    <row r="959">
      <c r="A959" s="90"/>
      <c r="B959" s="90"/>
      <c r="C959" s="90"/>
      <c r="D959" s="90"/>
      <c r="E959" s="90"/>
      <c r="F959" s="90"/>
      <c r="G959" s="90"/>
      <c r="H959" s="90"/>
    </row>
    <row r="960">
      <c r="A960" s="90"/>
      <c r="B960" s="90"/>
      <c r="C960" s="90"/>
      <c r="D960" s="90"/>
      <c r="E960" s="90"/>
      <c r="F960" s="90"/>
      <c r="G960" s="90"/>
      <c r="H960" s="90"/>
    </row>
    <row r="961">
      <c r="A961" s="90"/>
      <c r="B961" s="90"/>
      <c r="C961" s="90"/>
      <c r="D961" s="90"/>
      <c r="E961" s="90"/>
      <c r="F961" s="90"/>
      <c r="G961" s="90"/>
      <c r="H961" s="90"/>
    </row>
    <row r="962">
      <c r="A962" s="90"/>
      <c r="B962" s="90"/>
      <c r="C962" s="90"/>
      <c r="D962" s="90"/>
      <c r="E962" s="90"/>
      <c r="F962" s="90"/>
      <c r="G962" s="90"/>
      <c r="H962" s="90"/>
    </row>
    <row r="963">
      <c r="A963" s="90"/>
      <c r="B963" s="90"/>
      <c r="C963" s="90"/>
      <c r="D963" s="90"/>
      <c r="E963" s="90"/>
      <c r="F963" s="90"/>
      <c r="G963" s="90"/>
      <c r="H963" s="90"/>
    </row>
    <row r="964">
      <c r="A964" s="90"/>
      <c r="B964" s="90"/>
      <c r="C964" s="90"/>
      <c r="D964" s="90"/>
      <c r="E964" s="90"/>
      <c r="F964" s="90"/>
      <c r="G964" s="90"/>
      <c r="H964" s="90"/>
    </row>
    <row r="965">
      <c r="A965" s="90"/>
      <c r="B965" s="90"/>
      <c r="C965" s="90"/>
      <c r="D965" s="90"/>
      <c r="E965" s="90"/>
      <c r="F965" s="90"/>
      <c r="G965" s="90"/>
      <c r="H965" s="90"/>
    </row>
    <row r="966">
      <c r="A966" s="90"/>
      <c r="B966" s="90"/>
      <c r="C966" s="90"/>
      <c r="D966" s="90"/>
      <c r="E966" s="90"/>
      <c r="F966" s="90"/>
      <c r="G966" s="90"/>
      <c r="H966" s="90"/>
    </row>
    <row r="967">
      <c r="A967" s="90"/>
      <c r="B967" s="90"/>
      <c r="C967" s="90"/>
      <c r="D967" s="90"/>
      <c r="E967" s="90"/>
      <c r="F967" s="90"/>
      <c r="G967" s="90"/>
      <c r="H967" s="90"/>
    </row>
    <row r="968">
      <c r="A968" s="90"/>
      <c r="B968" s="90"/>
      <c r="C968" s="90"/>
      <c r="D968" s="90"/>
      <c r="E968" s="90"/>
      <c r="F968" s="90"/>
      <c r="G968" s="90"/>
      <c r="H968" s="90"/>
    </row>
    <row r="969">
      <c r="A969" s="90"/>
      <c r="B969" s="90"/>
      <c r="C969" s="90"/>
      <c r="D969" s="90"/>
      <c r="E969" s="90"/>
      <c r="F969" s="90"/>
      <c r="G969" s="90"/>
      <c r="H969" s="90"/>
    </row>
    <row r="970">
      <c r="A970" s="90"/>
      <c r="B970" s="90"/>
      <c r="C970" s="90"/>
      <c r="D970" s="90"/>
      <c r="E970" s="90"/>
      <c r="F970" s="90"/>
      <c r="G970" s="90"/>
      <c r="H970" s="90"/>
    </row>
    <row r="971">
      <c r="A971" s="90"/>
      <c r="B971" s="90"/>
      <c r="C971" s="90"/>
      <c r="D971" s="90"/>
      <c r="E971" s="90"/>
      <c r="F971" s="90"/>
      <c r="G971" s="90"/>
      <c r="H971" s="90"/>
    </row>
    <row r="972">
      <c r="A972" s="90"/>
      <c r="B972" s="90"/>
      <c r="C972" s="90"/>
      <c r="D972" s="90"/>
      <c r="E972" s="90"/>
      <c r="F972" s="90"/>
      <c r="G972" s="90"/>
      <c r="H972" s="90"/>
    </row>
    <row r="973">
      <c r="A973" s="90"/>
      <c r="B973" s="90"/>
      <c r="C973" s="90"/>
      <c r="D973" s="90"/>
      <c r="E973" s="90"/>
      <c r="F973" s="90"/>
      <c r="G973" s="90"/>
      <c r="H973" s="90"/>
    </row>
    <row r="974">
      <c r="A974" s="90"/>
      <c r="B974" s="90"/>
      <c r="C974" s="90"/>
      <c r="D974" s="90"/>
      <c r="E974" s="90"/>
      <c r="F974" s="90"/>
      <c r="G974" s="90"/>
      <c r="H974" s="90"/>
    </row>
    <row r="975">
      <c r="A975" s="90"/>
      <c r="B975" s="90"/>
      <c r="C975" s="90"/>
      <c r="D975" s="90"/>
      <c r="E975" s="90"/>
      <c r="F975" s="90"/>
      <c r="G975" s="90"/>
      <c r="H975" s="90"/>
    </row>
    <row r="976">
      <c r="A976" s="90"/>
      <c r="B976" s="90"/>
      <c r="C976" s="90"/>
      <c r="D976" s="90"/>
      <c r="E976" s="90"/>
      <c r="F976" s="90"/>
      <c r="G976" s="90"/>
      <c r="H976" s="90"/>
    </row>
    <row r="977">
      <c r="A977" s="90"/>
      <c r="B977" s="90"/>
      <c r="C977" s="90"/>
      <c r="D977" s="90"/>
      <c r="E977" s="90"/>
      <c r="F977" s="90"/>
      <c r="G977" s="90"/>
      <c r="H977" s="90"/>
    </row>
    <row r="978">
      <c r="A978" s="90"/>
      <c r="B978" s="90"/>
      <c r="C978" s="90"/>
      <c r="D978" s="90"/>
      <c r="E978" s="90"/>
      <c r="F978" s="90"/>
      <c r="G978" s="90"/>
      <c r="H978" s="90"/>
    </row>
    <row r="979">
      <c r="A979" s="90"/>
      <c r="B979" s="90"/>
      <c r="C979" s="90"/>
      <c r="D979" s="90"/>
      <c r="E979" s="90"/>
      <c r="F979" s="90"/>
      <c r="G979" s="90"/>
      <c r="H979" s="90"/>
    </row>
    <row r="980">
      <c r="A980" s="90"/>
      <c r="B980" s="90"/>
      <c r="C980" s="90"/>
      <c r="D980" s="90"/>
      <c r="E980" s="90"/>
      <c r="F980" s="90"/>
      <c r="G980" s="90"/>
      <c r="H980" s="90"/>
    </row>
    <row r="981">
      <c r="A981" s="90"/>
      <c r="B981" s="90"/>
      <c r="C981" s="90"/>
      <c r="D981" s="90"/>
      <c r="E981" s="90"/>
      <c r="F981" s="90"/>
      <c r="G981" s="90"/>
      <c r="H981" s="90"/>
    </row>
    <row r="982">
      <c r="A982" s="90"/>
      <c r="B982" s="90"/>
      <c r="C982" s="90"/>
      <c r="D982" s="90"/>
      <c r="E982" s="90"/>
      <c r="F982" s="90"/>
      <c r="G982" s="90"/>
      <c r="H982" s="90"/>
    </row>
    <row r="983">
      <c r="A983" s="90"/>
      <c r="B983" s="90"/>
      <c r="C983" s="90"/>
      <c r="D983" s="90"/>
      <c r="E983" s="90"/>
      <c r="F983" s="90"/>
      <c r="G983" s="90"/>
      <c r="H983" s="90"/>
    </row>
    <row r="984">
      <c r="A984" s="90"/>
      <c r="B984" s="90"/>
      <c r="C984" s="90"/>
      <c r="D984" s="90"/>
      <c r="E984" s="90"/>
      <c r="F984" s="90"/>
      <c r="G984" s="90"/>
      <c r="H984" s="90"/>
    </row>
    <row r="985">
      <c r="A985" s="90"/>
      <c r="B985" s="90"/>
      <c r="C985" s="90"/>
      <c r="D985" s="90"/>
      <c r="E985" s="90"/>
      <c r="F985" s="90"/>
      <c r="G985" s="90"/>
      <c r="H985" s="90"/>
    </row>
    <row r="986">
      <c r="A986" s="90"/>
      <c r="B986" s="90"/>
      <c r="C986" s="90"/>
      <c r="D986" s="90"/>
      <c r="E986" s="90"/>
      <c r="F986" s="90"/>
      <c r="G986" s="90"/>
      <c r="H986" s="90"/>
    </row>
    <row r="987">
      <c r="A987" s="90"/>
      <c r="B987" s="90"/>
      <c r="C987" s="90"/>
      <c r="D987" s="90"/>
      <c r="E987" s="90"/>
      <c r="F987" s="90"/>
      <c r="G987" s="90"/>
      <c r="H987" s="90"/>
    </row>
    <row r="988">
      <c r="A988" s="90"/>
      <c r="B988" s="90"/>
      <c r="C988" s="90"/>
      <c r="D988" s="90"/>
      <c r="E988" s="90"/>
      <c r="F988" s="90"/>
      <c r="G988" s="90"/>
      <c r="H988" s="90"/>
    </row>
    <row r="989">
      <c r="A989" s="90"/>
      <c r="B989" s="90"/>
      <c r="C989" s="90"/>
      <c r="D989" s="90"/>
      <c r="E989" s="90"/>
      <c r="F989" s="90"/>
      <c r="G989" s="90"/>
      <c r="H989" s="90"/>
    </row>
    <row r="990">
      <c r="A990" s="90"/>
      <c r="B990" s="90"/>
      <c r="C990" s="90"/>
      <c r="D990" s="90"/>
      <c r="E990" s="90"/>
      <c r="F990" s="90"/>
      <c r="G990" s="90"/>
      <c r="H990" s="90"/>
    </row>
    <row r="991">
      <c r="A991" s="90"/>
      <c r="B991" s="90"/>
      <c r="C991" s="90"/>
      <c r="D991" s="90"/>
      <c r="E991" s="90"/>
      <c r="F991" s="90"/>
      <c r="G991" s="90"/>
      <c r="H991" s="90"/>
    </row>
    <row r="992">
      <c r="A992" s="90"/>
      <c r="B992" s="90"/>
      <c r="C992" s="90"/>
      <c r="D992" s="90"/>
      <c r="E992" s="90"/>
      <c r="F992" s="90"/>
      <c r="G992" s="90"/>
      <c r="H992" s="90"/>
    </row>
  </sheetData>
  <mergeCells count="6">
    <mergeCell ref="A1:D1"/>
    <mergeCell ref="A3:D3"/>
    <mergeCell ref="A16:I16"/>
    <mergeCell ref="A40:B40"/>
    <mergeCell ref="A41:B41"/>
    <mergeCell ref="A42:B42"/>
  </mergeCells>
  <drawing r:id="rId4"/>
  <legacyDrawing r:id="rId5"/>
  <tableParts count="2">
    <tablePart r:id="rId8"/>
    <tablePart r:id="rId9"/>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4.75"/>
  </cols>
  <sheetData>
    <row r="1">
      <c r="A1" s="185" t="s">
        <v>762</v>
      </c>
    </row>
    <row r="2">
      <c r="A2" s="188"/>
    </row>
    <row r="3">
      <c r="A3" s="189" t="s">
        <v>765</v>
      </c>
    </row>
    <row r="4">
      <c r="A4" s="190" t="s">
        <v>766</v>
      </c>
    </row>
    <row r="5">
      <c r="A5" s="188"/>
    </row>
    <row r="6">
      <c r="A6" s="189" t="s">
        <v>767</v>
      </c>
    </row>
    <row r="7">
      <c r="A7" s="190" t="s">
        <v>768</v>
      </c>
    </row>
    <row r="8">
      <c r="A8" s="188"/>
    </row>
    <row r="9">
      <c r="A9" s="191" t="s">
        <v>770</v>
      </c>
    </row>
    <row r="10">
      <c r="A10" s="91" t="s">
        <v>773</v>
      </c>
    </row>
    <row r="11">
      <c r="A11" s="188"/>
    </row>
    <row r="12">
      <c r="A12" s="189" t="s">
        <v>774</v>
      </c>
    </row>
    <row r="13">
      <c r="A13" s="190" t="s">
        <v>775</v>
      </c>
    </row>
    <row r="14">
      <c r="A14" s="195" t="s">
        <v>776</v>
      </c>
    </row>
    <row r="15">
      <c r="A15" s="196" t="s">
        <v>777</v>
      </c>
    </row>
    <row r="16">
      <c r="A16" s="39" t="s">
        <v>778</v>
      </c>
    </row>
    <row r="17">
      <c r="A17" s="189" t="s">
        <v>779</v>
      </c>
    </row>
    <row r="18">
      <c r="A18" s="91" t="s">
        <v>780</v>
      </c>
    </row>
    <row r="19">
      <c r="A19" s="91" t="s">
        <v>781</v>
      </c>
    </row>
    <row r="20">
      <c r="A20" s="197"/>
    </row>
    <row r="21">
      <c r="A21" s="185" t="s">
        <v>782</v>
      </c>
    </row>
    <row r="22">
      <c r="A22" s="188"/>
    </row>
    <row r="23">
      <c r="A23" s="198" t="s">
        <v>783</v>
      </c>
    </row>
    <row r="24">
      <c r="A24" s="91" t="s">
        <v>784</v>
      </c>
    </row>
    <row r="25">
      <c r="A25" s="188"/>
    </row>
    <row r="26">
      <c r="A26" s="189" t="s">
        <v>785</v>
      </c>
    </row>
    <row r="27">
      <c r="A27" s="199" t="s">
        <v>786</v>
      </c>
    </row>
    <row r="28">
      <c r="A28" s="188"/>
    </row>
    <row r="29">
      <c r="A29" s="198" t="s">
        <v>770</v>
      </c>
    </row>
    <row r="30">
      <c r="A30" s="91" t="s">
        <v>787</v>
      </c>
    </row>
    <row r="31">
      <c r="A31" s="188"/>
    </row>
    <row r="32">
      <c r="A32" s="198" t="s">
        <v>788</v>
      </c>
    </row>
    <row r="33">
      <c r="A33" s="1" t="s">
        <v>789</v>
      </c>
    </row>
    <row r="34">
      <c r="A34" s="200" t="s">
        <v>790</v>
      </c>
    </row>
    <row r="35">
      <c r="A35" s="201"/>
    </row>
    <row r="36">
      <c r="A36" s="201" t="s">
        <v>777</v>
      </c>
    </row>
    <row r="37">
      <c r="A37" s="83" t="s">
        <v>778</v>
      </c>
    </row>
    <row r="38">
      <c r="A38" s="189"/>
    </row>
    <row r="39">
      <c r="A39" s="189"/>
    </row>
    <row r="40">
      <c r="A40" s="185" t="s">
        <v>791</v>
      </c>
    </row>
    <row r="42">
      <c r="A42" s="191" t="s">
        <v>792</v>
      </c>
    </row>
    <row r="43">
      <c r="A43" s="91" t="s">
        <v>793</v>
      </c>
    </row>
    <row r="45">
      <c r="A45" s="191" t="s">
        <v>794</v>
      </c>
    </row>
    <row r="46">
      <c r="A46" s="91" t="s">
        <v>795</v>
      </c>
    </row>
    <row r="48">
      <c r="A48" s="191" t="s">
        <v>774</v>
      </c>
    </row>
    <row r="49">
      <c r="A49" s="1" t="s">
        <v>796</v>
      </c>
    </row>
    <row r="50">
      <c r="A50" s="203" t="s">
        <v>797</v>
      </c>
    </row>
    <row r="52">
      <c r="A52" s="191" t="s">
        <v>777</v>
      </c>
    </row>
    <row r="53">
      <c r="A53" s="1" t="s">
        <v>778</v>
      </c>
    </row>
    <row r="54">
      <c r="A54" s="197"/>
    </row>
    <row r="55">
      <c r="A55" s="185" t="s">
        <v>798</v>
      </c>
    </row>
    <row r="56">
      <c r="A56" s="204"/>
    </row>
    <row r="57">
      <c r="A57" s="191" t="s">
        <v>799</v>
      </c>
    </row>
    <row r="58">
      <c r="A58" s="91" t="s">
        <v>800</v>
      </c>
    </row>
    <row r="59">
      <c r="A59" s="205"/>
    </row>
    <row r="60">
      <c r="A60" s="191" t="s">
        <v>801</v>
      </c>
    </row>
    <row r="61">
      <c r="A61" s="91" t="s">
        <v>802</v>
      </c>
    </row>
    <row r="62">
      <c r="A62" s="204"/>
    </row>
    <row r="63">
      <c r="A63" s="206" t="s">
        <v>774</v>
      </c>
    </row>
    <row r="64">
      <c r="A64" s="1" t="s">
        <v>803</v>
      </c>
    </row>
    <row r="65">
      <c r="A65" s="207" t="s">
        <v>804</v>
      </c>
    </row>
    <row r="66">
      <c r="A66" s="208" t="s">
        <v>805</v>
      </c>
    </row>
    <row r="67">
      <c r="A67" s="206" t="s">
        <v>777</v>
      </c>
    </row>
    <row r="68">
      <c r="A68" s="204" t="s">
        <v>778</v>
      </c>
    </row>
    <row r="69">
      <c r="A69" s="204"/>
    </row>
    <row r="70">
      <c r="A70" s="185" t="s">
        <v>806</v>
      </c>
    </row>
    <row r="71">
      <c r="A71" s="204"/>
    </row>
    <row r="72">
      <c r="A72" s="206" t="s">
        <v>799</v>
      </c>
    </row>
    <row r="73">
      <c r="A73" s="209" t="s">
        <v>807</v>
      </c>
    </row>
    <row r="74">
      <c r="A74" s="205"/>
    </row>
    <row r="75">
      <c r="A75" s="191" t="s">
        <v>808</v>
      </c>
    </row>
    <row r="76">
      <c r="A76" s="210" t="s">
        <v>809</v>
      </c>
    </row>
    <row r="77">
      <c r="A77" s="210"/>
    </row>
    <row r="78">
      <c r="A78" s="191" t="s">
        <v>810</v>
      </c>
    </row>
    <row r="79">
      <c r="A79" s="1" t="s">
        <v>811</v>
      </c>
    </row>
    <row r="80">
      <c r="A80" s="204"/>
    </row>
    <row r="81">
      <c r="A81" s="206" t="s">
        <v>774</v>
      </c>
    </row>
    <row r="82">
      <c r="A82" s="1" t="s">
        <v>812</v>
      </c>
    </row>
    <row r="83">
      <c r="A83" s="203" t="s">
        <v>813</v>
      </c>
    </row>
    <row r="84">
      <c r="A84" s="204"/>
    </row>
    <row r="85">
      <c r="A85" s="206" t="s">
        <v>777</v>
      </c>
    </row>
    <row r="86">
      <c r="A86" s="204" t="s">
        <v>778</v>
      </c>
    </row>
    <row r="87">
      <c r="A87" s="197"/>
    </row>
    <row r="88">
      <c r="A88" s="197"/>
    </row>
    <row r="89">
      <c r="A89" s="197"/>
    </row>
    <row r="90">
      <c r="A90" s="197"/>
    </row>
    <row r="91">
      <c r="A91" s="197"/>
    </row>
    <row r="92">
      <c r="A92" s="197"/>
    </row>
    <row r="93">
      <c r="A93" s="197"/>
    </row>
    <row r="94">
      <c r="A94" s="197"/>
    </row>
    <row r="95">
      <c r="A95" s="197"/>
    </row>
    <row r="96">
      <c r="A96" s="197"/>
    </row>
    <row r="97">
      <c r="A97" s="197"/>
    </row>
    <row r="98">
      <c r="A98" s="197"/>
    </row>
    <row r="99">
      <c r="A99" s="197"/>
    </row>
    <row r="100">
      <c r="A100" s="197"/>
    </row>
    <row r="101">
      <c r="A101" s="197"/>
    </row>
    <row r="102">
      <c r="A102" s="197"/>
    </row>
    <row r="103">
      <c r="A103" s="197"/>
    </row>
    <row r="104">
      <c r="A104" s="197"/>
    </row>
    <row r="105">
      <c r="A105" s="197"/>
    </row>
    <row r="106">
      <c r="A106" s="197"/>
    </row>
    <row r="107">
      <c r="A107" s="197"/>
    </row>
    <row r="108">
      <c r="A108" s="197"/>
    </row>
    <row r="109">
      <c r="A109" s="197"/>
    </row>
    <row r="110">
      <c r="A110" s="197"/>
    </row>
    <row r="111">
      <c r="A111" s="197"/>
    </row>
    <row r="112">
      <c r="A112" s="197"/>
    </row>
    <row r="113">
      <c r="A113" s="197"/>
    </row>
    <row r="114">
      <c r="A114" s="197"/>
    </row>
    <row r="115">
      <c r="A115" s="197"/>
    </row>
    <row r="116">
      <c r="A116" s="197"/>
    </row>
    <row r="117">
      <c r="A117" s="197"/>
    </row>
    <row r="118">
      <c r="A118" s="197"/>
    </row>
    <row r="119">
      <c r="A119" s="197"/>
    </row>
    <row r="120">
      <c r="A120" s="197"/>
    </row>
    <row r="121">
      <c r="A121" s="197"/>
    </row>
    <row r="122">
      <c r="A122" s="197"/>
    </row>
    <row r="123">
      <c r="A123" s="197"/>
    </row>
    <row r="124">
      <c r="A124" s="197"/>
    </row>
    <row r="125">
      <c r="A125" s="197"/>
    </row>
    <row r="126">
      <c r="A126" s="197"/>
    </row>
    <row r="127">
      <c r="A127" s="197"/>
    </row>
    <row r="128">
      <c r="A128" s="197"/>
    </row>
    <row r="129">
      <c r="A129" s="197"/>
    </row>
    <row r="130">
      <c r="A130" s="197"/>
    </row>
    <row r="131">
      <c r="A131" s="197"/>
    </row>
    <row r="132">
      <c r="A132" s="197"/>
    </row>
    <row r="133">
      <c r="A133" s="197"/>
    </row>
    <row r="134">
      <c r="A134" s="197"/>
    </row>
    <row r="135">
      <c r="A135" s="197"/>
    </row>
    <row r="136">
      <c r="A136" s="197"/>
    </row>
    <row r="137">
      <c r="A137" s="197"/>
    </row>
    <row r="138">
      <c r="A138" s="197"/>
    </row>
    <row r="139">
      <c r="A139" s="197"/>
    </row>
    <row r="140">
      <c r="A140" s="197"/>
    </row>
    <row r="141">
      <c r="A141" s="197"/>
    </row>
    <row r="142">
      <c r="A142" s="197"/>
    </row>
    <row r="143">
      <c r="A143" s="197"/>
    </row>
    <row r="144">
      <c r="A144" s="197"/>
    </row>
    <row r="145">
      <c r="A145" s="197"/>
    </row>
    <row r="146">
      <c r="A146" s="197"/>
    </row>
    <row r="147">
      <c r="A147" s="197"/>
    </row>
    <row r="148">
      <c r="A148" s="197"/>
    </row>
    <row r="149">
      <c r="A149" s="197"/>
    </row>
    <row r="150">
      <c r="A150" s="197"/>
    </row>
    <row r="151">
      <c r="A151" s="197"/>
    </row>
    <row r="152">
      <c r="A152" s="197"/>
    </row>
    <row r="153">
      <c r="A153" s="197"/>
    </row>
    <row r="154">
      <c r="A154" s="197"/>
    </row>
    <row r="155">
      <c r="A155" s="197"/>
    </row>
    <row r="156">
      <c r="A156" s="197"/>
    </row>
    <row r="157">
      <c r="A157" s="197"/>
    </row>
    <row r="158">
      <c r="A158" s="197"/>
    </row>
    <row r="159">
      <c r="A159" s="197"/>
    </row>
    <row r="160">
      <c r="A160" s="197"/>
    </row>
    <row r="161">
      <c r="A161" s="197"/>
    </row>
    <row r="162">
      <c r="A162" s="197"/>
    </row>
    <row r="163">
      <c r="A163" s="197"/>
    </row>
    <row r="164">
      <c r="A164" s="197"/>
    </row>
    <row r="165">
      <c r="A165" s="197"/>
    </row>
    <row r="166">
      <c r="A166" s="197"/>
    </row>
    <row r="167">
      <c r="A167" s="197"/>
    </row>
    <row r="168">
      <c r="A168" s="197"/>
    </row>
    <row r="169">
      <c r="A169" s="197"/>
    </row>
    <row r="170">
      <c r="A170" s="197"/>
    </row>
    <row r="171">
      <c r="A171" s="197"/>
    </row>
    <row r="172">
      <c r="A172" s="197"/>
    </row>
    <row r="173">
      <c r="A173" s="197"/>
    </row>
    <row r="174">
      <c r="A174" s="197"/>
    </row>
    <row r="175">
      <c r="A175" s="197"/>
    </row>
    <row r="176">
      <c r="A176" s="197"/>
    </row>
    <row r="177">
      <c r="A177" s="197"/>
    </row>
    <row r="178">
      <c r="A178" s="197"/>
    </row>
    <row r="179">
      <c r="A179" s="197"/>
    </row>
    <row r="180">
      <c r="A180" s="197"/>
    </row>
    <row r="181">
      <c r="A181" s="197"/>
    </row>
    <row r="182">
      <c r="A182" s="197"/>
    </row>
    <row r="183">
      <c r="A183" s="197"/>
    </row>
    <row r="184">
      <c r="A184" s="197"/>
    </row>
    <row r="185">
      <c r="A185" s="197"/>
    </row>
    <row r="186">
      <c r="A186" s="197"/>
    </row>
    <row r="187">
      <c r="A187" s="197"/>
    </row>
    <row r="188">
      <c r="A188" s="197"/>
    </row>
    <row r="189">
      <c r="A189" s="197"/>
    </row>
    <row r="190">
      <c r="A190" s="197"/>
    </row>
    <row r="191">
      <c r="A191" s="197"/>
    </row>
    <row r="192">
      <c r="A192" s="197"/>
    </row>
    <row r="193">
      <c r="A193" s="197"/>
    </row>
    <row r="194">
      <c r="A194" s="197"/>
    </row>
    <row r="195">
      <c r="A195" s="197"/>
    </row>
    <row r="196">
      <c r="A196" s="197"/>
    </row>
    <row r="197">
      <c r="A197" s="197"/>
    </row>
    <row r="198">
      <c r="A198" s="197"/>
    </row>
    <row r="199">
      <c r="A199" s="197"/>
    </row>
    <row r="200">
      <c r="A200" s="197"/>
    </row>
    <row r="201">
      <c r="A201" s="197"/>
    </row>
    <row r="202">
      <c r="A202" s="197"/>
    </row>
    <row r="203">
      <c r="A203" s="197"/>
    </row>
    <row r="204">
      <c r="A204" s="197"/>
    </row>
    <row r="205">
      <c r="A205" s="197"/>
    </row>
    <row r="206">
      <c r="A206" s="197"/>
    </row>
    <row r="207">
      <c r="A207" s="197"/>
    </row>
    <row r="208">
      <c r="A208" s="197"/>
    </row>
    <row r="209">
      <c r="A209" s="197"/>
    </row>
    <row r="210">
      <c r="A210" s="197"/>
    </row>
    <row r="211">
      <c r="A211" s="197"/>
    </row>
    <row r="212">
      <c r="A212" s="197"/>
    </row>
    <row r="213">
      <c r="A213" s="197"/>
    </row>
    <row r="214">
      <c r="A214" s="197"/>
    </row>
    <row r="215">
      <c r="A215" s="197"/>
    </row>
    <row r="216">
      <c r="A216" s="197"/>
    </row>
    <row r="217">
      <c r="A217" s="197"/>
    </row>
    <row r="218">
      <c r="A218" s="197"/>
    </row>
    <row r="219">
      <c r="A219" s="197"/>
    </row>
    <row r="220">
      <c r="A220" s="197"/>
    </row>
    <row r="221">
      <c r="A221" s="197"/>
    </row>
    <row r="222">
      <c r="A222" s="197"/>
    </row>
    <row r="223">
      <c r="A223" s="197"/>
    </row>
    <row r="224">
      <c r="A224" s="197"/>
    </row>
    <row r="225">
      <c r="A225" s="197"/>
    </row>
    <row r="226">
      <c r="A226" s="197"/>
    </row>
    <row r="227">
      <c r="A227" s="197"/>
    </row>
    <row r="228">
      <c r="A228" s="197"/>
    </row>
    <row r="229">
      <c r="A229" s="197"/>
    </row>
    <row r="230">
      <c r="A230" s="197"/>
    </row>
    <row r="231">
      <c r="A231" s="197"/>
    </row>
    <row r="232">
      <c r="A232" s="197"/>
    </row>
    <row r="233">
      <c r="A233" s="197"/>
    </row>
    <row r="234">
      <c r="A234" s="197"/>
    </row>
    <row r="235">
      <c r="A235" s="197"/>
    </row>
    <row r="236">
      <c r="A236" s="197"/>
    </row>
    <row r="237">
      <c r="A237" s="197"/>
    </row>
    <row r="238">
      <c r="A238" s="197"/>
    </row>
    <row r="239">
      <c r="A239" s="197"/>
    </row>
    <row r="240">
      <c r="A240" s="197"/>
    </row>
    <row r="241">
      <c r="A241" s="197"/>
    </row>
    <row r="242">
      <c r="A242" s="197"/>
    </row>
    <row r="243">
      <c r="A243" s="197"/>
    </row>
    <row r="244">
      <c r="A244" s="197"/>
    </row>
    <row r="245">
      <c r="A245" s="197"/>
    </row>
    <row r="246">
      <c r="A246" s="197"/>
    </row>
    <row r="247">
      <c r="A247" s="197"/>
    </row>
    <row r="248">
      <c r="A248" s="197"/>
    </row>
    <row r="249">
      <c r="A249" s="197"/>
    </row>
    <row r="250">
      <c r="A250" s="197"/>
    </row>
    <row r="251">
      <c r="A251" s="197"/>
    </row>
    <row r="252">
      <c r="A252" s="197"/>
    </row>
    <row r="253">
      <c r="A253" s="197"/>
    </row>
    <row r="254">
      <c r="A254" s="197"/>
    </row>
    <row r="255">
      <c r="A255" s="197"/>
    </row>
    <row r="256">
      <c r="A256" s="197"/>
    </row>
    <row r="257">
      <c r="A257" s="197"/>
    </row>
    <row r="258">
      <c r="A258" s="197"/>
    </row>
    <row r="259">
      <c r="A259" s="197"/>
    </row>
    <row r="260">
      <c r="A260" s="197"/>
    </row>
    <row r="261">
      <c r="A261" s="197"/>
    </row>
    <row r="262">
      <c r="A262" s="197"/>
    </row>
    <row r="263">
      <c r="A263" s="197"/>
    </row>
    <row r="264">
      <c r="A264" s="197"/>
    </row>
    <row r="265">
      <c r="A265" s="197"/>
    </row>
    <row r="266">
      <c r="A266" s="197"/>
    </row>
    <row r="267">
      <c r="A267" s="197"/>
    </row>
    <row r="268">
      <c r="A268" s="197"/>
    </row>
    <row r="269">
      <c r="A269" s="197"/>
    </row>
    <row r="270">
      <c r="A270" s="197"/>
    </row>
    <row r="271">
      <c r="A271" s="197"/>
    </row>
    <row r="272">
      <c r="A272" s="197"/>
    </row>
    <row r="273">
      <c r="A273" s="197"/>
    </row>
    <row r="274">
      <c r="A274" s="197"/>
    </row>
    <row r="275">
      <c r="A275" s="197"/>
    </row>
    <row r="276">
      <c r="A276" s="197"/>
    </row>
    <row r="277">
      <c r="A277" s="197"/>
    </row>
    <row r="278">
      <c r="A278" s="197"/>
    </row>
    <row r="279">
      <c r="A279" s="197"/>
    </row>
    <row r="280">
      <c r="A280" s="197"/>
    </row>
    <row r="281">
      <c r="A281" s="197"/>
    </row>
    <row r="282">
      <c r="A282" s="197"/>
    </row>
    <row r="283">
      <c r="A283" s="197"/>
    </row>
    <row r="284">
      <c r="A284" s="197"/>
    </row>
    <row r="285">
      <c r="A285" s="197"/>
    </row>
    <row r="286">
      <c r="A286" s="197"/>
    </row>
    <row r="287">
      <c r="A287" s="197"/>
    </row>
    <row r="288">
      <c r="A288" s="197"/>
    </row>
    <row r="289">
      <c r="A289" s="197"/>
    </row>
    <row r="290">
      <c r="A290" s="197"/>
    </row>
    <row r="291">
      <c r="A291" s="197"/>
    </row>
    <row r="292">
      <c r="A292" s="197"/>
    </row>
    <row r="293">
      <c r="A293" s="197"/>
    </row>
    <row r="294">
      <c r="A294" s="197"/>
    </row>
    <row r="295">
      <c r="A295" s="197"/>
    </row>
    <row r="296">
      <c r="A296" s="197"/>
    </row>
    <row r="297">
      <c r="A297" s="197"/>
    </row>
    <row r="298">
      <c r="A298" s="197"/>
    </row>
    <row r="299">
      <c r="A299" s="197"/>
    </row>
    <row r="300">
      <c r="A300" s="197"/>
    </row>
    <row r="301">
      <c r="A301" s="197"/>
    </row>
    <row r="302">
      <c r="A302" s="197"/>
    </row>
    <row r="303">
      <c r="A303" s="197"/>
    </row>
    <row r="304">
      <c r="A304" s="197"/>
    </row>
    <row r="305">
      <c r="A305" s="197"/>
    </row>
    <row r="306">
      <c r="A306" s="197"/>
    </row>
    <row r="307">
      <c r="A307" s="197"/>
    </row>
    <row r="308">
      <c r="A308" s="197"/>
    </row>
    <row r="309">
      <c r="A309" s="197"/>
    </row>
    <row r="310">
      <c r="A310" s="197"/>
    </row>
    <row r="311">
      <c r="A311" s="197"/>
    </row>
    <row r="312">
      <c r="A312" s="197"/>
    </row>
    <row r="313">
      <c r="A313" s="197"/>
    </row>
    <row r="314">
      <c r="A314" s="197"/>
    </row>
    <row r="315">
      <c r="A315" s="197"/>
    </row>
    <row r="316">
      <c r="A316" s="197"/>
    </row>
    <row r="317">
      <c r="A317" s="197"/>
    </row>
    <row r="318">
      <c r="A318" s="197"/>
    </row>
    <row r="319">
      <c r="A319" s="197"/>
    </row>
    <row r="320">
      <c r="A320" s="197"/>
    </row>
    <row r="321">
      <c r="A321" s="197"/>
    </row>
    <row r="322">
      <c r="A322" s="197"/>
    </row>
    <row r="323">
      <c r="A323" s="197"/>
    </row>
    <row r="324">
      <c r="A324" s="197"/>
    </row>
    <row r="325">
      <c r="A325" s="197"/>
    </row>
    <row r="326">
      <c r="A326" s="197"/>
    </row>
    <row r="327">
      <c r="A327" s="197"/>
    </row>
    <row r="328">
      <c r="A328" s="197"/>
    </row>
    <row r="329">
      <c r="A329" s="197"/>
    </row>
    <row r="330">
      <c r="A330" s="197"/>
    </row>
    <row r="331">
      <c r="A331" s="197"/>
    </row>
    <row r="332">
      <c r="A332" s="197"/>
    </row>
    <row r="333">
      <c r="A333" s="197"/>
    </row>
    <row r="334">
      <c r="A334" s="197"/>
    </row>
    <row r="335">
      <c r="A335" s="197"/>
    </row>
    <row r="336">
      <c r="A336" s="197"/>
    </row>
    <row r="337">
      <c r="A337" s="197"/>
    </row>
    <row r="338">
      <c r="A338" s="197"/>
    </row>
    <row r="339">
      <c r="A339" s="197"/>
    </row>
    <row r="340">
      <c r="A340" s="197"/>
    </row>
    <row r="341">
      <c r="A341" s="197"/>
    </row>
    <row r="342">
      <c r="A342" s="197"/>
    </row>
    <row r="343">
      <c r="A343" s="197"/>
    </row>
    <row r="344">
      <c r="A344" s="197"/>
    </row>
    <row r="345">
      <c r="A345" s="197"/>
    </row>
    <row r="346">
      <c r="A346" s="197"/>
    </row>
    <row r="347">
      <c r="A347" s="197"/>
    </row>
    <row r="348">
      <c r="A348" s="197"/>
    </row>
    <row r="349">
      <c r="A349" s="197"/>
    </row>
    <row r="350">
      <c r="A350" s="197"/>
    </row>
    <row r="351">
      <c r="A351" s="197"/>
    </row>
    <row r="352">
      <c r="A352" s="197"/>
    </row>
    <row r="353">
      <c r="A353" s="197"/>
    </row>
    <row r="354">
      <c r="A354" s="197"/>
    </row>
    <row r="355">
      <c r="A355" s="197"/>
    </row>
    <row r="356">
      <c r="A356" s="197"/>
    </row>
    <row r="357">
      <c r="A357" s="197"/>
    </row>
    <row r="358">
      <c r="A358" s="197"/>
    </row>
    <row r="359">
      <c r="A359" s="197"/>
    </row>
    <row r="360">
      <c r="A360" s="197"/>
    </row>
    <row r="361">
      <c r="A361" s="197"/>
    </row>
    <row r="362">
      <c r="A362" s="197"/>
    </row>
    <row r="363">
      <c r="A363" s="197"/>
    </row>
    <row r="364">
      <c r="A364" s="197"/>
    </row>
    <row r="365">
      <c r="A365" s="197"/>
    </row>
    <row r="366">
      <c r="A366" s="197"/>
    </row>
    <row r="367">
      <c r="A367" s="197"/>
    </row>
    <row r="368">
      <c r="A368" s="197"/>
    </row>
    <row r="369">
      <c r="A369" s="197"/>
    </row>
    <row r="370">
      <c r="A370" s="197"/>
    </row>
    <row r="371">
      <c r="A371" s="197"/>
    </row>
    <row r="372">
      <c r="A372" s="197"/>
    </row>
    <row r="373">
      <c r="A373" s="197"/>
    </row>
    <row r="374">
      <c r="A374" s="197"/>
    </row>
    <row r="375">
      <c r="A375" s="197"/>
    </row>
    <row r="376">
      <c r="A376" s="197"/>
    </row>
    <row r="377">
      <c r="A377" s="197"/>
    </row>
    <row r="378">
      <c r="A378" s="197"/>
    </row>
    <row r="379">
      <c r="A379" s="197"/>
    </row>
    <row r="380">
      <c r="A380" s="197"/>
    </row>
    <row r="381">
      <c r="A381" s="197"/>
    </row>
    <row r="382">
      <c r="A382" s="197"/>
    </row>
    <row r="383">
      <c r="A383" s="197"/>
    </row>
    <row r="384">
      <c r="A384" s="197"/>
    </row>
    <row r="385">
      <c r="A385" s="197"/>
    </row>
    <row r="386">
      <c r="A386" s="197"/>
    </row>
    <row r="387">
      <c r="A387" s="197"/>
    </row>
    <row r="388">
      <c r="A388" s="197"/>
    </row>
    <row r="389">
      <c r="A389" s="197"/>
    </row>
    <row r="390">
      <c r="A390" s="197"/>
    </row>
    <row r="391">
      <c r="A391" s="197"/>
    </row>
    <row r="392">
      <c r="A392" s="197"/>
    </row>
    <row r="393">
      <c r="A393" s="197"/>
    </row>
    <row r="394">
      <c r="A394" s="197"/>
    </row>
    <row r="395">
      <c r="A395" s="197"/>
    </row>
    <row r="396">
      <c r="A396" s="197"/>
    </row>
    <row r="397">
      <c r="A397" s="197"/>
    </row>
    <row r="398">
      <c r="A398" s="197"/>
    </row>
    <row r="399">
      <c r="A399" s="197"/>
    </row>
    <row r="400">
      <c r="A400" s="197"/>
    </row>
    <row r="401">
      <c r="A401" s="197"/>
    </row>
    <row r="402">
      <c r="A402" s="197"/>
    </row>
    <row r="403">
      <c r="A403" s="197"/>
    </row>
    <row r="404">
      <c r="A404" s="197"/>
    </row>
    <row r="405">
      <c r="A405" s="197"/>
    </row>
    <row r="406">
      <c r="A406" s="197"/>
    </row>
    <row r="407">
      <c r="A407" s="197"/>
    </row>
    <row r="408">
      <c r="A408" s="197"/>
    </row>
    <row r="409">
      <c r="A409" s="197"/>
    </row>
    <row r="410">
      <c r="A410" s="197"/>
    </row>
    <row r="411">
      <c r="A411" s="197"/>
    </row>
    <row r="412">
      <c r="A412" s="197"/>
    </row>
    <row r="413">
      <c r="A413" s="197"/>
    </row>
    <row r="414">
      <c r="A414" s="197"/>
    </row>
    <row r="415">
      <c r="A415" s="197"/>
    </row>
    <row r="416">
      <c r="A416" s="197"/>
    </row>
    <row r="417">
      <c r="A417" s="197"/>
    </row>
    <row r="418">
      <c r="A418" s="197"/>
    </row>
    <row r="419">
      <c r="A419" s="197"/>
    </row>
    <row r="420">
      <c r="A420" s="197"/>
    </row>
    <row r="421">
      <c r="A421" s="197"/>
    </row>
    <row r="422">
      <c r="A422" s="197"/>
    </row>
    <row r="423">
      <c r="A423" s="197"/>
    </row>
    <row r="424">
      <c r="A424" s="197"/>
    </row>
    <row r="425">
      <c r="A425" s="197"/>
    </row>
    <row r="426">
      <c r="A426" s="197"/>
    </row>
    <row r="427">
      <c r="A427" s="197"/>
    </row>
    <row r="428">
      <c r="A428" s="197"/>
    </row>
    <row r="429">
      <c r="A429" s="197"/>
    </row>
    <row r="430">
      <c r="A430" s="197"/>
    </row>
    <row r="431">
      <c r="A431" s="197"/>
    </row>
    <row r="432">
      <c r="A432" s="197"/>
    </row>
    <row r="433">
      <c r="A433" s="197"/>
    </row>
    <row r="434">
      <c r="A434" s="197"/>
    </row>
    <row r="435">
      <c r="A435" s="197"/>
    </row>
    <row r="436">
      <c r="A436" s="197"/>
    </row>
    <row r="437">
      <c r="A437" s="197"/>
    </row>
    <row r="438">
      <c r="A438" s="197"/>
    </row>
    <row r="439">
      <c r="A439" s="197"/>
    </row>
    <row r="440">
      <c r="A440" s="197"/>
    </row>
    <row r="441">
      <c r="A441" s="197"/>
    </row>
    <row r="442">
      <c r="A442" s="197"/>
    </row>
    <row r="443">
      <c r="A443" s="197"/>
    </row>
    <row r="444">
      <c r="A444" s="197"/>
    </row>
    <row r="445">
      <c r="A445" s="197"/>
    </row>
    <row r="446">
      <c r="A446" s="197"/>
    </row>
    <row r="447">
      <c r="A447" s="197"/>
    </row>
    <row r="448">
      <c r="A448" s="197"/>
    </row>
    <row r="449">
      <c r="A449" s="197"/>
    </row>
    <row r="450">
      <c r="A450" s="197"/>
    </row>
    <row r="451">
      <c r="A451" s="197"/>
    </row>
    <row r="452">
      <c r="A452" s="197"/>
    </row>
    <row r="453">
      <c r="A453" s="197"/>
    </row>
    <row r="454">
      <c r="A454" s="197"/>
    </row>
    <row r="455">
      <c r="A455" s="197"/>
    </row>
    <row r="456">
      <c r="A456" s="197"/>
    </row>
    <row r="457">
      <c r="A457" s="197"/>
    </row>
    <row r="458">
      <c r="A458" s="197"/>
    </row>
    <row r="459">
      <c r="A459" s="197"/>
    </row>
    <row r="460">
      <c r="A460" s="197"/>
    </row>
    <row r="461">
      <c r="A461" s="197"/>
    </row>
    <row r="462">
      <c r="A462" s="197"/>
    </row>
    <row r="463">
      <c r="A463" s="197"/>
    </row>
    <row r="464">
      <c r="A464" s="197"/>
    </row>
    <row r="465">
      <c r="A465" s="197"/>
    </row>
    <row r="466">
      <c r="A466" s="197"/>
    </row>
    <row r="467">
      <c r="A467" s="197"/>
    </row>
    <row r="468">
      <c r="A468" s="197"/>
    </row>
    <row r="469">
      <c r="A469" s="197"/>
    </row>
    <row r="470">
      <c r="A470" s="197"/>
    </row>
    <row r="471">
      <c r="A471" s="197"/>
    </row>
    <row r="472">
      <c r="A472" s="197"/>
    </row>
    <row r="473">
      <c r="A473" s="197"/>
    </row>
    <row r="474">
      <c r="A474" s="197"/>
    </row>
    <row r="475">
      <c r="A475" s="197"/>
    </row>
    <row r="476">
      <c r="A476" s="197"/>
    </row>
    <row r="477">
      <c r="A477" s="197"/>
    </row>
    <row r="478">
      <c r="A478" s="197"/>
    </row>
    <row r="479">
      <c r="A479" s="197"/>
    </row>
    <row r="480">
      <c r="A480" s="197"/>
    </row>
    <row r="481">
      <c r="A481" s="197"/>
    </row>
    <row r="482">
      <c r="A482" s="197"/>
    </row>
    <row r="483">
      <c r="A483" s="197"/>
    </row>
    <row r="484">
      <c r="A484" s="197"/>
    </row>
    <row r="485">
      <c r="A485" s="197"/>
    </row>
    <row r="486">
      <c r="A486" s="197"/>
    </row>
    <row r="487">
      <c r="A487" s="197"/>
    </row>
    <row r="488">
      <c r="A488" s="197"/>
    </row>
    <row r="489">
      <c r="A489" s="197"/>
    </row>
    <row r="490">
      <c r="A490" s="197"/>
    </row>
    <row r="491">
      <c r="A491" s="197"/>
    </row>
    <row r="492">
      <c r="A492" s="197"/>
    </row>
    <row r="493">
      <c r="A493" s="197"/>
    </row>
    <row r="494">
      <c r="A494" s="197"/>
    </row>
    <row r="495">
      <c r="A495" s="197"/>
    </row>
    <row r="496">
      <c r="A496" s="197"/>
    </row>
    <row r="497">
      <c r="A497" s="197"/>
    </row>
    <row r="498">
      <c r="A498" s="197"/>
    </row>
    <row r="499">
      <c r="A499" s="197"/>
    </row>
    <row r="500">
      <c r="A500" s="197"/>
    </row>
    <row r="501">
      <c r="A501" s="197"/>
    </row>
    <row r="502">
      <c r="A502" s="197"/>
    </row>
    <row r="503">
      <c r="A503" s="197"/>
    </row>
    <row r="504">
      <c r="A504" s="197"/>
    </row>
    <row r="505">
      <c r="A505" s="197"/>
    </row>
    <row r="506">
      <c r="A506" s="197"/>
    </row>
    <row r="507">
      <c r="A507" s="197"/>
    </row>
    <row r="508">
      <c r="A508" s="197"/>
    </row>
    <row r="509">
      <c r="A509" s="197"/>
    </row>
    <row r="510">
      <c r="A510" s="197"/>
    </row>
    <row r="511">
      <c r="A511" s="197"/>
    </row>
    <row r="512">
      <c r="A512" s="197"/>
    </row>
    <row r="513">
      <c r="A513" s="197"/>
    </row>
    <row r="514">
      <c r="A514" s="197"/>
    </row>
    <row r="515">
      <c r="A515" s="197"/>
    </row>
    <row r="516">
      <c r="A516" s="197"/>
    </row>
    <row r="517">
      <c r="A517" s="197"/>
    </row>
    <row r="518">
      <c r="A518" s="197"/>
    </row>
    <row r="519">
      <c r="A519" s="197"/>
    </row>
    <row r="520">
      <c r="A520" s="197"/>
    </row>
    <row r="521">
      <c r="A521" s="197"/>
    </row>
    <row r="522">
      <c r="A522" s="197"/>
    </row>
    <row r="523">
      <c r="A523" s="197"/>
    </row>
    <row r="524">
      <c r="A524" s="197"/>
    </row>
    <row r="525">
      <c r="A525" s="197"/>
    </row>
    <row r="526">
      <c r="A526" s="197"/>
    </row>
    <row r="527">
      <c r="A527" s="197"/>
    </row>
    <row r="528">
      <c r="A528" s="197"/>
    </row>
    <row r="529">
      <c r="A529" s="197"/>
    </row>
    <row r="530">
      <c r="A530" s="197"/>
    </row>
    <row r="531">
      <c r="A531" s="197"/>
    </row>
    <row r="532">
      <c r="A532" s="197"/>
    </row>
    <row r="533">
      <c r="A533" s="197"/>
    </row>
    <row r="534">
      <c r="A534" s="197"/>
    </row>
    <row r="535">
      <c r="A535" s="197"/>
    </row>
    <row r="536">
      <c r="A536" s="197"/>
    </row>
    <row r="537">
      <c r="A537" s="197"/>
    </row>
    <row r="538">
      <c r="A538" s="197"/>
    </row>
    <row r="539">
      <c r="A539" s="197"/>
    </row>
    <row r="540">
      <c r="A540" s="197"/>
    </row>
    <row r="541">
      <c r="A541" s="197"/>
    </row>
    <row r="542">
      <c r="A542" s="197"/>
    </row>
    <row r="543">
      <c r="A543" s="197"/>
    </row>
    <row r="544">
      <c r="A544" s="197"/>
    </row>
    <row r="545">
      <c r="A545" s="197"/>
    </row>
    <row r="546">
      <c r="A546" s="197"/>
    </row>
    <row r="547">
      <c r="A547" s="197"/>
    </row>
    <row r="548">
      <c r="A548" s="197"/>
    </row>
    <row r="549">
      <c r="A549" s="197"/>
    </row>
    <row r="550">
      <c r="A550" s="197"/>
    </row>
    <row r="551">
      <c r="A551" s="197"/>
    </row>
    <row r="552">
      <c r="A552" s="197"/>
    </row>
    <row r="553">
      <c r="A553" s="197"/>
    </row>
    <row r="554">
      <c r="A554" s="197"/>
    </row>
    <row r="555">
      <c r="A555" s="197"/>
    </row>
    <row r="556">
      <c r="A556" s="197"/>
    </row>
    <row r="557">
      <c r="A557" s="197"/>
    </row>
    <row r="558">
      <c r="A558" s="197"/>
    </row>
    <row r="559">
      <c r="A559" s="197"/>
    </row>
    <row r="560">
      <c r="A560" s="197"/>
    </row>
    <row r="561">
      <c r="A561" s="197"/>
    </row>
    <row r="562">
      <c r="A562" s="197"/>
    </row>
    <row r="563">
      <c r="A563" s="197"/>
    </row>
    <row r="564">
      <c r="A564" s="197"/>
    </row>
    <row r="565">
      <c r="A565" s="197"/>
    </row>
    <row r="566">
      <c r="A566" s="197"/>
    </row>
    <row r="567">
      <c r="A567" s="197"/>
    </row>
    <row r="568">
      <c r="A568" s="197"/>
    </row>
    <row r="569">
      <c r="A569" s="197"/>
    </row>
    <row r="570">
      <c r="A570" s="197"/>
    </row>
    <row r="571">
      <c r="A571" s="197"/>
    </row>
    <row r="572">
      <c r="A572" s="197"/>
    </row>
    <row r="573">
      <c r="A573" s="197"/>
    </row>
    <row r="574">
      <c r="A574" s="197"/>
    </row>
    <row r="575">
      <c r="A575" s="197"/>
    </row>
    <row r="576">
      <c r="A576" s="197"/>
    </row>
    <row r="577">
      <c r="A577" s="197"/>
    </row>
    <row r="578">
      <c r="A578" s="197"/>
    </row>
    <row r="579">
      <c r="A579" s="197"/>
    </row>
    <row r="580">
      <c r="A580" s="197"/>
    </row>
    <row r="581">
      <c r="A581" s="197"/>
    </row>
    <row r="582">
      <c r="A582" s="197"/>
    </row>
    <row r="583">
      <c r="A583" s="197"/>
    </row>
    <row r="584">
      <c r="A584" s="197"/>
    </row>
    <row r="585">
      <c r="A585" s="197"/>
    </row>
    <row r="586">
      <c r="A586" s="197"/>
    </row>
    <row r="587">
      <c r="A587" s="197"/>
    </row>
    <row r="588">
      <c r="A588" s="197"/>
    </row>
    <row r="589">
      <c r="A589" s="197"/>
    </row>
    <row r="590">
      <c r="A590" s="197"/>
    </row>
    <row r="591">
      <c r="A591" s="197"/>
    </row>
    <row r="592">
      <c r="A592" s="197"/>
    </row>
    <row r="593">
      <c r="A593" s="197"/>
    </row>
    <row r="594">
      <c r="A594" s="197"/>
    </row>
    <row r="595">
      <c r="A595" s="197"/>
    </row>
    <row r="596">
      <c r="A596" s="197"/>
    </row>
    <row r="597">
      <c r="A597" s="197"/>
    </row>
    <row r="598">
      <c r="A598" s="197"/>
    </row>
    <row r="599">
      <c r="A599" s="197"/>
    </row>
    <row r="600">
      <c r="A600" s="197"/>
    </row>
    <row r="601">
      <c r="A601" s="197"/>
    </row>
    <row r="602">
      <c r="A602" s="197"/>
    </row>
    <row r="603">
      <c r="A603" s="197"/>
    </row>
    <row r="604">
      <c r="A604" s="197"/>
    </row>
    <row r="605">
      <c r="A605" s="197"/>
    </row>
    <row r="606">
      <c r="A606" s="197"/>
    </row>
    <row r="607">
      <c r="A607" s="197"/>
    </row>
    <row r="608">
      <c r="A608" s="197"/>
    </row>
    <row r="609">
      <c r="A609" s="197"/>
    </row>
    <row r="610">
      <c r="A610" s="197"/>
    </row>
    <row r="611">
      <c r="A611" s="197"/>
    </row>
    <row r="612">
      <c r="A612" s="197"/>
    </row>
    <row r="613">
      <c r="A613" s="197"/>
    </row>
    <row r="614">
      <c r="A614" s="197"/>
    </row>
    <row r="615">
      <c r="A615" s="197"/>
    </row>
    <row r="616">
      <c r="A616" s="197"/>
    </row>
    <row r="617">
      <c r="A617" s="197"/>
    </row>
    <row r="618">
      <c r="A618" s="197"/>
    </row>
    <row r="619">
      <c r="A619" s="197"/>
    </row>
    <row r="620">
      <c r="A620" s="197"/>
    </row>
    <row r="621">
      <c r="A621" s="197"/>
    </row>
    <row r="622">
      <c r="A622" s="197"/>
    </row>
    <row r="623">
      <c r="A623" s="197"/>
    </row>
    <row r="624">
      <c r="A624" s="197"/>
    </row>
    <row r="625">
      <c r="A625" s="197"/>
    </row>
    <row r="626">
      <c r="A626" s="197"/>
    </row>
    <row r="627">
      <c r="A627" s="197"/>
    </row>
    <row r="628">
      <c r="A628" s="197"/>
    </row>
    <row r="629">
      <c r="A629" s="197"/>
    </row>
    <row r="630">
      <c r="A630" s="197"/>
    </row>
    <row r="631">
      <c r="A631" s="197"/>
    </row>
    <row r="632">
      <c r="A632" s="197"/>
    </row>
    <row r="633">
      <c r="A633" s="197"/>
    </row>
    <row r="634">
      <c r="A634" s="197"/>
    </row>
    <row r="635">
      <c r="A635" s="197"/>
    </row>
    <row r="636">
      <c r="A636" s="197"/>
    </row>
    <row r="637">
      <c r="A637" s="197"/>
    </row>
    <row r="638">
      <c r="A638" s="197"/>
    </row>
    <row r="639">
      <c r="A639" s="197"/>
    </row>
    <row r="640">
      <c r="A640" s="197"/>
    </row>
    <row r="641">
      <c r="A641" s="197"/>
    </row>
    <row r="642">
      <c r="A642" s="197"/>
    </row>
    <row r="643">
      <c r="A643" s="197"/>
    </row>
    <row r="644">
      <c r="A644" s="197"/>
    </row>
    <row r="645">
      <c r="A645" s="197"/>
    </row>
    <row r="646">
      <c r="A646" s="197"/>
    </row>
    <row r="647">
      <c r="A647" s="197"/>
    </row>
    <row r="648">
      <c r="A648" s="197"/>
    </row>
    <row r="649">
      <c r="A649" s="197"/>
    </row>
    <row r="650">
      <c r="A650" s="197"/>
    </row>
    <row r="651">
      <c r="A651" s="197"/>
    </row>
    <row r="652">
      <c r="A652" s="197"/>
    </row>
    <row r="653">
      <c r="A653" s="197"/>
    </row>
    <row r="654">
      <c r="A654" s="197"/>
    </row>
    <row r="655">
      <c r="A655" s="197"/>
    </row>
    <row r="656">
      <c r="A656" s="197"/>
    </row>
    <row r="657">
      <c r="A657" s="197"/>
    </row>
    <row r="658">
      <c r="A658" s="197"/>
    </row>
    <row r="659">
      <c r="A659" s="197"/>
    </row>
    <row r="660">
      <c r="A660" s="197"/>
    </row>
    <row r="661">
      <c r="A661" s="197"/>
    </row>
    <row r="662">
      <c r="A662" s="197"/>
    </row>
    <row r="663">
      <c r="A663" s="197"/>
    </row>
    <row r="664">
      <c r="A664" s="197"/>
    </row>
    <row r="665">
      <c r="A665" s="197"/>
    </row>
    <row r="666">
      <c r="A666" s="197"/>
    </row>
    <row r="667">
      <c r="A667" s="197"/>
    </row>
    <row r="668">
      <c r="A668" s="197"/>
    </row>
    <row r="669">
      <c r="A669" s="197"/>
    </row>
    <row r="670">
      <c r="A670" s="197"/>
    </row>
    <row r="671">
      <c r="A671" s="197"/>
    </row>
    <row r="672">
      <c r="A672" s="197"/>
    </row>
    <row r="673">
      <c r="A673" s="197"/>
    </row>
    <row r="674">
      <c r="A674" s="197"/>
    </row>
    <row r="675">
      <c r="A675" s="197"/>
    </row>
    <row r="676">
      <c r="A676" s="197"/>
    </row>
    <row r="677">
      <c r="A677" s="197"/>
    </row>
    <row r="678">
      <c r="A678" s="197"/>
    </row>
    <row r="679">
      <c r="A679" s="197"/>
    </row>
    <row r="680">
      <c r="A680" s="197"/>
    </row>
    <row r="681">
      <c r="A681" s="197"/>
    </row>
    <row r="682">
      <c r="A682" s="197"/>
    </row>
    <row r="683">
      <c r="A683" s="197"/>
    </row>
    <row r="684">
      <c r="A684" s="197"/>
    </row>
    <row r="685">
      <c r="A685" s="197"/>
    </row>
    <row r="686">
      <c r="A686" s="197"/>
    </row>
    <row r="687">
      <c r="A687" s="197"/>
    </row>
    <row r="688">
      <c r="A688" s="197"/>
    </row>
    <row r="689">
      <c r="A689" s="197"/>
    </row>
    <row r="690">
      <c r="A690" s="197"/>
    </row>
    <row r="691">
      <c r="A691" s="197"/>
    </row>
    <row r="692">
      <c r="A692" s="197"/>
    </row>
    <row r="693">
      <c r="A693" s="197"/>
    </row>
    <row r="694">
      <c r="A694" s="197"/>
    </row>
    <row r="695">
      <c r="A695" s="197"/>
    </row>
    <row r="696">
      <c r="A696" s="197"/>
    </row>
    <row r="697">
      <c r="A697" s="197"/>
    </row>
    <row r="698">
      <c r="A698" s="197"/>
    </row>
    <row r="699">
      <c r="A699" s="197"/>
    </row>
    <row r="700">
      <c r="A700" s="197"/>
    </row>
    <row r="701">
      <c r="A701" s="197"/>
    </row>
    <row r="702">
      <c r="A702" s="197"/>
    </row>
    <row r="703">
      <c r="A703" s="197"/>
    </row>
    <row r="704">
      <c r="A704" s="197"/>
    </row>
    <row r="705">
      <c r="A705" s="197"/>
    </row>
    <row r="706">
      <c r="A706" s="197"/>
    </row>
    <row r="707">
      <c r="A707" s="197"/>
    </row>
    <row r="708">
      <c r="A708" s="197"/>
    </row>
    <row r="709">
      <c r="A709" s="197"/>
    </row>
    <row r="710">
      <c r="A710" s="197"/>
    </row>
    <row r="711">
      <c r="A711" s="197"/>
    </row>
    <row r="712">
      <c r="A712" s="197"/>
    </row>
    <row r="713">
      <c r="A713" s="197"/>
    </row>
    <row r="714">
      <c r="A714" s="197"/>
    </row>
    <row r="715">
      <c r="A715" s="197"/>
    </row>
    <row r="716">
      <c r="A716" s="197"/>
    </row>
    <row r="717">
      <c r="A717" s="197"/>
    </row>
    <row r="718">
      <c r="A718" s="197"/>
    </row>
    <row r="719">
      <c r="A719" s="197"/>
    </row>
    <row r="720">
      <c r="A720" s="197"/>
    </row>
    <row r="721">
      <c r="A721" s="197"/>
    </row>
    <row r="722">
      <c r="A722" s="197"/>
    </row>
    <row r="723">
      <c r="A723" s="197"/>
    </row>
    <row r="724">
      <c r="A724" s="197"/>
    </row>
    <row r="725">
      <c r="A725" s="197"/>
    </row>
    <row r="726">
      <c r="A726" s="197"/>
    </row>
    <row r="727">
      <c r="A727" s="197"/>
    </row>
    <row r="728">
      <c r="A728" s="197"/>
    </row>
    <row r="729">
      <c r="A729" s="197"/>
    </row>
    <row r="730">
      <c r="A730" s="197"/>
    </row>
    <row r="731">
      <c r="A731" s="197"/>
    </row>
    <row r="732">
      <c r="A732" s="197"/>
    </row>
    <row r="733">
      <c r="A733" s="197"/>
    </row>
    <row r="734">
      <c r="A734" s="197"/>
    </row>
    <row r="735">
      <c r="A735" s="197"/>
    </row>
    <row r="736">
      <c r="A736" s="197"/>
    </row>
    <row r="737">
      <c r="A737" s="197"/>
    </row>
    <row r="738">
      <c r="A738" s="197"/>
    </row>
    <row r="739">
      <c r="A739" s="197"/>
    </row>
    <row r="740">
      <c r="A740" s="197"/>
    </row>
    <row r="741">
      <c r="A741" s="197"/>
    </row>
    <row r="742">
      <c r="A742" s="197"/>
    </row>
    <row r="743">
      <c r="A743" s="197"/>
    </row>
    <row r="744">
      <c r="A744" s="197"/>
    </row>
    <row r="745">
      <c r="A745" s="197"/>
    </row>
    <row r="746">
      <c r="A746" s="197"/>
    </row>
    <row r="747">
      <c r="A747" s="197"/>
    </row>
    <row r="748">
      <c r="A748" s="197"/>
    </row>
    <row r="749">
      <c r="A749" s="197"/>
    </row>
    <row r="750">
      <c r="A750" s="197"/>
    </row>
    <row r="751">
      <c r="A751" s="197"/>
    </row>
    <row r="752">
      <c r="A752" s="197"/>
    </row>
    <row r="753">
      <c r="A753" s="197"/>
    </row>
    <row r="754">
      <c r="A754" s="197"/>
    </row>
    <row r="755">
      <c r="A755" s="197"/>
    </row>
    <row r="756">
      <c r="A756" s="197"/>
    </row>
    <row r="757">
      <c r="A757" s="197"/>
    </row>
    <row r="758">
      <c r="A758" s="197"/>
    </row>
    <row r="759">
      <c r="A759" s="197"/>
    </row>
    <row r="760">
      <c r="A760" s="197"/>
    </row>
    <row r="761">
      <c r="A761" s="197"/>
    </row>
    <row r="762">
      <c r="A762" s="197"/>
    </row>
    <row r="763">
      <c r="A763" s="197"/>
    </row>
    <row r="764">
      <c r="A764" s="197"/>
    </row>
    <row r="765">
      <c r="A765" s="197"/>
    </row>
    <row r="766">
      <c r="A766" s="197"/>
    </row>
    <row r="767">
      <c r="A767" s="197"/>
    </row>
    <row r="768">
      <c r="A768" s="197"/>
    </row>
    <row r="769">
      <c r="A769" s="197"/>
    </row>
    <row r="770">
      <c r="A770" s="197"/>
    </row>
    <row r="771">
      <c r="A771" s="197"/>
    </row>
    <row r="772">
      <c r="A772" s="197"/>
    </row>
    <row r="773">
      <c r="A773" s="197"/>
    </row>
    <row r="774">
      <c r="A774" s="197"/>
    </row>
    <row r="775">
      <c r="A775" s="197"/>
    </row>
    <row r="776">
      <c r="A776" s="197"/>
    </row>
    <row r="777">
      <c r="A777" s="197"/>
    </row>
    <row r="778">
      <c r="A778" s="197"/>
    </row>
    <row r="779">
      <c r="A779" s="197"/>
    </row>
    <row r="780">
      <c r="A780" s="197"/>
    </row>
    <row r="781">
      <c r="A781" s="197"/>
    </row>
    <row r="782">
      <c r="A782" s="197"/>
    </row>
    <row r="783">
      <c r="A783" s="197"/>
    </row>
    <row r="784">
      <c r="A784" s="197"/>
    </row>
    <row r="785">
      <c r="A785" s="197"/>
    </row>
    <row r="786">
      <c r="A786" s="197"/>
    </row>
    <row r="787">
      <c r="A787" s="197"/>
    </row>
    <row r="788">
      <c r="A788" s="197"/>
    </row>
    <row r="789">
      <c r="A789" s="197"/>
    </row>
    <row r="790">
      <c r="A790" s="197"/>
    </row>
    <row r="791">
      <c r="A791" s="197"/>
    </row>
    <row r="792">
      <c r="A792" s="197"/>
    </row>
    <row r="793">
      <c r="A793" s="197"/>
    </row>
    <row r="794">
      <c r="A794" s="197"/>
    </row>
    <row r="795">
      <c r="A795" s="197"/>
    </row>
    <row r="796">
      <c r="A796" s="197"/>
    </row>
    <row r="797">
      <c r="A797" s="197"/>
    </row>
    <row r="798">
      <c r="A798" s="197"/>
    </row>
    <row r="799">
      <c r="A799" s="197"/>
    </row>
    <row r="800">
      <c r="A800" s="197"/>
    </row>
    <row r="801">
      <c r="A801" s="197"/>
    </row>
    <row r="802">
      <c r="A802" s="197"/>
    </row>
    <row r="803">
      <c r="A803" s="197"/>
    </row>
    <row r="804">
      <c r="A804" s="197"/>
    </row>
    <row r="805">
      <c r="A805" s="197"/>
    </row>
    <row r="806">
      <c r="A806" s="197"/>
    </row>
    <row r="807">
      <c r="A807" s="197"/>
    </row>
    <row r="808">
      <c r="A808" s="197"/>
    </row>
    <row r="809">
      <c r="A809" s="197"/>
    </row>
    <row r="810">
      <c r="A810" s="197"/>
    </row>
    <row r="811">
      <c r="A811" s="197"/>
    </row>
    <row r="812">
      <c r="A812" s="197"/>
    </row>
    <row r="813">
      <c r="A813" s="197"/>
    </row>
    <row r="814">
      <c r="A814" s="197"/>
    </row>
    <row r="815">
      <c r="A815" s="197"/>
    </row>
    <row r="816">
      <c r="A816" s="197"/>
    </row>
    <row r="817">
      <c r="A817" s="197"/>
    </row>
    <row r="818">
      <c r="A818" s="197"/>
    </row>
    <row r="819">
      <c r="A819" s="197"/>
    </row>
    <row r="820">
      <c r="A820" s="197"/>
    </row>
    <row r="821">
      <c r="A821" s="197"/>
    </row>
    <row r="822">
      <c r="A822" s="197"/>
    </row>
    <row r="823">
      <c r="A823" s="197"/>
    </row>
    <row r="824">
      <c r="A824" s="197"/>
    </row>
    <row r="825">
      <c r="A825" s="197"/>
    </row>
    <row r="826">
      <c r="A826" s="197"/>
    </row>
    <row r="827">
      <c r="A827" s="197"/>
    </row>
    <row r="828">
      <c r="A828" s="197"/>
    </row>
    <row r="829">
      <c r="A829" s="197"/>
    </row>
    <row r="830">
      <c r="A830" s="197"/>
    </row>
    <row r="831">
      <c r="A831" s="197"/>
    </row>
    <row r="832">
      <c r="A832" s="197"/>
    </row>
    <row r="833">
      <c r="A833" s="197"/>
    </row>
    <row r="834">
      <c r="A834" s="197"/>
    </row>
    <row r="835">
      <c r="A835" s="197"/>
    </row>
    <row r="836">
      <c r="A836" s="197"/>
    </row>
    <row r="837">
      <c r="A837" s="197"/>
    </row>
    <row r="838">
      <c r="A838" s="197"/>
    </row>
    <row r="839">
      <c r="A839" s="197"/>
    </row>
    <row r="840">
      <c r="A840" s="197"/>
    </row>
    <row r="841">
      <c r="A841" s="197"/>
    </row>
    <row r="842">
      <c r="A842" s="197"/>
    </row>
    <row r="843">
      <c r="A843" s="197"/>
    </row>
    <row r="844">
      <c r="A844" s="197"/>
    </row>
    <row r="845">
      <c r="A845" s="197"/>
    </row>
    <row r="846">
      <c r="A846" s="197"/>
    </row>
    <row r="847">
      <c r="A847" s="197"/>
    </row>
    <row r="848">
      <c r="A848" s="197"/>
    </row>
    <row r="849">
      <c r="A849" s="197"/>
    </row>
    <row r="850">
      <c r="A850" s="197"/>
    </row>
    <row r="851">
      <c r="A851" s="197"/>
    </row>
    <row r="852">
      <c r="A852" s="197"/>
    </row>
    <row r="853">
      <c r="A853" s="197"/>
    </row>
    <row r="854">
      <c r="A854" s="197"/>
    </row>
    <row r="855">
      <c r="A855" s="197"/>
    </row>
    <row r="856">
      <c r="A856" s="197"/>
    </row>
    <row r="857">
      <c r="A857" s="197"/>
    </row>
    <row r="858">
      <c r="A858" s="197"/>
    </row>
    <row r="859">
      <c r="A859" s="197"/>
    </row>
    <row r="860">
      <c r="A860" s="197"/>
    </row>
    <row r="861">
      <c r="A861" s="197"/>
    </row>
    <row r="862">
      <c r="A862" s="197"/>
    </row>
    <row r="863">
      <c r="A863" s="197"/>
    </row>
    <row r="864">
      <c r="A864" s="197"/>
    </row>
    <row r="865">
      <c r="A865" s="197"/>
    </row>
    <row r="866">
      <c r="A866" s="197"/>
    </row>
    <row r="867">
      <c r="A867" s="197"/>
    </row>
    <row r="868">
      <c r="A868" s="197"/>
    </row>
    <row r="869">
      <c r="A869" s="197"/>
    </row>
    <row r="870">
      <c r="A870" s="197"/>
    </row>
    <row r="871">
      <c r="A871" s="197"/>
    </row>
    <row r="872">
      <c r="A872" s="197"/>
    </row>
    <row r="873">
      <c r="A873" s="197"/>
    </row>
    <row r="874">
      <c r="A874" s="197"/>
    </row>
    <row r="875">
      <c r="A875" s="197"/>
    </row>
    <row r="876">
      <c r="A876" s="197"/>
    </row>
    <row r="877">
      <c r="A877" s="197"/>
    </row>
    <row r="878">
      <c r="A878" s="197"/>
    </row>
    <row r="879">
      <c r="A879" s="197"/>
    </row>
    <row r="880">
      <c r="A880" s="197"/>
    </row>
    <row r="881">
      <c r="A881" s="197"/>
    </row>
    <row r="882">
      <c r="A882" s="197"/>
    </row>
    <row r="883">
      <c r="A883" s="197"/>
    </row>
    <row r="884">
      <c r="A884" s="197"/>
    </row>
    <row r="885">
      <c r="A885" s="197"/>
    </row>
    <row r="886">
      <c r="A886" s="197"/>
    </row>
    <row r="887">
      <c r="A887" s="197"/>
    </row>
    <row r="888">
      <c r="A888" s="197"/>
    </row>
    <row r="889">
      <c r="A889" s="197"/>
    </row>
    <row r="890">
      <c r="A890" s="197"/>
    </row>
    <row r="891">
      <c r="A891" s="197"/>
    </row>
    <row r="892">
      <c r="A892" s="197"/>
    </row>
    <row r="893">
      <c r="A893" s="197"/>
    </row>
    <row r="894">
      <c r="A894" s="197"/>
    </row>
    <row r="895">
      <c r="A895" s="197"/>
    </row>
    <row r="896">
      <c r="A896" s="197"/>
    </row>
    <row r="897">
      <c r="A897" s="197"/>
    </row>
    <row r="898">
      <c r="A898" s="197"/>
    </row>
    <row r="899">
      <c r="A899" s="197"/>
    </row>
    <row r="900">
      <c r="A900" s="197"/>
    </row>
    <row r="901">
      <c r="A901" s="197"/>
    </row>
    <row r="902">
      <c r="A902" s="197"/>
    </row>
    <row r="903">
      <c r="A903" s="197"/>
    </row>
    <row r="904">
      <c r="A904" s="197"/>
    </row>
    <row r="905">
      <c r="A905" s="197"/>
    </row>
    <row r="906">
      <c r="A906" s="197"/>
    </row>
    <row r="907">
      <c r="A907" s="197"/>
    </row>
    <row r="908">
      <c r="A908" s="197"/>
    </row>
    <row r="909">
      <c r="A909" s="197"/>
    </row>
    <row r="910">
      <c r="A910" s="197"/>
    </row>
    <row r="911">
      <c r="A911" s="197"/>
    </row>
    <row r="912">
      <c r="A912" s="197"/>
    </row>
    <row r="913">
      <c r="A913" s="197"/>
    </row>
    <row r="914">
      <c r="A914" s="197"/>
    </row>
    <row r="915">
      <c r="A915" s="197"/>
    </row>
    <row r="916">
      <c r="A916" s="197"/>
    </row>
    <row r="917">
      <c r="A917" s="197"/>
    </row>
    <row r="918">
      <c r="A918" s="197"/>
    </row>
    <row r="919">
      <c r="A919" s="197"/>
    </row>
    <row r="920">
      <c r="A920" s="197"/>
    </row>
    <row r="921">
      <c r="A921" s="197"/>
    </row>
    <row r="922">
      <c r="A922" s="197"/>
    </row>
    <row r="923">
      <c r="A923" s="197"/>
    </row>
    <row r="924">
      <c r="A924" s="197"/>
    </row>
    <row r="925">
      <c r="A925" s="197"/>
    </row>
    <row r="926">
      <c r="A926" s="197"/>
    </row>
    <row r="927">
      <c r="A927" s="197"/>
    </row>
    <row r="928">
      <c r="A928" s="197"/>
    </row>
    <row r="929">
      <c r="A929" s="197"/>
    </row>
    <row r="930">
      <c r="A930" s="197"/>
    </row>
    <row r="931">
      <c r="A931" s="197"/>
    </row>
    <row r="932">
      <c r="A932" s="197"/>
    </row>
    <row r="933">
      <c r="A933" s="197"/>
    </row>
    <row r="934">
      <c r="A934" s="197"/>
    </row>
    <row r="935">
      <c r="A935" s="197"/>
    </row>
    <row r="936">
      <c r="A936" s="197"/>
    </row>
    <row r="937">
      <c r="A937" s="197"/>
    </row>
    <row r="938">
      <c r="A938" s="197"/>
    </row>
    <row r="939">
      <c r="A939" s="197"/>
    </row>
    <row r="940">
      <c r="A940" s="197"/>
    </row>
    <row r="941">
      <c r="A941" s="197"/>
    </row>
    <row r="942">
      <c r="A942" s="197"/>
    </row>
    <row r="943">
      <c r="A943" s="197"/>
    </row>
    <row r="944">
      <c r="A944" s="197"/>
    </row>
    <row r="945">
      <c r="A945" s="197"/>
    </row>
    <row r="946">
      <c r="A946" s="197"/>
    </row>
    <row r="947">
      <c r="A947" s="197"/>
    </row>
    <row r="948">
      <c r="A948" s="197"/>
    </row>
    <row r="949">
      <c r="A949" s="197"/>
    </row>
    <row r="950">
      <c r="A950" s="197"/>
    </row>
    <row r="951">
      <c r="A951" s="197"/>
    </row>
    <row r="952">
      <c r="A952" s="197"/>
    </row>
    <row r="953">
      <c r="A953" s="197"/>
    </row>
    <row r="954">
      <c r="A954" s="197"/>
    </row>
    <row r="955">
      <c r="A955" s="197"/>
    </row>
    <row r="956">
      <c r="A956" s="197"/>
    </row>
    <row r="957">
      <c r="A957" s="197"/>
    </row>
    <row r="958">
      <c r="A958" s="197"/>
    </row>
    <row r="959">
      <c r="A959" s="197"/>
    </row>
    <row r="960">
      <c r="A960" s="197"/>
    </row>
    <row r="961">
      <c r="A961" s="197"/>
    </row>
    <row r="962">
      <c r="A962" s="197"/>
    </row>
    <row r="963">
      <c r="A963" s="197"/>
    </row>
    <row r="964">
      <c r="A964" s="197"/>
    </row>
    <row r="965">
      <c r="A965" s="197"/>
    </row>
    <row r="966">
      <c r="A966" s="197"/>
    </row>
    <row r="967">
      <c r="A967" s="197"/>
    </row>
    <row r="968">
      <c r="A968" s="197"/>
    </row>
    <row r="969">
      <c r="A969" s="197"/>
    </row>
    <row r="970">
      <c r="A970" s="197"/>
    </row>
    <row r="971">
      <c r="A971" s="197"/>
    </row>
    <row r="972">
      <c r="A972" s="197"/>
    </row>
    <row r="973">
      <c r="A973" s="197"/>
    </row>
    <row r="974">
      <c r="A974" s="197"/>
    </row>
    <row r="975">
      <c r="A975" s="197"/>
    </row>
    <row r="976">
      <c r="A976" s="197"/>
    </row>
    <row r="977">
      <c r="A977" s="197"/>
    </row>
    <row r="978">
      <c r="A978" s="197"/>
    </row>
    <row r="979">
      <c r="A979" s="197"/>
    </row>
    <row r="980">
      <c r="A980" s="197"/>
    </row>
    <row r="981">
      <c r="A981" s="197"/>
    </row>
    <row r="982">
      <c r="A982" s="197"/>
    </row>
    <row r="983">
      <c r="A983" s="197"/>
    </row>
    <row r="984">
      <c r="A984" s="197"/>
    </row>
    <row r="985">
      <c r="A985" s="197"/>
    </row>
    <row r="986">
      <c r="A986" s="197"/>
    </row>
    <row r="987">
      <c r="A987" s="197"/>
    </row>
    <row r="988">
      <c r="A988" s="197"/>
    </row>
    <row r="989">
      <c r="A989" s="197"/>
    </row>
    <row r="990">
      <c r="A990" s="197"/>
    </row>
    <row r="991">
      <c r="A991" s="197"/>
    </row>
    <row r="992">
      <c r="A992" s="197"/>
    </row>
    <row r="993">
      <c r="A993" s="197"/>
    </row>
    <row r="994">
      <c r="A994" s="197"/>
    </row>
    <row r="995">
      <c r="A995" s="197"/>
    </row>
    <row r="996">
      <c r="A996" s="197"/>
    </row>
    <row r="997">
      <c r="A997" s="197"/>
    </row>
    <row r="998">
      <c r="A998" s="197"/>
    </row>
    <row r="999">
      <c r="A999" s="197"/>
    </row>
    <row r="1000">
      <c r="A1000" s="197"/>
    </row>
    <row r="1001">
      <c r="A1001" s="197"/>
    </row>
  </sheetData>
  <hyperlinks>
    <hyperlink r:id="rId4" ref="A14"/>
    <hyperlink r:id="rId5" ref="A50"/>
    <hyperlink r:id="rId6" ref="A65"/>
    <hyperlink r:id="rId7" ref="A66"/>
    <hyperlink r:id="rId8" ref="A83"/>
  </hyperlinks>
  <drawing r:id="rId9"/>
  <legacyDrawing r:id="rId10"/>
  <tableParts count="3">
    <tablePart r:id="rId14"/>
    <tablePart r:id="rId15"/>
    <tablePart r:id="rId16"/>
  </tableParts>
</worksheet>
</file>